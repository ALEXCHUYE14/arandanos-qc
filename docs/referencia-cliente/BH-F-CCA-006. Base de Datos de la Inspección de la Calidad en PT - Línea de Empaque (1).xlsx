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erryharvest-my.sharepoint.com/personal/betsy_crisanto_berryharvest_pe/Documents/Documentación/Control de Calidad Acopio/4. Base de Datos/2. Línea de Proceso/"/>
    </mc:Choice>
  </mc:AlternateContent>
  <xr:revisionPtr revIDLastSave="400" documentId="8_{4F1A006E-9886-4611-8DF8-389984930FD0}" xr6:coauthVersionLast="47" xr6:coauthVersionMax="47" xr10:uidLastSave="{BED498B0-20FF-4FAF-86E6-1D42C089E280}"/>
  <bookViews>
    <workbookView xWindow="-108" yWindow="-108" windowWidth="23256" windowHeight="13896" activeTab="1" xr2:uid="{343C9130-0D53-47D2-9269-23771F7B4417}"/>
  </bookViews>
  <sheets>
    <sheet name="Lista Maestra" sheetId="5" r:id="rId1"/>
    <sheet name="Base de Datos" sheetId="1" r:id="rId2"/>
    <sheet name="Defectos" sheetId="4" r:id="rId3"/>
    <sheet name="Control de Cambios" sheetId="2" state="hidden" r:id="rId4"/>
  </sheets>
  <definedNames>
    <definedName name="destino">#REF!</definedName>
    <definedName name="listaDestino">#REF!</definedName>
    <definedName name="listaVariedad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Z10" i="1" l="1"/>
  <c r="DZ11" i="1"/>
  <c r="DZ12" i="1"/>
  <c r="DZ13" i="1"/>
  <c r="DZ14" i="1"/>
  <c r="DZ15" i="1"/>
  <c r="DZ16" i="1"/>
  <c r="DZ17" i="1"/>
  <c r="DZ18" i="1"/>
  <c r="DZ19" i="1"/>
  <c r="DZ20" i="1"/>
  <c r="DZ21" i="1"/>
  <c r="DZ22" i="1"/>
  <c r="DZ23" i="1"/>
  <c r="DZ24" i="1"/>
  <c r="DZ25" i="1"/>
  <c r="DZ26" i="1"/>
  <c r="DZ27" i="1"/>
  <c r="DZ28" i="1"/>
  <c r="DZ29" i="1"/>
  <c r="DZ30" i="1"/>
  <c r="DZ31" i="1"/>
  <c r="DZ32" i="1"/>
  <c r="DZ33" i="1"/>
  <c r="DZ34" i="1"/>
  <c r="DZ35" i="1"/>
  <c r="DZ36" i="1"/>
  <c r="DZ37" i="1"/>
  <c r="DZ38" i="1"/>
  <c r="DZ39" i="1"/>
  <c r="DZ40" i="1"/>
  <c r="DZ41" i="1"/>
  <c r="DZ42" i="1"/>
  <c r="DZ43" i="1"/>
  <c r="DZ44" i="1"/>
  <c r="DZ45" i="1"/>
  <c r="DZ46" i="1"/>
  <c r="DZ47" i="1"/>
  <c r="DZ48" i="1"/>
  <c r="DZ49" i="1"/>
  <c r="DZ50" i="1"/>
  <c r="DZ51" i="1"/>
  <c r="DZ52" i="1"/>
  <c r="DZ53" i="1"/>
  <c r="DZ54" i="1"/>
  <c r="DZ55" i="1"/>
  <c r="DZ56" i="1"/>
  <c r="DZ57" i="1"/>
  <c r="DZ58" i="1"/>
  <c r="DZ59" i="1"/>
  <c r="DZ60" i="1"/>
  <c r="DZ61" i="1"/>
  <c r="DZ62" i="1"/>
  <c r="DZ63" i="1"/>
  <c r="DZ64" i="1"/>
  <c r="DZ65" i="1"/>
  <c r="DZ66" i="1"/>
  <c r="DZ67" i="1"/>
  <c r="DZ68" i="1"/>
  <c r="DZ69" i="1"/>
  <c r="DZ70" i="1"/>
  <c r="DZ71" i="1"/>
  <c r="DZ72" i="1"/>
  <c r="DZ73" i="1"/>
  <c r="DZ74" i="1"/>
  <c r="DZ75" i="1"/>
  <c r="DZ76" i="1"/>
  <c r="DZ77" i="1"/>
  <c r="DZ78" i="1"/>
  <c r="DZ79" i="1"/>
  <c r="DZ80" i="1"/>
  <c r="DZ81" i="1"/>
  <c r="DZ82" i="1"/>
  <c r="DZ83" i="1"/>
  <c r="DZ84" i="1"/>
  <c r="DZ85" i="1"/>
  <c r="DZ86" i="1"/>
  <c r="DZ87" i="1"/>
  <c r="DZ88" i="1"/>
  <c r="DZ89" i="1"/>
  <c r="DZ90" i="1"/>
  <c r="DZ91" i="1"/>
  <c r="DZ92" i="1"/>
  <c r="DZ93" i="1"/>
  <c r="DZ94" i="1"/>
  <c r="DZ95" i="1"/>
  <c r="DZ96" i="1"/>
  <c r="DZ97" i="1"/>
  <c r="DZ98" i="1"/>
  <c r="DZ99" i="1"/>
  <c r="DZ100" i="1"/>
  <c r="DZ101" i="1"/>
  <c r="DZ102" i="1"/>
  <c r="DZ103" i="1"/>
  <c r="DZ104" i="1"/>
  <c r="DZ105" i="1"/>
  <c r="DZ106" i="1"/>
  <c r="DZ107" i="1"/>
  <c r="DZ108" i="1"/>
  <c r="DZ109" i="1"/>
  <c r="DZ110" i="1"/>
  <c r="DZ111" i="1"/>
  <c r="DZ112" i="1"/>
  <c r="DZ113" i="1"/>
  <c r="DZ114" i="1"/>
  <c r="DZ115" i="1"/>
  <c r="DZ116" i="1"/>
  <c r="DZ117" i="1"/>
  <c r="DZ118" i="1"/>
  <c r="DZ119" i="1"/>
  <c r="DZ120" i="1"/>
  <c r="DZ121" i="1"/>
  <c r="DZ122" i="1"/>
  <c r="DZ123" i="1"/>
  <c r="DZ124" i="1"/>
  <c r="DZ125" i="1"/>
  <c r="DZ126" i="1"/>
  <c r="DZ127" i="1"/>
  <c r="DZ128" i="1"/>
  <c r="DZ129" i="1"/>
  <c r="DZ130" i="1"/>
  <c r="DZ131" i="1"/>
  <c r="DZ132" i="1"/>
  <c r="DZ133" i="1"/>
  <c r="DZ134" i="1"/>
  <c r="DZ135" i="1"/>
  <c r="DZ136" i="1"/>
  <c r="DZ137" i="1"/>
  <c r="DZ138" i="1"/>
  <c r="DZ139" i="1"/>
  <c r="DZ140" i="1"/>
  <c r="DZ141" i="1"/>
  <c r="DZ142" i="1"/>
  <c r="DZ143" i="1"/>
  <c r="DZ144" i="1"/>
  <c r="DZ145" i="1"/>
  <c r="DZ146" i="1"/>
  <c r="DZ147" i="1"/>
  <c r="DZ148" i="1"/>
  <c r="DZ149" i="1"/>
  <c r="DZ150" i="1"/>
  <c r="DZ151" i="1"/>
  <c r="DZ152" i="1"/>
  <c r="DZ153" i="1"/>
  <c r="DZ154" i="1"/>
  <c r="DZ155" i="1"/>
  <c r="DZ156" i="1"/>
  <c r="DZ157" i="1"/>
  <c r="DZ158" i="1"/>
  <c r="DZ159" i="1"/>
  <c r="DZ160" i="1"/>
  <c r="DZ161" i="1"/>
  <c r="DZ162" i="1"/>
  <c r="DZ163" i="1"/>
  <c r="DZ164" i="1"/>
  <c r="DZ165" i="1"/>
  <c r="DZ166" i="1"/>
  <c r="DZ167" i="1"/>
  <c r="DZ168" i="1"/>
  <c r="DZ169" i="1"/>
  <c r="DZ170" i="1"/>
  <c r="DZ171" i="1"/>
  <c r="DZ172" i="1"/>
  <c r="DZ173" i="1"/>
  <c r="DZ174" i="1"/>
  <c r="DZ175" i="1"/>
  <c r="DZ176" i="1"/>
  <c r="DZ177" i="1"/>
  <c r="DZ178" i="1"/>
  <c r="DZ179" i="1"/>
  <c r="DZ180" i="1"/>
  <c r="DZ181" i="1"/>
  <c r="DZ182" i="1"/>
  <c r="DZ183" i="1"/>
  <c r="DZ184" i="1"/>
  <c r="DZ185" i="1"/>
  <c r="DZ186" i="1"/>
  <c r="DZ187" i="1"/>
  <c r="DZ188" i="1"/>
  <c r="DZ189" i="1"/>
  <c r="DZ190" i="1"/>
  <c r="DZ191" i="1"/>
  <c r="DZ192" i="1"/>
  <c r="DZ193" i="1"/>
  <c r="DZ194" i="1"/>
  <c r="DZ195" i="1"/>
  <c r="DZ196" i="1"/>
  <c r="DZ197" i="1"/>
  <c r="DZ198" i="1"/>
  <c r="DZ199" i="1"/>
  <c r="DZ200" i="1"/>
  <c r="DZ201" i="1"/>
  <c r="DZ202" i="1"/>
  <c r="DZ203" i="1"/>
  <c r="DZ204" i="1"/>
  <c r="DZ205" i="1"/>
  <c r="DZ206" i="1"/>
  <c r="DZ207" i="1"/>
  <c r="DZ208" i="1"/>
  <c r="DZ209" i="1"/>
  <c r="DZ210" i="1"/>
  <c r="DZ211" i="1"/>
  <c r="DZ212" i="1"/>
  <c r="DZ213" i="1"/>
  <c r="DZ214" i="1"/>
  <c r="DZ215" i="1"/>
  <c r="DZ216" i="1"/>
  <c r="DZ217" i="1"/>
  <c r="DZ218" i="1"/>
  <c r="DZ219" i="1"/>
  <c r="DZ220" i="1"/>
  <c r="DZ221" i="1"/>
  <c r="DZ222" i="1"/>
  <c r="DZ223" i="1"/>
  <c r="DZ224" i="1"/>
  <c r="DZ225" i="1"/>
  <c r="DZ226" i="1"/>
  <c r="DZ227" i="1"/>
  <c r="DZ228" i="1"/>
  <c r="DZ229" i="1"/>
  <c r="DZ230" i="1"/>
  <c r="DZ231" i="1"/>
  <c r="DZ232" i="1"/>
  <c r="DZ233" i="1"/>
  <c r="DZ234" i="1"/>
  <c r="DZ235" i="1"/>
  <c r="DZ236" i="1"/>
  <c r="DZ237" i="1"/>
  <c r="DZ238" i="1"/>
  <c r="DZ239" i="1"/>
  <c r="DZ240" i="1"/>
  <c r="DZ241" i="1"/>
  <c r="DZ242" i="1"/>
  <c r="DZ243" i="1"/>
  <c r="DZ244" i="1"/>
  <c r="DZ245" i="1"/>
  <c r="DZ246" i="1"/>
  <c r="DZ247" i="1"/>
  <c r="DZ248" i="1"/>
  <c r="DZ249" i="1"/>
  <c r="DZ250" i="1"/>
  <c r="DZ251" i="1"/>
  <c r="DZ252" i="1"/>
  <c r="DZ253" i="1"/>
  <c r="DZ254" i="1"/>
  <c r="DZ255" i="1"/>
  <c r="DZ256" i="1"/>
  <c r="DZ257" i="1"/>
  <c r="DZ258" i="1"/>
  <c r="DZ259" i="1"/>
  <c r="DZ260" i="1"/>
  <c r="DZ261" i="1"/>
  <c r="DZ262" i="1"/>
  <c r="DZ263" i="1"/>
  <c r="DZ264" i="1"/>
  <c r="DZ265" i="1"/>
  <c r="DZ266" i="1"/>
  <c r="DZ267" i="1"/>
  <c r="DZ268" i="1"/>
  <c r="DZ269" i="1"/>
  <c r="DZ270" i="1"/>
  <c r="DQ270" i="1"/>
  <c r="DQ269" i="1"/>
  <c r="DQ268" i="1"/>
  <c r="DQ267" i="1"/>
  <c r="DQ266" i="1"/>
  <c r="DQ265" i="1"/>
  <c r="DQ264" i="1"/>
  <c r="DQ263" i="1"/>
  <c r="DQ262" i="1"/>
  <c r="DQ261" i="1"/>
  <c r="DQ260" i="1"/>
  <c r="DQ259" i="1"/>
  <c r="DQ258" i="1"/>
  <c r="DQ257" i="1"/>
  <c r="DQ256" i="1"/>
  <c r="DQ255" i="1"/>
  <c r="DQ254" i="1"/>
  <c r="DQ253" i="1"/>
  <c r="DQ252" i="1"/>
  <c r="DQ251" i="1"/>
  <c r="DQ250" i="1"/>
  <c r="DQ249" i="1"/>
  <c r="DQ248" i="1"/>
  <c r="DQ247" i="1"/>
  <c r="DQ246" i="1"/>
  <c r="DQ245" i="1"/>
  <c r="DQ244" i="1"/>
  <c r="DQ243" i="1"/>
  <c r="DQ242" i="1"/>
  <c r="DQ241" i="1"/>
  <c r="DQ240" i="1"/>
  <c r="DQ239" i="1"/>
  <c r="DQ238" i="1"/>
  <c r="DQ237" i="1"/>
  <c r="DQ236" i="1"/>
  <c r="DQ235" i="1"/>
  <c r="DQ234" i="1"/>
  <c r="DQ233" i="1"/>
  <c r="DQ232" i="1"/>
  <c r="DQ231" i="1"/>
  <c r="DQ230" i="1"/>
  <c r="DQ229" i="1"/>
  <c r="DQ228" i="1"/>
  <c r="DQ227" i="1"/>
  <c r="DQ226" i="1"/>
  <c r="DQ225" i="1"/>
  <c r="DQ224" i="1"/>
  <c r="DQ223" i="1"/>
  <c r="DQ222" i="1"/>
  <c r="DQ221" i="1"/>
  <c r="DQ220" i="1"/>
  <c r="DQ219" i="1"/>
  <c r="DQ218" i="1"/>
  <c r="DQ217" i="1"/>
  <c r="DQ216" i="1"/>
  <c r="DQ215" i="1"/>
  <c r="DQ214" i="1"/>
  <c r="DQ213" i="1"/>
  <c r="DQ212" i="1"/>
  <c r="DQ211" i="1"/>
  <c r="DQ210" i="1"/>
  <c r="DQ209" i="1"/>
  <c r="DQ208" i="1"/>
  <c r="DQ207" i="1"/>
  <c r="DQ206" i="1"/>
  <c r="DQ205" i="1"/>
  <c r="DQ204" i="1"/>
  <c r="DQ203" i="1"/>
  <c r="DQ202" i="1"/>
  <c r="DQ201" i="1"/>
  <c r="DQ200" i="1"/>
  <c r="DQ199" i="1"/>
  <c r="DQ198" i="1"/>
  <c r="DQ197" i="1"/>
  <c r="DQ196" i="1"/>
  <c r="DQ195" i="1"/>
  <c r="DQ194" i="1"/>
  <c r="DQ193" i="1"/>
  <c r="DQ192" i="1"/>
  <c r="DQ191" i="1"/>
  <c r="DQ190" i="1"/>
  <c r="DQ189" i="1"/>
  <c r="DQ188" i="1"/>
  <c r="DQ187" i="1"/>
  <c r="DQ186" i="1"/>
  <c r="DQ185" i="1"/>
  <c r="DQ184" i="1"/>
  <c r="DQ183" i="1"/>
  <c r="DQ182" i="1"/>
  <c r="DQ181" i="1"/>
  <c r="DQ180" i="1"/>
  <c r="DQ179" i="1"/>
  <c r="DQ178" i="1"/>
  <c r="DQ177" i="1"/>
  <c r="DQ176" i="1"/>
  <c r="DQ175" i="1"/>
  <c r="DQ174" i="1"/>
  <c r="DQ173" i="1"/>
  <c r="DQ172" i="1"/>
  <c r="DQ171" i="1"/>
  <c r="DQ170" i="1"/>
  <c r="DQ169" i="1"/>
  <c r="DQ168" i="1"/>
  <c r="DQ167" i="1"/>
  <c r="DQ166" i="1"/>
  <c r="DQ165" i="1"/>
  <c r="DQ164" i="1"/>
  <c r="DQ163" i="1"/>
  <c r="DQ162" i="1"/>
  <c r="DQ161" i="1"/>
  <c r="DQ160" i="1"/>
  <c r="DQ159" i="1"/>
  <c r="DQ158" i="1"/>
  <c r="DQ157" i="1"/>
  <c r="DQ156" i="1"/>
  <c r="DQ155" i="1"/>
  <c r="DQ154" i="1"/>
  <c r="DQ153" i="1"/>
  <c r="DQ152" i="1"/>
  <c r="DQ151" i="1"/>
  <c r="DQ150" i="1"/>
  <c r="DQ149" i="1"/>
  <c r="DQ148" i="1"/>
  <c r="DQ147" i="1"/>
  <c r="DQ146" i="1"/>
  <c r="DQ145" i="1"/>
  <c r="DQ144" i="1"/>
  <c r="DQ143" i="1"/>
  <c r="DQ142" i="1"/>
  <c r="DQ141" i="1"/>
  <c r="DQ140" i="1"/>
  <c r="DQ139" i="1"/>
  <c r="DQ138" i="1"/>
  <c r="DQ137" i="1"/>
  <c r="DQ136" i="1"/>
  <c r="DQ135" i="1"/>
  <c r="DQ134" i="1"/>
  <c r="DQ133" i="1"/>
  <c r="DQ132" i="1"/>
  <c r="DQ131" i="1"/>
  <c r="DQ130" i="1"/>
  <c r="DQ129" i="1"/>
  <c r="DQ128" i="1"/>
  <c r="DQ127" i="1"/>
  <c r="DQ126" i="1"/>
  <c r="DQ125" i="1"/>
  <c r="DQ124" i="1"/>
  <c r="DQ123" i="1"/>
  <c r="DQ122" i="1"/>
  <c r="DQ121" i="1"/>
  <c r="DQ120" i="1"/>
  <c r="DQ119" i="1"/>
  <c r="DQ118" i="1"/>
  <c r="DQ117" i="1"/>
  <c r="DQ116" i="1"/>
  <c r="DQ115" i="1"/>
  <c r="DQ114" i="1"/>
  <c r="DQ113" i="1"/>
  <c r="DQ112" i="1"/>
  <c r="DQ111" i="1"/>
  <c r="DQ110" i="1"/>
  <c r="DQ109" i="1"/>
  <c r="DQ108" i="1"/>
  <c r="DQ107" i="1"/>
  <c r="DQ106" i="1"/>
  <c r="DQ105" i="1"/>
  <c r="DQ104" i="1"/>
  <c r="DQ103" i="1"/>
  <c r="DQ102" i="1"/>
  <c r="DQ101" i="1"/>
  <c r="DQ100" i="1"/>
  <c r="DQ99" i="1"/>
  <c r="DQ98" i="1"/>
  <c r="DQ97" i="1"/>
  <c r="DQ96" i="1"/>
  <c r="DQ95" i="1"/>
  <c r="DQ94" i="1"/>
  <c r="DQ93" i="1"/>
  <c r="DQ92" i="1"/>
  <c r="DQ91" i="1"/>
  <c r="DQ90" i="1"/>
  <c r="DQ89" i="1"/>
  <c r="DQ88" i="1"/>
  <c r="DQ87" i="1"/>
  <c r="DQ86" i="1"/>
  <c r="DQ85" i="1"/>
  <c r="DQ84" i="1"/>
  <c r="DQ83" i="1"/>
  <c r="DQ82" i="1"/>
  <c r="DQ81" i="1"/>
  <c r="DQ80" i="1"/>
  <c r="DQ79" i="1"/>
  <c r="DQ78" i="1"/>
  <c r="DQ77" i="1"/>
  <c r="DQ76" i="1"/>
  <c r="DQ75" i="1"/>
  <c r="DQ74" i="1"/>
  <c r="DQ73" i="1"/>
  <c r="DQ72" i="1"/>
  <c r="DQ71" i="1"/>
  <c r="DQ70" i="1"/>
  <c r="DQ69" i="1"/>
  <c r="DQ68" i="1"/>
  <c r="DQ67" i="1"/>
  <c r="DQ66" i="1"/>
  <c r="DQ65" i="1"/>
  <c r="DQ64" i="1"/>
  <c r="DQ63" i="1"/>
  <c r="DQ62" i="1"/>
  <c r="DQ61" i="1"/>
  <c r="DQ60" i="1"/>
  <c r="DQ59" i="1"/>
  <c r="DQ58" i="1"/>
  <c r="DQ57" i="1"/>
  <c r="DQ56" i="1"/>
  <c r="DQ55" i="1"/>
  <c r="DQ54" i="1"/>
  <c r="DQ53" i="1"/>
  <c r="DQ52" i="1"/>
  <c r="DQ51" i="1"/>
  <c r="DQ50" i="1"/>
  <c r="DQ49" i="1"/>
  <c r="DQ48" i="1"/>
  <c r="DQ47" i="1"/>
  <c r="DQ46" i="1"/>
  <c r="DQ45" i="1"/>
  <c r="DQ44" i="1"/>
  <c r="DQ43" i="1"/>
  <c r="DQ42" i="1"/>
  <c r="DQ41" i="1"/>
  <c r="DQ40" i="1"/>
  <c r="DQ39" i="1"/>
  <c r="DQ38" i="1"/>
  <c r="DQ37" i="1"/>
  <c r="DQ36" i="1"/>
  <c r="DQ35" i="1"/>
  <c r="DQ34" i="1"/>
  <c r="DQ33" i="1"/>
  <c r="DQ32" i="1"/>
  <c r="DQ31" i="1"/>
  <c r="DQ30" i="1"/>
  <c r="DQ29" i="1"/>
  <c r="DQ28" i="1"/>
  <c r="DQ27" i="1"/>
  <c r="DQ26" i="1"/>
  <c r="DQ25" i="1"/>
  <c r="DQ24" i="1"/>
  <c r="DQ23" i="1"/>
  <c r="DQ22" i="1"/>
  <c r="DQ21" i="1"/>
  <c r="DQ20" i="1"/>
  <c r="DQ19" i="1"/>
  <c r="DQ18" i="1"/>
  <c r="DQ17" i="1"/>
  <c r="DQ16" i="1"/>
  <c r="DQ15" i="1"/>
  <c r="DQ14" i="1"/>
  <c r="DQ13" i="1"/>
  <c r="DQ12" i="1"/>
  <c r="DQ11" i="1"/>
  <c r="DQ10" i="1"/>
  <c r="DO270" i="1"/>
  <c r="DO269" i="1"/>
  <c r="DO268" i="1"/>
  <c r="DO267" i="1"/>
  <c r="DO266" i="1"/>
  <c r="DO265" i="1"/>
  <c r="DO264" i="1"/>
  <c r="DO263" i="1"/>
  <c r="DO262" i="1"/>
  <c r="DO261" i="1"/>
  <c r="DO260" i="1"/>
  <c r="DO259" i="1"/>
  <c r="DO258" i="1"/>
  <c r="DO257" i="1"/>
  <c r="DO256" i="1"/>
  <c r="DO255" i="1"/>
  <c r="DO254" i="1"/>
  <c r="DO253" i="1"/>
  <c r="DO252" i="1"/>
  <c r="DO251" i="1"/>
  <c r="DO250" i="1"/>
  <c r="DO249" i="1"/>
  <c r="DO248" i="1"/>
  <c r="DO247" i="1"/>
  <c r="DO246" i="1"/>
  <c r="DO245" i="1"/>
  <c r="DO244" i="1"/>
  <c r="DO243" i="1"/>
  <c r="DO242" i="1"/>
  <c r="DO241" i="1"/>
  <c r="DO240" i="1"/>
  <c r="DO239" i="1"/>
  <c r="DO238" i="1"/>
  <c r="DO237" i="1"/>
  <c r="DO236" i="1"/>
  <c r="DO235" i="1"/>
  <c r="DO234" i="1"/>
  <c r="DO233" i="1"/>
  <c r="DO232" i="1"/>
  <c r="DO231" i="1"/>
  <c r="DO230" i="1"/>
  <c r="DO229" i="1"/>
  <c r="DO228" i="1"/>
  <c r="DO227" i="1"/>
  <c r="DO226" i="1"/>
  <c r="DO225" i="1"/>
  <c r="DO224" i="1"/>
  <c r="DO223" i="1"/>
  <c r="DO222" i="1"/>
  <c r="DO221" i="1"/>
  <c r="DO220" i="1"/>
  <c r="DO219" i="1"/>
  <c r="DO218" i="1"/>
  <c r="DO217" i="1"/>
  <c r="DO216" i="1"/>
  <c r="DO215" i="1"/>
  <c r="DO214" i="1"/>
  <c r="DO213" i="1"/>
  <c r="DO212" i="1"/>
  <c r="DO211" i="1"/>
  <c r="DO210" i="1"/>
  <c r="DO209" i="1"/>
  <c r="DO208" i="1"/>
  <c r="DO207" i="1"/>
  <c r="DO206" i="1"/>
  <c r="DO205" i="1"/>
  <c r="DO204" i="1"/>
  <c r="DO203" i="1"/>
  <c r="DO202" i="1"/>
  <c r="DO201" i="1"/>
  <c r="DO200" i="1"/>
  <c r="DO199" i="1"/>
  <c r="DO198" i="1"/>
  <c r="DO197" i="1"/>
  <c r="DO196" i="1"/>
  <c r="DO195" i="1"/>
  <c r="DO194" i="1"/>
  <c r="DO193" i="1"/>
  <c r="DO192" i="1"/>
  <c r="DO191" i="1"/>
  <c r="DO190" i="1"/>
  <c r="DO189" i="1"/>
  <c r="DO188" i="1"/>
  <c r="DO187" i="1"/>
  <c r="DO186" i="1"/>
  <c r="DO185" i="1"/>
  <c r="DO184" i="1"/>
  <c r="DO183" i="1"/>
  <c r="DO182" i="1"/>
  <c r="DO181" i="1"/>
  <c r="DO180" i="1"/>
  <c r="DO179" i="1"/>
  <c r="DO178" i="1"/>
  <c r="DO177" i="1"/>
  <c r="DO176" i="1"/>
  <c r="DO175" i="1"/>
  <c r="DO174" i="1"/>
  <c r="DO173" i="1"/>
  <c r="DO172" i="1"/>
  <c r="DO171" i="1"/>
  <c r="DO170" i="1"/>
  <c r="DO169" i="1"/>
  <c r="DO168" i="1"/>
  <c r="DO167" i="1"/>
  <c r="DO166" i="1"/>
  <c r="DO165" i="1"/>
  <c r="DO164" i="1"/>
  <c r="DO163" i="1"/>
  <c r="DO162" i="1"/>
  <c r="DO161" i="1"/>
  <c r="DO160" i="1"/>
  <c r="DO159" i="1"/>
  <c r="DO158" i="1"/>
  <c r="DO157" i="1"/>
  <c r="DO156" i="1"/>
  <c r="DO155" i="1"/>
  <c r="DO154" i="1"/>
  <c r="DO153" i="1"/>
  <c r="DO152" i="1"/>
  <c r="DO151" i="1"/>
  <c r="DO150" i="1"/>
  <c r="DO149" i="1"/>
  <c r="DO148" i="1"/>
  <c r="DO147" i="1"/>
  <c r="DO146" i="1"/>
  <c r="DO145" i="1"/>
  <c r="DO144" i="1"/>
  <c r="DO143" i="1"/>
  <c r="DO142" i="1"/>
  <c r="DO141" i="1"/>
  <c r="DO140" i="1"/>
  <c r="DO139" i="1"/>
  <c r="DO138" i="1"/>
  <c r="DO137" i="1"/>
  <c r="DO136" i="1"/>
  <c r="DO135" i="1"/>
  <c r="DO134" i="1"/>
  <c r="DO133" i="1"/>
  <c r="DO132" i="1"/>
  <c r="DO131" i="1"/>
  <c r="DO130" i="1"/>
  <c r="DO129" i="1"/>
  <c r="DO128" i="1"/>
  <c r="DO127" i="1"/>
  <c r="DO126" i="1"/>
  <c r="DO125" i="1"/>
  <c r="DO124" i="1"/>
  <c r="DO123" i="1"/>
  <c r="DO122" i="1"/>
  <c r="DO121" i="1"/>
  <c r="DO120" i="1"/>
  <c r="DO119" i="1"/>
  <c r="DO118" i="1"/>
  <c r="DO117" i="1"/>
  <c r="DO116" i="1"/>
  <c r="DO115" i="1"/>
  <c r="DO114" i="1"/>
  <c r="DO113" i="1"/>
  <c r="DO112" i="1"/>
  <c r="DO111" i="1"/>
  <c r="DO110" i="1"/>
  <c r="DO109" i="1"/>
  <c r="DO108" i="1"/>
  <c r="DO107" i="1"/>
  <c r="DO106" i="1"/>
  <c r="DO105" i="1"/>
  <c r="DO104" i="1"/>
  <c r="DO103" i="1"/>
  <c r="DO102" i="1"/>
  <c r="DO101" i="1"/>
  <c r="DO100" i="1"/>
  <c r="DO99" i="1"/>
  <c r="DO98" i="1"/>
  <c r="DO97" i="1"/>
  <c r="DO96" i="1"/>
  <c r="DO95" i="1"/>
  <c r="DO94" i="1"/>
  <c r="DO93" i="1"/>
  <c r="DO92" i="1"/>
  <c r="DO91" i="1"/>
  <c r="DO90" i="1"/>
  <c r="DO89" i="1"/>
  <c r="DO88" i="1"/>
  <c r="DO87" i="1"/>
  <c r="DO86" i="1"/>
  <c r="DO85" i="1"/>
  <c r="DO84" i="1"/>
  <c r="DO83" i="1"/>
  <c r="DO82" i="1"/>
  <c r="DO81" i="1"/>
  <c r="DO80" i="1"/>
  <c r="DO79" i="1"/>
  <c r="DO78" i="1"/>
  <c r="DO77" i="1"/>
  <c r="DO76" i="1"/>
  <c r="DO75" i="1"/>
  <c r="DO74" i="1"/>
  <c r="DO73" i="1"/>
  <c r="DO72" i="1"/>
  <c r="DO71" i="1"/>
  <c r="DO70" i="1"/>
  <c r="DO69" i="1"/>
  <c r="DO68" i="1"/>
  <c r="DO67" i="1"/>
  <c r="DO66" i="1"/>
  <c r="DO65" i="1"/>
  <c r="DO64" i="1"/>
  <c r="DO63" i="1"/>
  <c r="DO62" i="1"/>
  <c r="DO61" i="1"/>
  <c r="DO60" i="1"/>
  <c r="DO59" i="1"/>
  <c r="DO58" i="1"/>
  <c r="DO57" i="1"/>
  <c r="DO56" i="1"/>
  <c r="DO55" i="1"/>
  <c r="DO54" i="1"/>
  <c r="DO53" i="1"/>
  <c r="DO52" i="1"/>
  <c r="DO51" i="1"/>
  <c r="DO50" i="1"/>
  <c r="DO49" i="1"/>
  <c r="DO48" i="1"/>
  <c r="DO47" i="1"/>
  <c r="DO46" i="1"/>
  <c r="DO45" i="1"/>
  <c r="DO44" i="1"/>
  <c r="DO43" i="1"/>
  <c r="DO42" i="1"/>
  <c r="DO41" i="1"/>
  <c r="DO40" i="1"/>
  <c r="DO39" i="1"/>
  <c r="DO38" i="1"/>
  <c r="DO37" i="1"/>
  <c r="DO36" i="1"/>
  <c r="DO35" i="1"/>
  <c r="DO34" i="1"/>
  <c r="DO33" i="1"/>
  <c r="DO32" i="1"/>
  <c r="DO31" i="1"/>
  <c r="DO30" i="1"/>
  <c r="DO29" i="1"/>
  <c r="DO28" i="1"/>
  <c r="DO27" i="1"/>
  <c r="DO26" i="1"/>
  <c r="DO25" i="1"/>
  <c r="DO24" i="1"/>
  <c r="DO23" i="1"/>
  <c r="DO22" i="1"/>
  <c r="DO21" i="1"/>
  <c r="DO20" i="1"/>
  <c r="DO19" i="1"/>
  <c r="DO18" i="1"/>
  <c r="DO17" i="1"/>
  <c r="DO16" i="1"/>
  <c r="DO15" i="1"/>
  <c r="DO14" i="1"/>
  <c r="DO13" i="1"/>
  <c r="DO12" i="1"/>
  <c r="DO11" i="1"/>
  <c r="DO10" i="1"/>
  <c r="DX270" i="1"/>
  <c r="DX269" i="1"/>
  <c r="DX268" i="1"/>
  <c r="DX267" i="1"/>
  <c r="DX266" i="1"/>
  <c r="DX265" i="1"/>
  <c r="DX264" i="1"/>
  <c r="DX263" i="1"/>
  <c r="DX262" i="1"/>
  <c r="DX261" i="1"/>
  <c r="DX260" i="1"/>
  <c r="DX259" i="1"/>
  <c r="DX258" i="1"/>
  <c r="DX257" i="1"/>
  <c r="DX256" i="1"/>
  <c r="DX255" i="1"/>
  <c r="DX254" i="1"/>
  <c r="DX253" i="1"/>
  <c r="DX252" i="1"/>
  <c r="DX251" i="1"/>
  <c r="DX250" i="1"/>
  <c r="DX249" i="1"/>
  <c r="DX248" i="1"/>
  <c r="DX247" i="1"/>
  <c r="DX246" i="1"/>
  <c r="DX245" i="1"/>
  <c r="DX244" i="1"/>
  <c r="DX243" i="1"/>
  <c r="DX242" i="1"/>
  <c r="DX241" i="1"/>
  <c r="DX240" i="1"/>
  <c r="DX239" i="1"/>
  <c r="DX238" i="1"/>
  <c r="DX237" i="1"/>
  <c r="DX236" i="1"/>
  <c r="DX235" i="1"/>
  <c r="DX234" i="1"/>
  <c r="DX233" i="1"/>
  <c r="DX232" i="1"/>
  <c r="DX231" i="1"/>
  <c r="DX230" i="1"/>
  <c r="DX229" i="1"/>
  <c r="DX228" i="1"/>
  <c r="DX227" i="1"/>
  <c r="DX226" i="1"/>
  <c r="DX225" i="1"/>
  <c r="DX224" i="1"/>
  <c r="DX223" i="1"/>
  <c r="DX222" i="1"/>
  <c r="DX221" i="1"/>
  <c r="DX220" i="1"/>
  <c r="DX219" i="1"/>
  <c r="DX218" i="1"/>
  <c r="DX217" i="1"/>
  <c r="DX216" i="1"/>
  <c r="DX215" i="1"/>
  <c r="DX214" i="1"/>
  <c r="DX213" i="1"/>
  <c r="DX212" i="1"/>
  <c r="DX211" i="1"/>
  <c r="DX210" i="1"/>
  <c r="DX209" i="1"/>
  <c r="DX208" i="1"/>
  <c r="DX207" i="1"/>
  <c r="DX206" i="1"/>
  <c r="DX205" i="1"/>
  <c r="DX204" i="1"/>
  <c r="DX203" i="1"/>
  <c r="DX202" i="1"/>
  <c r="DX201" i="1"/>
  <c r="DX200" i="1"/>
  <c r="DX199" i="1"/>
  <c r="DX198" i="1"/>
  <c r="DX197" i="1"/>
  <c r="DX196" i="1"/>
  <c r="DX195" i="1"/>
  <c r="DX194" i="1"/>
  <c r="DX193" i="1"/>
  <c r="DX192" i="1"/>
  <c r="DX191" i="1"/>
  <c r="DX190" i="1"/>
  <c r="DX189" i="1"/>
  <c r="DX188" i="1"/>
  <c r="DX187" i="1"/>
  <c r="DX186" i="1"/>
  <c r="DX185" i="1"/>
  <c r="DX184" i="1"/>
  <c r="DX183" i="1"/>
  <c r="DX182" i="1"/>
  <c r="DX181" i="1"/>
  <c r="DX180" i="1"/>
  <c r="DX179" i="1"/>
  <c r="DX178" i="1"/>
  <c r="DX177" i="1"/>
  <c r="DX176" i="1"/>
  <c r="DX175" i="1"/>
  <c r="DX174" i="1"/>
  <c r="DX173" i="1"/>
  <c r="DX172" i="1"/>
  <c r="DX171" i="1"/>
  <c r="DX170" i="1"/>
  <c r="DX169" i="1"/>
  <c r="DX168" i="1"/>
  <c r="DX167" i="1"/>
  <c r="DX166" i="1"/>
  <c r="DX165" i="1"/>
  <c r="DX164" i="1"/>
  <c r="DX163" i="1"/>
  <c r="DX162" i="1"/>
  <c r="DX161" i="1"/>
  <c r="DX160" i="1"/>
  <c r="DX159" i="1"/>
  <c r="DX158" i="1"/>
  <c r="DX157" i="1"/>
  <c r="DX156" i="1"/>
  <c r="DX155" i="1"/>
  <c r="DX154" i="1"/>
  <c r="DX153" i="1"/>
  <c r="DX152" i="1"/>
  <c r="DX151" i="1"/>
  <c r="DX150" i="1"/>
  <c r="DX149" i="1"/>
  <c r="DX148" i="1"/>
  <c r="DX147" i="1"/>
  <c r="DX146" i="1"/>
  <c r="DX145" i="1"/>
  <c r="DX144" i="1"/>
  <c r="DX143" i="1"/>
  <c r="DX142" i="1"/>
  <c r="DX141" i="1"/>
  <c r="DX140" i="1"/>
  <c r="DX139" i="1"/>
  <c r="DX138" i="1"/>
  <c r="DX137" i="1"/>
  <c r="DX136" i="1"/>
  <c r="DX135" i="1"/>
  <c r="DX134" i="1"/>
  <c r="DX133" i="1"/>
  <c r="DX132" i="1"/>
  <c r="DX131" i="1"/>
  <c r="DX130" i="1"/>
  <c r="DX129" i="1"/>
  <c r="DX128" i="1"/>
  <c r="DX127" i="1"/>
  <c r="DX126" i="1"/>
  <c r="DX125" i="1"/>
  <c r="DX124" i="1"/>
  <c r="DX123" i="1"/>
  <c r="DX122" i="1"/>
  <c r="DX121" i="1"/>
  <c r="DX120" i="1"/>
  <c r="DX119" i="1"/>
  <c r="DX118" i="1"/>
  <c r="DX117" i="1"/>
  <c r="DX116" i="1"/>
  <c r="DX115" i="1"/>
  <c r="DX114" i="1"/>
  <c r="DX113" i="1"/>
  <c r="DX112" i="1"/>
  <c r="DX111" i="1"/>
  <c r="DX110" i="1"/>
  <c r="DX109" i="1"/>
  <c r="DX108" i="1"/>
  <c r="DX107" i="1"/>
  <c r="DX106" i="1"/>
  <c r="DX105" i="1"/>
  <c r="DX104" i="1"/>
  <c r="DX103" i="1"/>
  <c r="DX102" i="1"/>
  <c r="DX101" i="1"/>
  <c r="DX100" i="1"/>
  <c r="DX99" i="1"/>
  <c r="DX98" i="1"/>
  <c r="DX97" i="1"/>
  <c r="DX96" i="1"/>
  <c r="DX95" i="1"/>
  <c r="DX94" i="1"/>
  <c r="DX93" i="1"/>
  <c r="DX92" i="1"/>
  <c r="DX91" i="1"/>
  <c r="DX90" i="1"/>
  <c r="DX89" i="1"/>
  <c r="DX88" i="1"/>
  <c r="DX87" i="1"/>
  <c r="DX86" i="1"/>
  <c r="DX85" i="1"/>
  <c r="DX84" i="1"/>
  <c r="DX83" i="1"/>
  <c r="DX82" i="1"/>
  <c r="DX81" i="1"/>
  <c r="DX80" i="1"/>
  <c r="DX79" i="1"/>
  <c r="DX78" i="1"/>
  <c r="DX77" i="1"/>
  <c r="DX76" i="1"/>
  <c r="DX75" i="1"/>
  <c r="DX74" i="1"/>
  <c r="DX73" i="1"/>
  <c r="DX72" i="1"/>
  <c r="DX71" i="1"/>
  <c r="DX70" i="1"/>
  <c r="DX69" i="1"/>
  <c r="DX68" i="1"/>
  <c r="DX67" i="1"/>
  <c r="DX66" i="1"/>
  <c r="DX65" i="1"/>
  <c r="DX64" i="1"/>
  <c r="DX63" i="1"/>
  <c r="DX62" i="1"/>
  <c r="DX61" i="1"/>
  <c r="DX60" i="1"/>
  <c r="DX59" i="1"/>
  <c r="DX58" i="1"/>
  <c r="DX57" i="1"/>
  <c r="DX56" i="1"/>
  <c r="DX55" i="1"/>
  <c r="DX54" i="1"/>
  <c r="DX53" i="1"/>
  <c r="DX52" i="1"/>
  <c r="DX51" i="1"/>
  <c r="DX50" i="1"/>
  <c r="DX49" i="1"/>
  <c r="DX48" i="1"/>
  <c r="DX47" i="1"/>
  <c r="DX46" i="1"/>
  <c r="DX45" i="1"/>
  <c r="DX44" i="1"/>
  <c r="DX43" i="1"/>
  <c r="DX42" i="1"/>
  <c r="DX41" i="1"/>
  <c r="DX40" i="1"/>
  <c r="DX39" i="1"/>
  <c r="DX38" i="1"/>
  <c r="DX37" i="1"/>
  <c r="DX36" i="1"/>
  <c r="DX35" i="1"/>
  <c r="DX34" i="1"/>
  <c r="DX33" i="1"/>
  <c r="DX32" i="1"/>
  <c r="DX31" i="1"/>
  <c r="DX30" i="1"/>
  <c r="DX29" i="1"/>
  <c r="DX28" i="1"/>
  <c r="DX27" i="1"/>
  <c r="DX26" i="1"/>
  <c r="DX25" i="1"/>
  <c r="DX24" i="1"/>
  <c r="DX23" i="1"/>
  <c r="DX22" i="1"/>
  <c r="DX21" i="1"/>
  <c r="DX20" i="1"/>
  <c r="DX19" i="1"/>
  <c r="DX18" i="1"/>
  <c r="DX17" i="1"/>
  <c r="DX16" i="1"/>
  <c r="DX15" i="1"/>
  <c r="DX14" i="1"/>
  <c r="DX13" i="1"/>
  <c r="DX12" i="1"/>
  <c r="DX11" i="1"/>
  <c r="DX10" i="1"/>
  <c r="DY10" i="1"/>
  <c r="DY11" i="1"/>
  <c r="DY12" i="1"/>
  <c r="DY13" i="1"/>
  <c r="DY14" i="1"/>
  <c r="DY15" i="1"/>
  <c r="DY16" i="1"/>
  <c r="DY17" i="1"/>
  <c r="DY18" i="1"/>
  <c r="DY19" i="1"/>
  <c r="DY20" i="1"/>
  <c r="DY21" i="1"/>
  <c r="DY22" i="1"/>
  <c r="DY23" i="1"/>
  <c r="DY24" i="1"/>
  <c r="DY25" i="1"/>
  <c r="DY26" i="1"/>
  <c r="DY27" i="1"/>
  <c r="DY28" i="1"/>
  <c r="DY29" i="1"/>
  <c r="DY30" i="1"/>
  <c r="DY31" i="1"/>
  <c r="DY32" i="1"/>
  <c r="DY33" i="1"/>
  <c r="DY34" i="1"/>
  <c r="DY35" i="1"/>
  <c r="DY36" i="1"/>
  <c r="DY37" i="1"/>
  <c r="DY38" i="1"/>
  <c r="DY39" i="1"/>
  <c r="DY40" i="1"/>
  <c r="DY41" i="1"/>
  <c r="DY42" i="1"/>
  <c r="DY43" i="1"/>
  <c r="DY44" i="1"/>
  <c r="DY45" i="1"/>
  <c r="DY46" i="1"/>
  <c r="DY47" i="1"/>
  <c r="DY48" i="1"/>
  <c r="DY49" i="1"/>
  <c r="DY50" i="1"/>
  <c r="DY51" i="1"/>
  <c r="DY52" i="1"/>
  <c r="DY53" i="1"/>
  <c r="DY54" i="1"/>
  <c r="DY55" i="1"/>
  <c r="DY56" i="1"/>
  <c r="DY57" i="1"/>
  <c r="DY58" i="1"/>
  <c r="DY59" i="1"/>
  <c r="DY60" i="1"/>
  <c r="DY61" i="1"/>
  <c r="DY62" i="1"/>
  <c r="DY63" i="1"/>
  <c r="DY64" i="1"/>
  <c r="DY65" i="1"/>
  <c r="DY66" i="1"/>
  <c r="DY67" i="1"/>
  <c r="DY68" i="1"/>
  <c r="DY69" i="1"/>
  <c r="DY70" i="1"/>
  <c r="DY71" i="1"/>
  <c r="DY72" i="1"/>
  <c r="DY73" i="1"/>
  <c r="DY74" i="1"/>
  <c r="DY75" i="1"/>
  <c r="DY76" i="1"/>
  <c r="DY77" i="1"/>
  <c r="DY78" i="1"/>
  <c r="DY79" i="1"/>
  <c r="DY80" i="1"/>
  <c r="DY81" i="1"/>
  <c r="DY82" i="1"/>
  <c r="DY83" i="1"/>
  <c r="DY84" i="1"/>
  <c r="DY85" i="1"/>
  <c r="DY86" i="1"/>
  <c r="DY87" i="1"/>
  <c r="DY88" i="1"/>
  <c r="DY89" i="1"/>
  <c r="DY90" i="1"/>
  <c r="DY91" i="1"/>
  <c r="DY92" i="1"/>
  <c r="DY93" i="1"/>
  <c r="DY94" i="1"/>
  <c r="DY95" i="1"/>
  <c r="DY96" i="1"/>
  <c r="DY97" i="1"/>
  <c r="DY98" i="1"/>
  <c r="DY99" i="1"/>
  <c r="DY100" i="1"/>
  <c r="DY101" i="1"/>
  <c r="DY102" i="1"/>
  <c r="DY103" i="1"/>
  <c r="DY104" i="1"/>
  <c r="DY105" i="1"/>
  <c r="DY106" i="1"/>
  <c r="DY107" i="1"/>
  <c r="DY108" i="1"/>
  <c r="DY109" i="1"/>
  <c r="DY110" i="1"/>
  <c r="DY111" i="1"/>
  <c r="DY112" i="1"/>
  <c r="DY113" i="1"/>
  <c r="DY114" i="1"/>
  <c r="DY115" i="1"/>
  <c r="DY116" i="1"/>
  <c r="DY117" i="1"/>
  <c r="DY118" i="1"/>
  <c r="DY119" i="1"/>
  <c r="DY120" i="1"/>
  <c r="DY121" i="1"/>
  <c r="DY122" i="1"/>
  <c r="DY123" i="1"/>
  <c r="DY124" i="1"/>
  <c r="DY125" i="1"/>
  <c r="DY126" i="1"/>
  <c r="DY127" i="1"/>
  <c r="DY128" i="1"/>
  <c r="DY129" i="1"/>
  <c r="DY130" i="1"/>
  <c r="DY131" i="1"/>
  <c r="DY132" i="1"/>
  <c r="DY133" i="1"/>
  <c r="DY134" i="1"/>
  <c r="DY135" i="1"/>
  <c r="DY136" i="1"/>
  <c r="DY137" i="1"/>
  <c r="DY138" i="1"/>
  <c r="DY139" i="1"/>
  <c r="DY140" i="1"/>
  <c r="DY141" i="1"/>
  <c r="DY142" i="1"/>
  <c r="DY143" i="1"/>
  <c r="DY144" i="1"/>
  <c r="DY145" i="1"/>
  <c r="DY146" i="1"/>
  <c r="DY147" i="1"/>
  <c r="DY148" i="1"/>
  <c r="DY149" i="1"/>
  <c r="DY150" i="1"/>
  <c r="DY151" i="1"/>
  <c r="DY152" i="1"/>
  <c r="DY153" i="1"/>
  <c r="DY154" i="1"/>
  <c r="DY155" i="1"/>
  <c r="DY156" i="1"/>
  <c r="DY157" i="1"/>
  <c r="DY158" i="1"/>
  <c r="DY159" i="1"/>
  <c r="DY160" i="1"/>
  <c r="DY161" i="1"/>
  <c r="DY162" i="1"/>
  <c r="DY163" i="1"/>
  <c r="DY164" i="1"/>
  <c r="DY165" i="1"/>
  <c r="DY166" i="1"/>
  <c r="DY167" i="1"/>
  <c r="DY168" i="1"/>
  <c r="DY169" i="1"/>
  <c r="DY170" i="1"/>
  <c r="DY171" i="1"/>
  <c r="DY172" i="1"/>
  <c r="DY173" i="1"/>
  <c r="DY174" i="1"/>
  <c r="DY175" i="1"/>
  <c r="DY176" i="1"/>
  <c r="DY177" i="1"/>
  <c r="DY178" i="1"/>
  <c r="DY179" i="1"/>
  <c r="DY180" i="1"/>
  <c r="DY181" i="1"/>
  <c r="DY182" i="1"/>
  <c r="DY183" i="1"/>
  <c r="DY184" i="1"/>
  <c r="DY185" i="1"/>
  <c r="DY186" i="1"/>
  <c r="DY187" i="1"/>
  <c r="DY188" i="1"/>
  <c r="DY189" i="1"/>
  <c r="DY190" i="1"/>
  <c r="DY191" i="1"/>
  <c r="DY192" i="1"/>
  <c r="DY193" i="1"/>
  <c r="DY194" i="1"/>
  <c r="DY195" i="1"/>
  <c r="DY196" i="1"/>
  <c r="DY197" i="1"/>
  <c r="DY198" i="1"/>
  <c r="DY199" i="1"/>
  <c r="DY200" i="1"/>
  <c r="DY201" i="1"/>
  <c r="DY202" i="1"/>
  <c r="DY203" i="1"/>
  <c r="DY204" i="1"/>
  <c r="DY205" i="1"/>
  <c r="DY206" i="1"/>
  <c r="DY207" i="1"/>
  <c r="DY208" i="1"/>
  <c r="DY209" i="1"/>
  <c r="DY210" i="1"/>
  <c r="DY211" i="1"/>
  <c r="DY212" i="1"/>
  <c r="DY213" i="1"/>
  <c r="DY214" i="1"/>
  <c r="DY215" i="1"/>
  <c r="DY216" i="1"/>
  <c r="DY217" i="1"/>
  <c r="DY218" i="1"/>
  <c r="DY219" i="1"/>
  <c r="DY220" i="1"/>
  <c r="DY221" i="1"/>
  <c r="DY222" i="1"/>
  <c r="DY223" i="1"/>
  <c r="DY224" i="1"/>
  <c r="DY225" i="1"/>
  <c r="DY226" i="1"/>
  <c r="DY227" i="1"/>
  <c r="DY228" i="1"/>
  <c r="DY229" i="1"/>
  <c r="DY230" i="1"/>
  <c r="DY231" i="1"/>
  <c r="DY232" i="1"/>
  <c r="DY233" i="1"/>
  <c r="DY234" i="1"/>
  <c r="DY235" i="1"/>
  <c r="DY236" i="1"/>
  <c r="DY237" i="1"/>
  <c r="DY238" i="1"/>
  <c r="DY239" i="1"/>
  <c r="DY240" i="1"/>
  <c r="DY241" i="1"/>
  <c r="DY242" i="1"/>
  <c r="DY243" i="1"/>
  <c r="DY244" i="1"/>
  <c r="DY245" i="1"/>
  <c r="DY246" i="1"/>
  <c r="DY247" i="1"/>
  <c r="DY248" i="1"/>
  <c r="DY249" i="1"/>
  <c r="DY250" i="1"/>
  <c r="DY251" i="1"/>
  <c r="DY252" i="1"/>
  <c r="DY253" i="1"/>
  <c r="DY254" i="1"/>
  <c r="DY255" i="1"/>
  <c r="DY256" i="1"/>
  <c r="DY257" i="1"/>
  <c r="DY258" i="1"/>
  <c r="DY259" i="1"/>
  <c r="DY260" i="1"/>
  <c r="DY261" i="1"/>
  <c r="DY262" i="1"/>
  <c r="DY263" i="1"/>
  <c r="DY264" i="1"/>
  <c r="DY265" i="1"/>
  <c r="DY266" i="1"/>
  <c r="DY267" i="1"/>
  <c r="DY268" i="1"/>
  <c r="DY269" i="1"/>
  <c r="DY270" i="1"/>
  <c r="DU10" i="1"/>
  <c r="DU11" i="1"/>
  <c r="DU12" i="1"/>
  <c r="DU13" i="1"/>
  <c r="DU14" i="1"/>
  <c r="DU15" i="1"/>
  <c r="DU16" i="1"/>
  <c r="DU17" i="1"/>
  <c r="DU18" i="1"/>
  <c r="DU19" i="1"/>
  <c r="DU20" i="1"/>
  <c r="DU21" i="1"/>
  <c r="DU22" i="1"/>
  <c r="DU23" i="1"/>
  <c r="DU24" i="1"/>
  <c r="DU25" i="1"/>
  <c r="DU26" i="1"/>
  <c r="DU27" i="1"/>
  <c r="DU28" i="1"/>
  <c r="DU29" i="1"/>
  <c r="DU30" i="1"/>
  <c r="DU31" i="1"/>
  <c r="DU32" i="1"/>
  <c r="DU33" i="1"/>
  <c r="DU34" i="1"/>
  <c r="DU35" i="1"/>
  <c r="DU36" i="1"/>
  <c r="DU37" i="1"/>
  <c r="DU38" i="1"/>
  <c r="DU39" i="1"/>
  <c r="DU40" i="1"/>
  <c r="DU41" i="1"/>
  <c r="DU42" i="1"/>
  <c r="DU43" i="1"/>
  <c r="DU44" i="1"/>
  <c r="DU45" i="1"/>
  <c r="DU46" i="1"/>
  <c r="DU47" i="1"/>
  <c r="DU48" i="1"/>
  <c r="DU49" i="1"/>
  <c r="DU50" i="1"/>
  <c r="DU51" i="1"/>
  <c r="DU52" i="1"/>
  <c r="DU53" i="1"/>
  <c r="DU54" i="1"/>
  <c r="DU55" i="1"/>
  <c r="DU56" i="1"/>
  <c r="DU57" i="1"/>
  <c r="DU58" i="1"/>
  <c r="DU59" i="1"/>
  <c r="DU60" i="1"/>
  <c r="DU61" i="1"/>
  <c r="DU62" i="1"/>
  <c r="DU63" i="1"/>
  <c r="DU64" i="1"/>
  <c r="DU65" i="1"/>
  <c r="DU66" i="1"/>
  <c r="DU67" i="1"/>
  <c r="DU68" i="1"/>
  <c r="DU69" i="1"/>
  <c r="DU70" i="1"/>
  <c r="DU71" i="1"/>
  <c r="DU72" i="1"/>
  <c r="DU73" i="1"/>
  <c r="DU74" i="1"/>
  <c r="DU75" i="1"/>
  <c r="DU76" i="1"/>
  <c r="DU77" i="1"/>
  <c r="DU78" i="1"/>
  <c r="DU79" i="1"/>
  <c r="DU80" i="1"/>
  <c r="DU81" i="1"/>
  <c r="DU82" i="1"/>
  <c r="DU83" i="1"/>
  <c r="DU84" i="1"/>
  <c r="DU85" i="1"/>
  <c r="DU86" i="1"/>
  <c r="DU87" i="1"/>
  <c r="DU88" i="1"/>
  <c r="DU89" i="1"/>
  <c r="DU90" i="1"/>
  <c r="DU91" i="1"/>
  <c r="DU92" i="1"/>
  <c r="DU93" i="1"/>
  <c r="DU94" i="1"/>
  <c r="DU95" i="1"/>
  <c r="DU96" i="1"/>
  <c r="DU97" i="1"/>
  <c r="DU98" i="1"/>
  <c r="DU99" i="1"/>
  <c r="DU100" i="1"/>
  <c r="DU101" i="1"/>
  <c r="DU102" i="1"/>
  <c r="DU103" i="1"/>
  <c r="DU104" i="1"/>
  <c r="DU105" i="1"/>
  <c r="DU106" i="1"/>
  <c r="DU107" i="1"/>
  <c r="DU108" i="1"/>
  <c r="DU109" i="1"/>
  <c r="DU110" i="1"/>
  <c r="DU111" i="1"/>
  <c r="DU112" i="1"/>
  <c r="DU113" i="1"/>
  <c r="DU114" i="1"/>
  <c r="DU115" i="1"/>
  <c r="DU116" i="1"/>
  <c r="DU117" i="1"/>
  <c r="DU118" i="1"/>
  <c r="DU119" i="1"/>
  <c r="DU120" i="1"/>
  <c r="DU121" i="1"/>
  <c r="DU122" i="1"/>
  <c r="DU123" i="1"/>
  <c r="DU124" i="1"/>
  <c r="DU125" i="1"/>
  <c r="DU126" i="1"/>
  <c r="DU127" i="1"/>
  <c r="DU128" i="1"/>
  <c r="DU129" i="1"/>
  <c r="DU130" i="1"/>
  <c r="DU131" i="1"/>
  <c r="DU132" i="1"/>
  <c r="DU133" i="1"/>
  <c r="DU134" i="1"/>
  <c r="DU135" i="1"/>
  <c r="DU136" i="1"/>
  <c r="DU137" i="1"/>
  <c r="DU138" i="1"/>
  <c r="DU139" i="1"/>
  <c r="DU140" i="1"/>
  <c r="DU141" i="1"/>
  <c r="DU142" i="1"/>
  <c r="DU143" i="1"/>
  <c r="DU144" i="1"/>
  <c r="DU145" i="1"/>
  <c r="DU146" i="1"/>
  <c r="DU147" i="1"/>
  <c r="DU148" i="1"/>
  <c r="DU149" i="1"/>
  <c r="DU150" i="1"/>
  <c r="DU151" i="1"/>
  <c r="DU152" i="1"/>
  <c r="DU153" i="1"/>
  <c r="DU154" i="1"/>
  <c r="DU155" i="1"/>
  <c r="DU156" i="1"/>
  <c r="DU157" i="1"/>
  <c r="DU158" i="1"/>
  <c r="DU159" i="1"/>
  <c r="DU160" i="1"/>
  <c r="DU161" i="1"/>
  <c r="DU162" i="1"/>
  <c r="DU163" i="1"/>
  <c r="DU164" i="1"/>
  <c r="DU165" i="1"/>
  <c r="DU166" i="1"/>
  <c r="DU167" i="1"/>
  <c r="DU168" i="1"/>
  <c r="DU169" i="1"/>
  <c r="DU170" i="1"/>
  <c r="DU171" i="1"/>
  <c r="DU172" i="1"/>
  <c r="DU173" i="1"/>
  <c r="DU174" i="1"/>
  <c r="DU175" i="1"/>
  <c r="DU176" i="1"/>
  <c r="DU177" i="1"/>
  <c r="DU178" i="1"/>
  <c r="DU179" i="1"/>
  <c r="DU180" i="1"/>
  <c r="DU181" i="1"/>
  <c r="DU182" i="1"/>
  <c r="DU183" i="1"/>
  <c r="DU184" i="1"/>
  <c r="DU185" i="1"/>
  <c r="DU186" i="1"/>
  <c r="DU187" i="1"/>
  <c r="DU188" i="1"/>
  <c r="DU189" i="1"/>
  <c r="DU190" i="1"/>
  <c r="DU191" i="1"/>
  <c r="DU192" i="1"/>
  <c r="DU193" i="1"/>
  <c r="DU194" i="1"/>
  <c r="DU195" i="1"/>
  <c r="DU196" i="1"/>
  <c r="DU197" i="1"/>
  <c r="DU198" i="1"/>
  <c r="DU199" i="1"/>
  <c r="DU200" i="1"/>
  <c r="DU201" i="1"/>
  <c r="DU202" i="1"/>
  <c r="DU203" i="1"/>
  <c r="DU204" i="1"/>
  <c r="DU205" i="1"/>
  <c r="DU206" i="1"/>
  <c r="DU207" i="1"/>
  <c r="DU208" i="1"/>
  <c r="DU209" i="1"/>
  <c r="DU210" i="1"/>
  <c r="DU211" i="1"/>
  <c r="DU212" i="1"/>
  <c r="DU213" i="1"/>
  <c r="DU214" i="1"/>
  <c r="DU215" i="1"/>
  <c r="DU216" i="1"/>
  <c r="DU217" i="1"/>
  <c r="DU218" i="1"/>
  <c r="DU219" i="1"/>
  <c r="DU220" i="1"/>
  <c r="DU221" i="1"/>
  <c r="DU222" i="1"/>
  <c r="DU223" i="1"/>
  <c r="DU224" i="1"/>
  <c r="DU225" i="1"/>
  <c r="DU226" i="1"/>
  <c r="DU227" i="1"/>
  <c r="DU228" i="1"/>
  <c r="DU229" i="1"/>
  <c r="DU230" i="1"/>
  <c r="DU231" i="1"/>
  <c r="DU232" i="1"/>
  <c r="DU233" i="1"/>
  <c r="DU234" i="1"/>
  <c r="DU235" i="1"/>
  <c r="DU236" i="1"/>
  <c r="DU237" i="1"/>
  <c r="DU238" i="1"/>
  <c r="DU239" i="1"/>
  <c r="DU240" i="1"/>
  <c r="DU241" i="1"/>
  <c r="DU242" i="1"/>
  <c r="DU243" i="1"/>
  <c r="DU244" i="1"/>
  <c r="DU245" i="1"/>
  <c r="DU246" i="1"/>
  <c r="DU247" i="1"/>
  <c r="DU248" i="1"/>
  <c r="DU249" i="1"/>
  <c r="DU250" i="1"/>
  <c r="DU251" i="1"/>
  <c r="DU252" i="1"/>
  <c r="DU253" i="1"/>
  <c r="DU254" i="1"/>
  <c r="DU255" i="1"/>
  <c r="DU256" i="1"/>
  <c r="DU257" i="1"/>
  <c r="DU258" i="1"/>
  <c r="DU259" i="1"/>
  <c r="DU260" i="1"/>
  <c r="DU261" i="1"/>
  <c r="DU262" i="1"/>
  <c r="DU263" i="1"/>
  <c r="DU264" i="1"/>
  <c r="DU265" i="1"/>
  <c r="DU266" i="1"/>
  <c r="DU267" i="1"/>
  <c r="DU268" i="1"/>
  <c r="DU269" i="1"/>
  <c r="DU270" i="1"/>
  <c r="DT270" i="1"/>
  <c r="DT269" i="1"/>
  <c r="DT268" i="1"/>
  <c r="DT267" i="1"/>
  <c r="DT266" i="1"/>
  <c r="DT265" i="1"/>
  <c r="DT264" i="1"/>
  <c r="DT263" i="1"/>
  <c r="DT262" i="1"/>
  <c r="DT261" i="1"/>
  <c r="DT260" i="1"/>
  <c r="DT259" i="1"/>
  <c r="DT258" i="1"/>
  <c r="DT257" i="1"/>
  <c r="DT256" i="1"/>
  <c r="DT255" i="1"/>
  <c r="DT254" i="1"/>
  <c r="DT253" i="1"/>
  <c r="DT252" i="1"/>
  <c r="DT251" i="1"/>
  <c r="DT250" i="1"/>
  <c r="DT249" i="1"/>
  <c r="DT248" i="1"/>
  <c r="DT247" i="1"/>
  <c r="DT246" i="1"/>
  <c r="DT245" i="1"/>
  <c r="DT244" i="1"/>
  <c r="DT243" i="1"/>
  <c r="DT242" i="1"/>
  <c r="DT241" i="1"/>
  <c r="DT240" i="1"/>
  <c r="DT239" i="1"/>
  <c r="DT238" i="1"/>
  <c r="DT237" i="1"/>
  <c r="DT236" i="1"/>
  <c r="DT235" i="1"/>
  <c r="DT234" i="1"/>
  <c r="DT233" i="1"/>
  <c r="DT232" i="1"/>
  <c r="DT231" i="1"/>
  <c r="DT230" i="1"/>
  <c r="DT229" i="1"/>
  <c r="DT228" i="1"/>
  <c r="DT227" i="1"/>
  <c r="DT226" i="1"/>
  <c r="DT225" i="1"/>
  <c r="DT224" i="1"/>
  <c r="DT223" i="1"/>
  <c r="DT222" i="1"/>
  <c r="DT221" i="1"/>
  <c r="DT220" i="1"/>
  <c r="DT219" i="1"/>
  <c r="DT218" i="1"/>
  <c r="DT217" i="1"/>
  <c r="DT216" i="1"/>
  <c r="DT215" i="1"/>
  <c r="DT214" i="1"/>
  <c r="DT213" i="1"/>
  <c r="DT212" i="1"/>
  <c r="DT211" i="1"/>
  <c r="DT210" i="1"/>
  <c r="DT209" i="1"/>
  <c r="DT208" i="1"/>
  <c r="DT207" i="1"/>
  <c r="DT206" i="1"/>
  <c r="DT205" i="1"/>
  <c r="DT204" i="1"/>
  <c r="DT203" i="1"/>
  <c r="DT202" i="1"/>
  <c r="DT201" i="1"/>
  <c r="DT200" i="1"/>
  <c r="DT199" i="1"/>
  <c r="DT198" i="1"/>
  <c r="DT197" i="1"/>
  <c r="DT196" i="1"/>
  <c r="DT195" i="1"/>
  <c r="DT194" i="1"/>
  <c r="DT193" i="1"/>
  <c r="DT192" i="1"/>
  <c r="DT191" i="1"/>
  <c r="DT190" i="1"/>
  <c r="DT189" i="1"/>
  <c r="DT188" i="1"/>
  <c r="DT187" i="1"/>
  <c r="DT186" i="1"/>
  <c r="DT185" i="1"/>
  <c r="DT184" i="1"/>
  <c r="DT183" i="1"/>
  <c r="DT182" i="1"/>
  <c r="DT181" i="1"/>
  <c r="DT180" i="1"/>
  <c r="DT179" i="1"/>
  <c r="DT178" i="1"/>
  <c r="DT177" i="1"/>
  <c r="DT176" i="1"/>
  <c r="DT175" i="1"/>
  <c r="DT174" i="1"/>
  <c r="DT173" i="1"/>
  <c r="DT172" i="1"/>
  <c r="DT171" i="1"/>
  <c r="DT170" i="1"/>
  <c r="DT169" i="1"/>
  <c r="DT168" i="1"/>
  <c r="DT167" i="1"/>
  <c r="DT166" i="1"/>
  <c r="DT165" i="1"/>
  <c r="DT164" i="1"/>
  <c r="DT163" i="1"/>
  <c r="DT162" i="1"/>
  <c r="DT161" i="1"/>
  <c r="DT160" i="1"/>
  <c r="DT159" i="1"/>
  <c r="DT158" i="1"/>
  <c r="DT157" i="1"/>
  <c r="DT156" i="1"/>
  <c r="DT155" i="1"/>
  <c r="DT154" i="1"/>
  <c r="DT153" i="1"/>
  <c r="DT152" i="1"/>
  <c r="DT151" i="1"/>
  <c r="DT150" i="1"/>
  <c r="DT149" i="1"/>
  <c r="DT148" i="1"/>
  <c r="DT147" i="1"/>
  <c r="DT146" i="1"/>
  <c r="DT145" i="1"/>
  <c r="DT144" i="1"/>
  <c r="DT143" i="1"/>
  <c r="DT142" i="1"/>
  <c r="DT141" i="1"/>
  <c r="DT140" i="1"/>
  <c r="DT139" i="1"/>
  <c r="DT138" i="1"/>
  <c r="DT137" i="1"/>
  <c r="DT136" i="1"/>
  <c r="DT135" i="1"/>
  <c r="DT134" i="1"/>
  <c r="DT133" i="1"/>
  <c r="DT132" i="1"/>
  <c r="DT131" i="1"/>
  <c r="DT130" i="1"/>
  <c r="DT129" i="1"/>
  <c r="DT128" i="1"/>
  <c r="DT127" i="1"/>
  <c r="DT126" i="1"/>
  <c r="DT125" i="1"/>
  <c r="DT124" i="1"/>
  <c r="DT123" i="1"/>
  <c r="DT122" i="1"/>
  <c r="DT121" i="1"/>
  <c r="DT120" i="1"/>
  <c r="DT119" i="1"/>
  <c r="DT118" i="1"/>
  <c r="DT117" i="1"/>
  <c r="DT116" i="1"/>
  <c r="DT115" i="1"/>
  <c r="DT114" i="1"/>
  <c r="DT113" i="1"/>
  <c r="DT112" i="1"/>
  <c r="DT111" i="1"/>
  <c r="DT110" i="1"/>
  <c r="DT109" i="1"/>
  <c r="DT108" i="1"/>
  <c r="DT107" i="1"/>
  <c r="DT106" i="1"/>
  <c r="DT105" i="1"/>
  <c r="DT104" i="1"/>
  <c r="DT103" i="1"/>
  <c r="DT102" i="1"/>
  <c r="DT101" i="1"/>
  <c r="DT100" i="1"/>
  <c r="DT99" i="1"/>
  <c r="DT98" i="1"/>
  <c r="DT97" i="1"/>
  <c r="DT96" i="1"/>
  <c r="DT95" i="1"/>
  <c r="DT94" i="1"/>
  <c r="DT93" i="1"/>
  <c r="DT92" i="1"/>
  <c r="DT91" i="1"/>
  <c r="DT90" i="1"/>
  <c r="DT89" i="1"/>
  <c r="DT88" i="1"/>
  <c r="DT87" i="1"/>
  <c r="DT86" i="1"/>
  <c r="DT85" i="1"/>
  <c r="DT84" i="1"/>
  <c r="DT83" i="1"/>
  <c r="DT82" i="1"/>
  <c r="DT81" i="1"/>
  <c r="DT80" i="1"/>
  <c r="DT79" i="1"/>
  <c r="DT78" i="1"/>
  <c r="DT77" i="1"/>
  <c r="DT76" i="1"/>
  <c r="DT75" i="1"/>
  <c r="DT74" i="1"/>
  <c r="DT73" i="1"/>
  <c r="DT72" i="1"/>
  <c r="DT71" i="1"/>
  <c r="DT70" i="1"/>
  <c r="DT69" i="1"/>
  <c r="DT68" i="1"/>
  <c r="DT67" i="1"/>
  <c r="DT66" i="1"/>
  <c r="DT65" i="1"/>
  <c r="DT64" i="1"/>
  <c r="DT63" i="1"/>
  <c r="DT62" i="1"/>
  <c r="DT61" i="1"/>
  <c r="DT60" i="1"/>
  <c r="DT59" i="1"/>
  <c r="DT58" i="1"/>
  <c r="DT57" i="1"/>
  <c r="DT56" i="1"/>
  <c r="DT55" i="1"/>
  <c r="DT54" i="1"/>
  <c r="DT53" i="1"/>
  <c r="DT52" i="1"/>
  <c r="DT51" i="1"/>
  <c r="DT50" i="1"/>
  <c r="DT49" i="1"/>
  <c r="DT48" i="1"/>
  <c r="DT47" i="1"/>
  <c r="DT46" i="1"/>
  <c r="DT45" i="1"/>
  <c r="DT44" i="1"/>
  <c r="DT43" i="1"/>
  <c r="DT42" i="1"/>
  <c r="DT41" i="1"/>
  <c r="DT40" i="1"/>
  <c r="DT39" i="1"/>
  <c r="DT38" i="1"/>
  <c r="DT37" i="1"/>
  <c r="DT36" i="1"/>
  <c r="DT35" i="1"/>
  <c r="DT34" i="1"/>
  <c r="DT33" i="1"/>
  <c r="DT32" i="1"/>
  <c r="DT31" i="1"/>
  <c r="DT30" i="1"/>
  <c r="DT29" i="1"/>
  <c r="DT28" i="1"/>
  <c r="DT27" i="1"/>
  <c r="DT26" i="1"/>
  <c r="DT25" i="1"/>
  <c r="DT24" i="1"/>
  <c r="DT23" i="1"/>
  <c r="DT22" i="1"/>
  <c r="DT21" i="1"/>
  <c r="DT20" i="1"/>
  <c r="DT19" i="1"/>
  <c r="DT18" i="1"/>
  <c r="DT17" i="1"/>
  <c r="DT16" i="1"/>
  <c r="DT15" i="1"/>
  <c r="DT14" i="1"/>
  <c r="DT13" i="1"/>
  <c r="DT12" i="1"/>
  <c r="DT11" i="1"/>
  <c r="DT10" i="1"/>
  <c r="DW270" i="1"/>
  <c r="DW269" i="1"/>
  <c r="DW268" i="1"/>
  <c r="DW267" i="1"/>
  <c r="DW266" i="1"/>
  <c r="DW265" i="1"/>
  <c r="DW264" i="1"/>
  <c r="DW263" i="1"/>
  <c r="DW262" i="1"/>
  <c r="DW261" i="1"/>
  <c r="DW260" i="1"/>
  <c r="DW259" i="1"/>
  <c r="DW258" i="1"/>
  <c r="DW257" i="1"/>
  <c r="DW256" i="1"/>
  <c r="DW255" i="1"/>
  <c r="DW254" i="1"/>
  <c r="DW253" i="1"/>
  <c r="DW252" i="1"/>
  <c r="DW251" i="1"/>
  <c r="DW250" i="1"/>
  <c r="DW249" i="1"/>
  <c r="DW248" i="1"/>
  <c r="DW247" i="1"/>
  <c r="DW246" i="1"/>
  <c r="DW245" i="1"/>
  <c r="DW244" i="1"/>
  <c r="DW243" i="1"/>
  <c r="DW242" i="1"/>
  <c r="DW241" i="1"/>
  <c r="DW240" i="1"/>
  <c r="DW239" i="1"/>
  <c r="DW238" i="1"/>
  <c r="DW237" i="1"/>
  <c r="DW236" i="1"/>
  <c r="DW235" i="1"/>
  <c r="DW234" i="1"/>
  <c r="DW233" i="1"/>
  <c r="DW232" i="1"/>
  <c r="DW231" i="1"/>
  <c r="DW230" i="1"/>
  <c r="DW229" i="1"/>
  <c r="DW228" i="1"/>
  <c r="DW227" i="1"/>
  <c r="DW226" i="1"/>
  <c r="DW225" i="1"/>
  <c r="DW224" i="1"/>
  <c r="DW223" i="1"/>
  <c r="DW222" i="1"/>
  <c r="DW221" i="1"/>
  <c r="DW220" i="1"/>
  <c r="DW219" i="1"/>
  <c r="DW218" i="1"/>
  <c r="DW217" i="1"/>
  <c r="DW216" i="1"/>
  <c r="DW215" i="1"/>
  <c r="DW214" i="1"/>
  <c r="DW213" i="1"/>
  <c r="DW212" i="1"/>
  <c r="DW211" i="1"/>
  <c r="DW210" i="1"/>
  <c r="DW209" i="1"/>
  <c r="DW208" i="1"/>
  <c r="DW207" i="1"/>
  <c r="DW206" i="1"/>
  <c r="DW205" i="1"/>
  <c r="DW204" i="1"/>
  <c r="DW203" i="1"/>
  <c r="DW202" i="1"/>
  <c r="DW201" i="1"/>
  <c r="DW200" i="1"/>
  <c r="DW199" i="1"/>
  <c r="DW198" i="1"/>
  <c r="DW197" i="1"/>
  <c r="DW196" i="1"/>
  <c r="DW195" i="1"/>
  <c r="DW194" i="1"/>
  <c r="DW193" i="1"/>
  <c r="DW192" i="1"/>
  <c r="DW191" i="1"/>
  <c r="DW190" i="1"/>
  <c r="DW189" i="1"/>
  <c r="DW188" i="1"/>
  <c r="DW187" i="1"/>
  <c r="DW186" i="1"/>
  <c r="DW185" i="1"/>
  <c r="DW184" i="1"/>
  <c r="DW183" i="1"/>
  <c r="DW182" i="1"/>
  <c r="DW181" i="1"/>
  <c r="DW180" i="1"/>
  <c r="DW179" i="1"/>
  <c r="DW178" i="1"/>
  <c r="DW177" i="1"/>
  <c r="DW176" i="1"/>
  <c r="DW175" i="1"/>
  <c r="DW174" i="1"/>
  <c r="DW173" i="1"/>
  <c r="DW172" i="1"/>
  <c r="DW171" i="1"/>
  <c r="DW170" i="1"/>
  <c r="DW169" i="1"/>
  <c r="DW168" i="1"/>
  <c r="DW167" i="1"/>
  <c r="DW166" i="1"/>
  <c r="DW165" i="1"/>
  <c r="DW164" i="1"/>
  <c r="DW163" i="1"/>
  <c r="DW162" i="1"/>
  <c r="DW161" i="1"/>
  <c r="DW160" i="1"/>
  <c r="DW159" i="1"/>
  <c r="DW158" i="1"/>
  <c r="DW157" i="1"/>
  <c r="DW156" i="1"/>
  <c r="DW155" i="1"/>
  <c r="DW154" i="1"/>
  <c r="DW153" i="1"/>
  <c r="DW152" i="1"/>
  <c r="DW151" i="1"/>
  <c r="DW150" i="1"/>
  <c r="DW149" i="1"/>
  <c r="DW148" i="1"/>
  <c r="DW147" i="1"/>
  <c r="DW146" i="1"/>
  <c r="DW145" i="1"/>
  <c r="DW144" i="1"/>
  <c r="DW143" i="1"/>
  <c r="DW142" i="1"/>
  <c r="DW141" i="1"/>
  <c r="DW140" i="1"/>
  <c r="DW139" i="1"/>
  <c r="DW138" i="1"/>
  <c r="DW137" i="1"/>
  <c r="DW136" i="1"/>
  <c r="DW135" i="1"/>
  <c r="DW134" i="1"/>
  <c r="DW133" i="1"/>
  <c r="DW132" i="1"/>
  <c r="DW131" i="1"/>
  <c r="DW130" i="1"/>
  <c r="DW129" i="1"/>
  <c r="DW128" i="1"/>
  <c r="DW127" i="1"/>
  <c r="DW126" i="1"/>
  <c r="DW125" i="1"/>
  <c r="DW124" i="1"/>
  <c r="DW123" i="1"/>
  <c r="DW122" i="1"/>
  <c r="DW121" i="1"/>
  <c r="DW120" i="1"/>
  <c r="DW119" i="1"/>
  <c r="DW118" i="1"/>
  <c r="DW117" i="1"/>
  <c r="DW116" i="1"/>
  <c r="DW115" i="1"/>
  <c r="DW114" i="1"/>
  <c r="DW113" i="1"/>
  <c r="DW112" i="1"/>
  <c r="DW111" i="1"/>
  <c r="DW110" i="1"/>
  <c r="DW109" i="1"/>
  <c r="DW108" i="1"/>
  <c r="DW107" i="1"/>
  <c r="DW106" i="1"/>
  <c r="DW105" i="1"/>
  <c r="DW104" i="1"/>
  <c r="DW103" i="1"/>
  <c r="DW102" i="1"/>
  <c r="DW101" i="1"/>
  <c r="DW100" i="1"/>
  <c r="DW99" i="1"/>
  <c r="DW98" i="1"/>
  <c r="DW97" i="1"/>
  <c r="DW96" i="1"/>
  <c r="DW95" i="1"/>
  <c r="DW94" i="1"/>
  <c r="DW93" i="1"/>
  <c r="DW92" i="1"/>
  <c r="DW91" i="1"/>
  <c r="DW90" i="1"/>
  <c r="DW89" i="1"/>
  <c r="DW88" i="1"/>
  <c r="DW87" i="1"/>
  <c r="DW86" i="1"/>
  <c r="DW85" i="1"/>
  <c r="DW84" i="1"/>
  <c r="DW83" i="1"/>
  <c r="DW82" i="1"/>
  <c r="DW81" i="1"/>
  <c r="DW80" i="1"/>
  <c r="DW79" i="1"/>
  <c r="DW78" i="1"/>
  <c r="DW77" i="1"/>
  <c r="DW76" i="1"/>
  <c r="DW75" i="1"/>
  <c r="DW74" i="1"/>
  <c r="DW73" i="1"/>
  <c r="DW72" i="1"/>
  <c r="DW71" i="1"/>
  <c r="DW70" i="1"/>
  <c r="DW69" i="1"/>
  <c r="DW68" i="1"/>
  <c r="DW67" i="1"/>
  <c r="DW66" i="1"/>
  <c r="DW65" i="1"/>
  <c r="DW64" i="1"/>
  <c r="DW63" i="1"/>
  <c r="DW62" i="1"/>
  <c r="DW61" i="1"/>
  <c r="DW60" i="1"/>
  <c r="DW59" i="1"/>
  <c r="DW58" i="1"/>
  <c r="DW57" i="1"/>
  <c r="DW56" i="1"/>
  <c r="DW55" i="1"/>
  <c r="DW54" i="1"/>
  <c r="DW53" i="1"/>
  <c r="DW52" i="1"/>
  <c r="DW51" i="1"/>
  <c r="DW50" i="1"/>
  <c r="DW49" i="1"/>
  <c r="DW48" i="1"/>
  <c r="DW47" i="1"/>
  <c r="DW46" i="1"/>
  <c r="DW45" i="1"/>
  <c r="DW44" i="1"/>
  <c r="DW43" i="1"/>
  <c r="DW42" i="1"/>
  <c r="DW41" i="1"/>
  <c r="DW40" i="1"/>
  <c r="DW39" i="1"/>
  <c r="DW38" i="1"/>
  <c r="DW37" i="1"/>
  <c r="DW36" i="1"/>
  <c r="DW35" i="1"/>
  <c r="DW34" i="1"/>
  <c r="DW33" i="1"/>
  <c r="DW32" i="1"/>
  <c r="DW31" i="1"/>
  <c r="DW30" i="1"/>
  <c r="DW29" i="1"/>
  <c r="DW28" i="1"/>
  <c r="DW27" i="1"/>
  <c r="DW26" i="1"/>
  <c r="DW25" i="1"/>
  <c r="DW24" i="1"/>
  <c r="DW23" i="1"/>
  <c r="DW22" i="1"/>
  <c r="DW21" i="1"/>
  <c r="DW20" i="1"/>
  <c r="DW19" i="1"/>
  <c r="DW18" i="1"/>
  <c r="DW17" i="1"/>
  <c r="DW16" i="1"/>
  <c r="DW15" i="1"/>
  <c r="DW14" i="1"/>
  <c r="DW13" i="1"/>
  <c r="DW12" i="1"/>
  <c r="DW11" i="1"/>
  <c r="DW10" i="1"/>
  <c r="DS270" i="1"/>
  <c r="DS269" i="1"/>
  <c r="DS268" i="1"/>
  <c r="DS267" i="1"/>
  <c r="DS266" i="1"/>
  <c r="DS265" i="1"/>
  <c r="DS264" i="1"/>
  <c r="DS263" i="1"/>
  <c r="DS262" i="1"/>
  <c r="DS261" i="1"/>
  <c r="DS260" i="1"/>
  <c r="DS259" i="1"/>
  <c r="DS258" i="1"/>
  <c r="DS257" i="1"/>
  <c r="DS256" i="1"/>
  <c r="DS255" i="1"/>
  <c r="DS254" i="1"/>
  <c r="DS253" i="1"/>
  <c r="DS252" i="1"/>
  <c r="DS251" i="1"/>
  <c r="DS250" i="1"/>
  <c r="DS249" i="1"/>
  <c r="DS248" i="1"/>
  <c r="DS247" i="1"/>
  <c r="DS246" i="1"/>
  <c r="DS245" i="1"/>
  <c r="DS244" i="1"/>
  <c r="DS243" i="1"/>
  <c r="DS242" i="1"/>
  <c r="DS241" i="1"/>
  <c r="DS240" i="1"/>
  <c r="DS239" i="1"/>
  <c r="DS238" i="1"/>
  <c r="DS237" i="1"/>
  <c r="DS236" i="1"/>
  <c r="DS235" i="1"/>
  <c r="DS234" i="1"/>
  <c r="DS233" i="1"/>
  <c r="DS232" i="1"/>
  <c r="DS231" i="1"/>
  <c r="DS230" i="1"/>
  <c r="DS229" i="1"/>
  <c r="DS228" i="1"/>
  <c r="DS227" i="1"/>
  <c r="DS226" i="1"/>
  <c r="DS225" i="1"/>
  <c r="DS224" i="1"/>
  <c r="DS223" i="1"/>
  <c r="DS222" i="1"/>
  <c r="DS221" i="1"/>
  <c r="DS220" i="1"/>
  <c r="DS219" i="1"/>
  <c r="DS218" i="1"/>
  <c r="DS217" i="1"/>
  <c r="DS216" i="1"/>
  <c r="DS215" i="1"/>
  <c r="DS214" i="1"/>
  <c r="DS213" i="1"/>
  <c r="DS212" i="1"/>
  <c r="DS211" i="1"/>
  <c r="DS210" i="1"/>
  <c r="DS209" i="1"/>
  <c r="DS208" i="1"/>
  <c r="DS207" i="1"/>
  <c r="DS206" i="1"/>
  <c r="DS205" i="1"/>
  <c r="DS204" i="1"/>
  <c r="DS203" i="1"/>
  <c r="DS202" i="1"/>
  <c r="DS201" i="1"/>
  <c r="DS200" i="1"/>
  <c r="DS199" i="1"/>
  <c r="DS198" i="1"/>
  <c r="DS197" i="1"/>
  <c r="DS196" i="1"/>
  <c r="DS195" i="1"/>
  <c r="DS194" i="1"/>
  <c r="DS193" i="1"/>
  <c r="DS192" i="1"/>
  <c r="DS191" i="1"/>
  <c r="DS190" i="1"/>
  <c r="DS189" i="1"/>
  <c r="DS188" i="1"/>
  <c r="DS187" i="1"/>
  <c r="DS186" i="1"/>
  <c r="DS185" i="1"/>
  <c r="DS184" i="1"/>
  <c r="DS183" i="1"/>
  <c r="DS182" i="1"/>
  <c r="DS181" i="1"/>
  <c r="DS180" i="1"/>
  <c r="DS179" i="1"/>
  <c r="DS178" i="1"/>
  <c r="DS177" i="1"/>
  <c r="DS176" i="1"/>
  <c r="DS175" i="1"/>
  <c r="DS174" i="1"/>
  <c r="DS173" i="1"/>
  <c r="DS172" i="1"/>
  <c r="DS171" i="1"/>
  <c r="DS170" i="1"/>
  <c r="DS169" i="1"/>
  <c r="DS168" i="1"/>
  <c r="DS167" i="1"/>
  <c r="DS166" i="1"/>
  <c r="DS165" i="1"/>
  <c r="DS164" i="1"/>
  <c r="DS163" i="1"/>
  <c r="DS162" i="1"/>
  <c r="DS161" i="1"/>
  <c r="DS160" i="1"/>
  <c r="DS159" i="1"/>
  <c r="DS158" i="1"/>
  <c r="DS157" i="1"/>
  <c r="DS156" i="1"/>
  <c r="DS155" i="1"/>
  <c r="DS154" i="1"/>
  <c r="DS153" i="1"/>
  <c r="DS152" i="1"/>
  <c r="DS151" i="1"/>
  <c r="DS150" i="1"/>
  <c r="DS149" i="1"/>
  <c r="DS148" i="1"/>
  <c r="DS147" i="1"/>
  <c r="DS146" i="1"/>
  <c r="DS145" i="1"/>
  <c r="DS144" i="1"/>
  <c r="DS143" i="1"/>
  <c r="DS142" i="1"/>
  <c r="DS141" i="1"/>
  <c r="DS140" i="1"/>
  <c r="DS139" i="1"/>
  <c r="DS138" i="1"/>
  <c r="DS137" i="1"/>
  <c r="DS136" i="1"/>
  <c r="DS135" i="1"/>
  <c r="DS134" i="1"/>
  <c r="DS133" i="1"/>
  <c r="DS132" i="1"/>
  <c r="DS131" i="1"/>
  <c r="DS130" i="1"/>
  <c r="DS129" i="1"/>
  <c r="DS128" i="1"/>
  <c r="DS127" i="1"/>
  <c r="DS126" i="1"/>
  <c r="DS125" i="1"/>
  <c r="DS124" i="1"/>
  <c r="DS123" i="1"/>
  <c r="DS122" i="1"/>
  <c r="DS121" i="1"/>
  <c r="DS120" i="1"/>
  <c r="DS119" i="1"/>
  <c r="DS118" i="1"/>
  <c r="DS117" i="1"/>
  <c r="DS116" i="1"/>
  <c r="DS115" i="1"/>
  <c r="DS114" i="1"/>
  <c r="DS113" i="1"/>
  <c r="DS112" i="1"/>
  <c r="DS111" i="1"/>
  <c r="DS110" i="1"/>
  <c r="DS109" i="1"/>
  <c r="DS108" i="1"/>
  <c r="DS107" i="1"/>
  <c r="DS106" i="1"/>
  <c r="DS105" i="1"/>
  <c r="DS104" i="1"/>
  <c r="DS103" i="1"/>
  <c r="DS102" i="1"/>
  <c r="DS101" i="1"/>
  <c r="DS100" i="1"/>
  <c r="DS99" i="1"/>
  <c r="DS98" i="1"/>
  <c r="DS97" i="1"/>
  <c r="DS96" i="1"/>
  <c r="DS95" i="1"/>
  <c r="DS94" i="1"/>
  <c r="DS93" i="1"/>
  <c r="DS92" i="1"/>
  <c r="DS91" i="1"/>
  <c r="DS90" i="1"/>
  <c r="DS89" i="1"/>
  <c r="DS88" i="1"/>
  <c r="DS87" i="1"/>
  <c r="DS86" i="1"/>
  <c r="DS85" i="1"/>
  <c r="DS84" i="1"/>
  <c r="DS83" i="1"/>
  <c r="DS82" i="1"/>
  <c r="DS81" i="1"/>
  <c r="DS80" i="1"/>
  <c r="DS79" i="1"/>
  <c r="DS78" i="1"/>
  <c r="DS77" i="1"/>
  <c r="DS76" i="1"/>
  <c r="DS75" i="1"/>
  <c r="DS74" i="1"/>
  <c r="DS73" i="1"/>
  <c r="DS72" i="1"/>
  <c r="DS71" i="1"/>
  <c r="DS70" i="1"/>
  <c r="DS69" i="1"/>
  <c r="DS68" i="1"/>
  <c r="DS67" i="1"/>
  <c r="DS66" i="1"/>
  <c r="DS65" i="1"/>
  <c r="DS64" i="1"/>
  <c r="DS63" i="1"/>
  <c r="DS62" i="1"/>
  <c r="DS61" i="1"/>
  <c r="DS60" i="1"/>
  <c r="DS59" i="1"/>
  <c r="DS58" i="1"/>
  <c r="DS57" i="1"/>
  <c r="DS56" i="1"/>
  <c r="DS55" i="1"/>
  <c r="DS54" i="1"/>
  <c r="DS53" i="1"/>
  <c r="DS52" i="1"/>
  <c r="DS51" i="1"/>
  <c r="DS50" i="1"/>
  <c r="DS49" i="1"/>
  <c r="DS48" i="1"/>
  <c r="DS47" i="1"/>
  <c r="DS46" i="1"/>
  <c r="DS45" i="1"/>
  <c r="DS44" i="1"/>
  <c r="DS43" i="1"/>
  <c r="DS42" i="1"/>
  <c r="DS41" i="1"/>
  <c r="DS40" i="1"/>
  <c r="DS39" i="1"/>
  <c r="DS38" i="1"/>
  <c r="DS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CB270" i="1"/>
  <c r="CB269" i="1"/>
  <c r="CB268" i="1"/>
  <c r="CB267" i="1"/>
  <c r="CB266" i="1"/>
  <c r="CB265" i="1"/>
  <c r="CB264" i="1"/>
  <c r="CB263" i="1"/>
  <c r="CB262" i="1"/>
  <c r="CB261" i="1"/>
  <c r="CB260" i="1"/>
  <c r="CB259" i="1"/>
  <c r="CB258" i="1"/>
  <c r="CB257" i="1"/>
  <c r="CB256" i="1"/>
  <c r="CB255" i="1"/>
  <c r="CB254" i="1"/>
  <c r="CB253" i="1"/>
  <c r="CB252" i="1"/>
  <c r="CB251" i="1"/>
  <c r="CB250" i="1"/>
  <c r="CB249" i="1"/>
  <c r="CB248" i="1"/>
  <c r="CB247" i="1"/>
  <c r="CB246" i="1"/>
  <c r="CB245" i="1"/>
  <c r="CB244" i="1"/>
  <c r="CB243" i="1"/>
  <c r="CB242" i="1"/>
  <c r="CB241" i="1"/>
  <c r="CB240" i="1"/>
  <c r="CB239" i="1"/>
  <c r="CB238" i="1"/>
  <c r="CB237" i="1"/>
  <c r="CB236" i="1"/>
  <c r="CB235" i="1"/>
  <c r="CB234" i="1"/>
  <c r="CB233" i="1"/>
  <c r="CB232" i="1"/>
  <c r="CB231" i="1"/>
  <c r="CB230" i="1"/>
  <c r="CB229" i="1"/>
  <c r="CB228" i="1"/>
  <c r="CB227" i="1"/>
  <c r="CB226" i="1"/>
  <c r="CB225" i="1"/>
  <c r="CB224" i="1"/>
  <c r="CB223" i="1"/>
  <c r="CB222" i="1"/>
  <c r="CB221" i="1"/>
  <c r="CB220" i="1"/>
  <c r="CB219" i="1"/>
  <c r="CB218" i="1"/>
  <c r="CB217" i="1"/>
  <c r="CB216" i="1"/>
  <c r="CB215" i="1"/>
  <c r="CB214" i="1"/>
  <c r="CB213" i="1"/>
  <c r="CB212" i="1"/>
  <c r="CB211" i="1"/>
  <c r="CB210" i="1"/>
  <c r="CB209" i="1"/>
  <c r="CB208" i="1"/>
  <c r="CB207" i="1"/>
  <c r="CB206" i="1"/>
  <c r="CB205" i="1"/>
  <c r="CB204" i="1"/>
  <c r="CB203" i="1"/>
  <c r="CB202" i="1"/>
  <c r="CB201" i="1"/>
  <c r="CB200" i="1"/>
  <c r="CB199" i="1"/>
  <c r="CB198" i="1"/>
  <c r="CB197" i="1"/>
  <c r="CB196" i="1"/>
  <c r="CB195" i="1"/>
  <c r="CB194" i="1"/>
  <c r="CB193" i="1"/>
  <c r="CB192" i="1"/>
  <c r="CB191" i="1"/>
  <c r="CB190" i="1"/>
  <c r="CB189" i="1"/>
  <c r="CB188" i="1"/>
  <c r="CB187" i="1"/>
  <c r="CB186" i="1"/>
  <c r="CB185" i="1"/>
  <c r="CB184" i="1"/>
  <c r="CB183" i="1"/>
  <c r="CB182" i="1"/>
  <c r="CB181" i="1"/>
  <c r="CB180" i="1"/>
  <c r="CB179" i="1"/>
  <c r="CB178" i="1"/>
  <c r="CB177" i="1"/>
  <c r="CB176" i="1"/>
  <c r="CB175" i="1"/>
  <c r="CB174" i="1"/>
  <c r="CB173" i="1"/>
  <c r="CB172" i="1"/>
  <c r="CB171" i="1"/>
  <c r="CB170" i="1"/>
  <c r="CB169" i="1"/>
  <c r="CB168" i="1"/>
  <c r="CB167" i="1"/>
  <c r="CB166" i="1"/>
  <c r="CB165" i="1"/>
  <c r="CB164" i="1"/>
  <c r="CB163" i="1"/>
  <c r="CB162" i="1"/>
  <c r="CB161" i="1"/>
  <c r="CB160" i="1"/>
  <c r="CB159" i="1"/>
  <c r="CB158" i="1"/>
  <c r="CB157" i="1"/>
  <c r="CB156" i="1"/>
  <c r="CB155" i="1"/>
  <c r="CB154" i="1"/>
  <c r="CB153" i="1"/>
  <c r="CB152" i="1"/>
  <c r="CB151" i="1"/>
  <c r="CB150" i="1"/>
  <c r="CB149" i="1"/>
  <c r="CB148" i="1"/>
  <c r="CB147" i="1"/>
  <c r="CB146" i="1"/>
  <c r="CB145" i="1"/>
  <c r="CB144" i="1"/>
  <c r="CB143" i="1"/>
  <c r="CB142" i="1"/>
  <c r="CB141" i="1"/>
  <c r="CB140" i="1"/>
  <c r="CB139" i="1"/>
  <c r="CB138" i="1"/>
  <c r="CB137" i="1"/>
  <c r="CB136" i="1"/>
  <c r="CB135" i="1"/>
  <c r="CB134" i="1"/>
  <c r="CB133" i="1"/>
  <c r="CB132" i="1"/>
  <c r="CB131" i="1"/>
  <c r="CB130" i="1"/>
  <c r="CB129" i="1"/>
  <c r="CB128" i="1"/>
  <c r="CB127" i="1"/>
  <c r="CB126" i="1"/>
  <c r="CB125" i="1"/>
  <c r="CB124" i="1"/>
  <c r="CB123" i="1"/>
  <c r="CB122" i="1"/>
  <c r="CB121" i="1"/>
  <c r="CB120" i="1"/>
  <c r="CB119" i="1"/>
  <c r="CB118" i="1"/>
  <c r="CB117" i="1"/>
  <c r="CB116" i="1"/>
  <c r="CB115" i="1"/>
  <c r="CB114" i="1"/>
  <c r="CB113" i="1"/>
  <c r="CB112" i="1"/>
  <c r="CB111" i="1"/>
  <c r="CB110" i="1"/>
  <c r="CB109" i="1"/>
  <c r="CB108" i="1"/>
  <c r="CB107" i="1"/>
  <c r="CB106" i="1"/>
  <c r="CB105" i="1"/>
  <c r="CB104" i="1"/>
  <c r="CB103" i="1"/>
  <c r="CB102" i="1"/>
  <c r="CB101" i="1"/>
  <c r="CB100" i="1"/>
  <c r="CB99" i="1"/>
  <c r="CB98" i="1"/>
  <c r="CB97" i="1"/>
  <c r="CB96" i="1"/>
  <c r="CB95" i="1"/>
  <c r="CB94" i="1"/>
  <c r="CB93" i="1"/>
  <c r="CB92" i="1"/>
  <c r="CB91" i="1"/>
  <c r="CB90" i="1"/>
  <c r="CB89" i="1"/>
  <c r="CB88" i="1"/>
  <c r="CB87" i="1"/>
  <c r="CB86" i="1"/>
  <c r="CB85" i="1"/>
  <c r="CB84" i="1"/>
  <c r="CB83" i="1"/>
  <c r="CB82" i="1"/>
  <c r="CB81" i="1"/>
  <c r="CB80" i="1"/>
  <c r="CB79" i="1"/>
  <c r="CB78" i="1"/>
  <c r="CB77" i="1"/>
  <c r="CB76" i="1"/>
  <c r="CB75" i="1"/>
  <c r="CB74" i="1"/>
  <c r="CB73" i="1"/>
  <c r="CB72" i="1"/>
  <c r="CB71" i="1"/>
  <c r="CB70" i="1"/>
  <c r="CB69" i="1"/>
  <c r="CB68" i="1"/>
  <c r="CB67" i="1"/>
  <c r="CB66" i="1"/>
  <c r="CB65" i="1"/>
  <c r="CB64" i="1"/>
  <c r="CB63" i="1"/>
  <c r="CB62" i="1"/>
  <c r="CB61" i="1"/>
  <c r="CB60" i="1"/>
  <c r="CB59" i="1"/>
  <c r="CB58" i="1"/>
  <c r="CB57" i="1"/>
  <c r="CB56" i="1"/>
  <c r="CB55" i="1"/>
  <c r="CB54" i="1"/>
  <c r="CB53" i="1"/>
  <c r="CB52" i="1"/>
  <c r="CB51" i="1"/>
  <c r="CB50" i="1"/>
  <c r="CB49" i="1"/>
  <c r="CB48" i="1"/>
  <c r="CB47" i="1"/>
  <c r="CB46" i="1"/>
  <c r="CB45" i="1"/>
  <c r="CB44" i="1"/>
  <c r="CB43" i="1"/>
  <c r="CB42" i="1"/>
  <c r="CB41" i="1"/>
  <c r="CB40" i="1"/>
  <c r="CB39" i="1"/>
  <c r="CB38" i="1"/>
  <c r="CB37" i="1"/>
  <c r="CB36" i="1"/>
  <c r="CB35" i="1"/>
  <c r="CB34" i="1"/>
  <c r="CB33" i="1"/>
  <c r="CB32" i="1"/>
  <c r="CB31" i="1"/>
  <c r="CB30" i="1"/>
  <c r="CB29" i="1"/>
  <c r="CB28" i="1"/>
  <c r="CB27" i="1"/>
  <c r="CB26" i="1"/>
  <c r="CB25" i="1"/>
  <c r="CB24" i="1"/>
  <c r="CB23" i="1"/>
  <c r="CB22" i="1"/>
  <c r="CB21" i="1"/>
  <c r="CB20" i="1"/>
  <c r="CB19" i="1"/>
  <c r="CB18" i="1"/>
  <c r="CB17" i="1"/>
  <c r="CB16" i="1"/>
  <c r="CB15" i="1"/>
  <c r="CB14" i="1"/>
  <c r="CB13" i="1"/>
  <c r="CB12" i="1"/>
  <c r="CB11" i="1"/>
  <c r="CB10" i="1"/>
  <c r="DG270" i="1"/>
  <c r="DG269" i="1"/>
  <c r="DG268" i="1"/>
  <c r="DG267" i="1"/>
  <c r="DG266" i="1"/>
  <c r="DG265" i="1"/>
  <c r="DG264" i="1"/>
  <c r="DG263" i="1"/>
  <c r="DG262" i="1"/>
  <c r="DG261" i="1"/>
  <c r="DG260" i="1"/>
  <c r="DG259" i="1"/>
  <c r="DG258" i="1"/>
  <c r="DG257" i="1"/>
  <c r="DG256" i="1"/>
  <c r="DG255" i="1"/>
  <c r="DG254" i="1"/>
  <c r="DG253" i="1"/>
  <c r="DG252" i="1"/>
  <c r="DG251" i="1"/>
  <c r="DG250" i="1"/>
  <c r="DG249" i="1"/>
  <c r="DG248" i="1"/>
  <c r="DG247" i="1"/>
  <c r="DG246" i="1"/>
  <c r="DG245" i="1"/>
  <c r="DG244" i="1"/>
  <c r="DG243" i="1"/>
  <c r="DG242" i="1"/>
  <c r="DG241" i="1"/>
  <c r="DG240" i="1"/>
  <c r="DG239" i="1"/>
  <c r="DG238" i="1"/>
  <c r="DG237" i="1"/>
  <c r="DG236" i="1"/>
  <c r="DG235" i="1"/>
  <c r="DG234" i="1"/>
  <c r="DG233" i="1"/>
  <c r="DG232" i="1"/>
  <c r="DG231" i="1"/>
  <c r="DG230" i="1"/>
  <c r="DG229" i="1"/>
  <c r="DG228" i="1"/>
  <c r="DG227" i="1"/>
  <c r="DG226" i="1"/>
  <c r="DG225" i="1"/>
  <c r="DG224" i="1"/>
  <c r="DG223" i="1"/>
  <c r="DG222" i="1"/>
  <c r="DG221" i="1"/>
  <c r="DG220" i="1"/>
  <c r="DG219" i="1"/>
  <c r="DG218" i="1"/>
  <c r="DG217" i="1"/>
  <c r="DG216" i="1"/>
  <c r="DG215" i="1"/>
  <c r="DG214" i="1"/>
  <c r="DG213" i="1"/>
  <c r="DG212" i="1"/>
  <c r="DG211" i="1"/>
  <c r="DG210" i="1"/>
  <c r="DG209" i="1"/>
  <c r="DG208" i="1"/>
  <c r="DG207" i="1"/>
  <c r="DG206" i="1"/>
  <c r="DG205" i="1"/>
  <c r="DG204" i="1"/>
  <c r="DG203" i="1"/>
  <c r="DG202" i="1"/>
  <c r="DG201" i="1"/>
  <c r="DG200" i="1"/>
  <c r="DG199" i="1"/>
  <c r="DG198" i="1"/>
  <c r="DG197" i="1"/>
  <c r="DG196" i="1"/>
  <c r="DG195" i="1"/>
  <c r="DG194" i="1"/>
  <c r="DG193" i="1"/>
  <c r="DG192" i="1"/>
  <c r="DG191" i="1"/>
  <c r="DG190" i="1"/>
  <c r="DG189" i="1"/>
  <c r="DG188" i="1"/>
  <c r="DG187" i="1"/>
  <c r="DG186" i="1"/>
  <c r="DG185" i="1"/>
  <c r="DG184" i="1"/>
  <c r="DG183" i="1"/>
  <c r="DG182" i="1"/>
  <c r="DG181" i="1"/>
  <c r="DG180" i="1"/>
  <c r="DG179" i="1"/>
  <c r="DG178" i="1"/>
  <c r="DG177" i="1"/>
  <c r="DG176" i="1"/>
  <c r="DG175" i="1"/>
  <c r="DG174" i="1"/>
  <c r="DG173" i="1"/>
  <c r="DG172" i="1"/>
  <c r="DG171" i="1"/>
  <c r="DG170" i="1"/>
  <c r="DG169" i="1"/>
  <c r="DG168" i="1"/>
  <c r="DG167" i="1"/>
  <c r="DG166" i="1"/>
  <c r="DG165" i="1"/>
  <c r="DG164" i="1"/>
  <c r="DG163" i="1"/>
  <c r="DG162" i="1"/>
  <c r="DG161" i="1"/>
  <c r="DG160" i="1"/>
  <c r="DG159" i="1"/>
  <c r="DG158" i="1"/>
  <c r="DG157" i="1"/>
  <c r="DG156" i="1"/>
  <c r="DG155" i="1"/>
  <c r="DG154" i="1"/>
  <c r="DG153" i="1"/>
  <c r="DG152" i="1"/>
  <c r="DG151" i="1"/>
  <c r="DG150" i="1"/>
  <c r="DG149" i="1"/>
  <c r="DG148" i="1"/>
  <c r="DG147" i="1"/>
  <c r="DG146" i="1"/>
  <c r="DG145" i="1"/>
  <c r="DG144" i="1"/>
  <c r="DG143" i="1"/>
  <c r="DG142" i="1"/>
  <c r="DG141" i="1"/>
  <c r="DG140" i="1"/>
  <c r="DG139" i="1"/>
  <c r="DG138" i="1"/>
  <c r="DG137" i="1"/>
  <c r="DG136" i="1"/>
  <c r="DG135" i="1"/>
  <c r="DG134" i="1"/>
  <c r="DG133" i="1"/>
  <c r="DG132" i="1"/>
  <c r="DG131" i="1"/>
  <c r="DG130" i="1"/>
  <c r="DG129" i="1"/>
  <c r="DG128" i="1"/>
  <c r="DG127" i="1"/>
  <c r="DG126" i="1"/>
  <c r="DG125" i="1"/>
  <c r="DG124" i="1"/>
  <c r="DG123" i="1"/>
  <c r="DG122" i="1"/>
  <c r="DG121" i="1"/>
  <c r="DG120" i="1"/>
  <c r="DG119" i="1"/>
  <c r="DG118" i="1"/>
  <c r="DG117" i="1"/>
  <c r="DG116" i="1"/>
  <c r="DG115" i="1"/>
  <c r="DG114" i="1"/>
  <c r="DG113" i="1"/>
  <c r="DG112" i="1"/>
  <c r="DG111" i="1"/>
  <c r="DG110" i="1"/>
  <c r="DG109" i="1"/>
  <c r="DG108" i="1"/>
  <c r="DG107" i="1"/>
  <c r="DG106" i="1"/>
  <c r="DG105" i="1"/>
  <c r="DG104" i="1"/>
  <c r="DG103" i="1"/>
  <c r="DG102" i="1"/>
  <c r="DG101" i="1"/>
  <c r="DG100" i="1"/>
  <c r="DG99" i="1"/>
  <c r="DG98" i="1"/>
  <c r="DG97" i="1"/>
  <c r="DG96" i="1"/>
  <c r="DG95" i="1"/>
  <c r="DG94" i="1"/>
  <c r="DG93" i="1"/>
  <c r="DG92" i="1"/>
  <c r="DG91" i="1"/>
  <c r="DG90" i="1"/>
  <c r="DG89" i="1"/>
  <c r="DG88" i="1"/>
  <c r="DG87" i="1"/>
  <c r="DG86" i="1"/>
  <c r="DG85" i="1"/>
  <c r="DG84" i="1"/>
  <c r="DG83" i="1"/>
  <c r="DG82" i="1"/>
  <c r="DG81" i="1"/>
  <c r="DG80" i="1"/>
  <c r="DG79" i="1"/>
  <c r="DG78" i="1"/>
  <c r="DG77" i="1"/>
  <c r="DG76" i="1"/>
  <c r="DG75" i="1"/>
  <c r="DG74" i="1"/>
  <c r="DG73" i="1"/>
  <c r="DG72" i="1"/>
  <c r="DG71" i="1"/>
  <c r="DG70" i="1"/>
  <c r="DG69" i="1"/>
  <c r="DG68" i="1"/>
  <c r="DG67" i="1"/>
  <c r="DG66" i="1"/>
  <c r="DG65" i="1"/>
  <c r="DG64" i="1"/>
  <c r="DG63" i="1"/>
  <c r="DG62" i="1"/>
  <c r="DG61" i="1"/>
  <c r="DG60" i="1"/>
  <c r="DG59" i="1"/>
  <c r="DG58" i="1"/>
  <c r="DG57" i="1"/>
  <c r="DG56" i="1"/>
  <c r="DG55" i="1"/>
  <c r="DG54" i="1"/>
  <c r="DG53" i="1"/>
  <c r="DG52" i="1"/>
  <c r="DG51" i="1"/>
  <c r="DG50" i="1"/>
  <c r="DG49" i="1"/>
  <c r="DG48" i="1"/>
  <c r="DG47" i="1"/>
  <c r="DG46" i="1"/>
  <c r="DG45" i="1"/>
  <c r="DG44" i="1"/>
  <c r="DG43" i="1"/>
  <c r="DG42" i="1"/>
  <c r="DG41" i="1"/>
  <c r="DG40" i="1"/>
  <c r="DG39" i="1"/>
  <c r="DG38" i="1"/>
  <c r="DG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A10" i="1"/>
  <c r="A11" i="1" s="1"/>
  <c r="AB11" i="1" s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X185" i="1"/>
  <c r="BX186" i="1"/>
  <c r="BX187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0" i="1"/>
  <c r="BX201" i="1"/>
  <c r="BX202" i="1"/>
  <c r="BX203" i="1"/>
  <c r="BX204" i="1"/>
  <c r="BX205" i="1"/>
  <c r="BX206" i="1"/>
  <c r="BX207" i="1"/>
  <c r="BX208" i="1"/>
  <c r="BX209" i="1"/>
  <c r="BX210" i="1"/>
  <c r="BX211" i="1"/>
  <c r="BX212" i="1"/>
  <c r="BX213" i="1"/>
  <c r="BX214" i="1"/>
  <c r="BX215" i="1"/>
  <c r="BX216" i="1"/>
  <c r="BX217" i="1"/>
  <c r="BX218" i="1"/>
  <c r="BX219" i="1"/>
  <c r="BX220" i="1"/>
  <c r="BX221" i="1"/>
  <c r="BX222" i="1"/>
  <c r="BX223" i="1"/>
  <c r="BX224" i="1"/>
  <c r="BX225" i="1"/>
  <c r="BX226" i="1"/>
  <c r="BX227" i="1"/>
  <c r="BX228" i="1"/>
  <c r="BX229" i="1"/>
  <c r="BX230" i="1"/>
  <c r="BX231" i="1"/>
  <c r="BX232" i="1"/>
  <c r="BX233" i="1"/>
  <c r="BX234" i="1"/>
  <c r="BX235" i="1"/>
  <c r="BX236" i="1"/>
  <c r="BX237" i="1"/>
  <c r="BX238" i="1"/>
  <c r="BX239" i="1"/>
  <c r="BX240" i="1"/>
  <c r="BX241" i="1"/>
  <c r="BX242" i="1"/>
  <c r="BX243" i="1"/>
  <c r="BX244" i="1"/>
  <c r="BX245" i="1"/>
  <c r="BX246" i="1"/>
  <c r="BX247" i="1"/>
  <c r="BX248" i="1"/>
  <c r="BX249" i="1"/>
  <c r="BX250" i="1"/>
  <c r="BX251" i="1"/>
  <c r="BX252" i="1"/>
  <c r="BX253" i="1"/>
  <c r="BX254" i="1"/>
  <c r="BX255" i="1"/>
  <c r="BX256" i="1"/>
  <c r="BX257" i="1"/>
  <c r="BX258" i="1"/>
  <c r="BX259" i="1"/>
  <c r="BX260" i="1"/>
  <c r="BX261" i="1"/>
  <c r="BX262" i="1"/>
  <c r="BX263" i="1"/>
  <c r="BX264" i="1"/>
  <c r="BX265" i="1"/>
  <c r="BX266" i="1"/>
  <c r="BX267" i="1"/>
  <c r="BX268" i="1"/>
  <c r="BX269" i="1"/>
  <c r="BX270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Z208" i="1"/>
  <c r="BZ209" i="1"/>
  <c r="BZ210" i="1"/>
  <c r="BZ211" i="1"/>
  <c r="BZ212" i="1"/>
  <c r="BZ213" i="1"/>
  <c r="BZ214" i="1"/>
  <c r="BZ215" i="1"/>
  <c r="BZ216" i="1"/>
  <c r="BZ217" i="1"/>
  <c r="BZ218" i="1"/>
  <c r="BZ219" i="1"/>
  <c r="BZ220" i="1"/>
  <c r="BZ221" i="1"/>
  <c r="BZ222" i="1"/>
  <c r="BZ223" i="1"/>
  <c r="BZ224" i="1"/>
  <c r="BZ225" i="1"/>
  <c r="BZ226" i="1"/>
  <c r="BZ227" i="1"/>
  <c r="BZ228" i="1"/>
  <c r="BZ229" i="1"/>
  <c r="BZ230" i="1"/>
  <c r="BZ231" i="1"/>
  <c r="BZ232" i="1"/>
  <c r="BZ233" i="1"/>
  <c r="BZ234" i="1"/>
  <c r="BZ235" i="1"/>
  <c r="BZ236" i="1"/>
  <c r="BZ237" i="1"/>
  <c r="BZ238" i="1"/>
  <c r="BZ239" i="1"/>
  <c r="BZ240" i="1"/>
  <c r="BZ241" i="1"/>
  <c r="BZ242" i="1"/>
  <c r="BZ243" i="1"/>
  <c r="BZ244" i="1"/>
  <c r="BZ245" i="1"/>
  <c r="BZ246" i="1"/>
  <c r="BZ247" i="1"/>
  <c r="BZ248" i="1"/>
  <c r="BZ249" i="1"/>
  <c r="BZ250" i="1"/>
  <c r="BZ251" i="1"/>
  <c r="BZ252" i="1"/>
  <c r="BZ253" i="1"/>
  <c r="BZ254" i="1"/>
  <c r="BZ255" i="1"/>
  <c r="BZ256" i="1"/>
  <c r="BZ257" i="1"/>
  <c r="BZ258" i="1"/>
  <c r="BZ259" i="1"/>
  <c r="BZ260" i="1"/>
  <c r="BZ261" i="1"/>
  <c r="BZ262" i="1"/>
  <c r="BZ263" i="1"/>
  <c r="BZ264" i="1"/>
  <c r="BZ265" i="1"/>
  <c r="BZ266" i="1"/>
  <c r="BZ267" i="1"/>
  <c r="BZ268" i="1"/>
  <c r="BZ269" i="1"/>
  <c r="BZ270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176" i="1"/>
  <c r="CA177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90" i="1"/>
  <c r="CA191" i="1"/>
  <c r="CA192" i="1"/>
  <c r="CA193" i="1"/>
  <c r="CA194" i="1"/>
  <c r="CA195" i="1"/>
  <c r="CA196" i="1"/>
  <c r="CA197" i="1"/>
  <c r="CA198" i="1"/>
  <c r="CA199" i="1"/>
  <c r="CA200" i="1"/>
  <c r="CA201" i="1"/>
  <c r="CA202" i="1"/>
  <c r="CA203" i="1"/>
  <c r="CA204" i="1"/>
  <c r="CA205" i="1"/>
  <c r="CA206" i="1"/>
  <c r="CA207" i="1"/>
  <c r="CA208" i="1"/>
  <c r="CA209" i="1"/>
  <c r="CA210" i="1"/>
  <c r="CA211" i="1"/>
  <c r="CA212" i="1"/>
  <c r="CA213" i="1"/>
  <c r="CA214" i="1"/>
  <c r="CA215" i="1"/>
  <c r="CA216" i="1"/>
  <c r="CA217" i="1"/>
  <c r="CA218" i="1"/>
  <c r="CA219" i="1"/>
  <c r="CA220" i="1"/>
  <c r="CA221" i="1"/>
  <c r="CA222" i="1"/>
  <c r="CA223" i="1"/>
  <c r="CA224" i="1"/>
  <c r="CA225" i="1"/>
  <c r="CA226" i="1"/>
  <c r="CA227" i="1"/>
  <c r="CA228" i="1"/>
  <c r="CA229" i="1"/>
  <c r="CA230" i="1"/>
  <c r="CA231" i="1"/>
  <c r="CA232" i="1"/>
  <c r="CA233" i="1"/>
  <c r="CA234" i="1"/>
  <c r="CA235" i="1"/>
  <c r="CA236" i="1"/>
  <c r="CA237" i="1"/>
  <c r="CA238" i="1"/>
  <c r="CA239" i="1"/>
  <c r="CA240" i="1"/>
  <c r="CA241" i="1"/>
  <c r="CA242" i="1"/>
  <c r="CA243" i="1"/>
  <c r="CA244" i="1"/>
  <c r="CA245" i="1"/>
  <c r="CA246" i="1"/>
  <c r="CA247" i="1"/>
  <c r="CA248" i="1"/>
  <c r="CA249" i="1"/>
  <c r="CA250" i="1"/>
  <c r="CA251" i="1"/>
  <c r="CA252" i="1"/>
  <c r="CA253" i="1"/>
  <c r="CA254" i="1"/>
  <c r="CA255" i="1"/>
  <c r="CA256" i="1"/>
  <c r="CA257" i="1"/>
  <c r="CA258" i="1"/>
  <c r="CA259" i="1"/>
  <c r="CA260" i="1"/>
  <c r="CA261" i="1"/>
  <c r="CA262" i="1"/>
  <c r="CA263" i="1"/>
  <c r="CA264" i="1"/>
  <c r="CA265" i="1"/>
  <c r="CA266" i="1"/>
  <c r="CA267" i="1"/>
  <c r="CA268" i="1"/>
  <c r="CA269" i="1"/>
  <c r="CA270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176" i="1"/>
  <c r="CC177" i="1"/>
  <c r="CC178" i="1"/>
  <c r="CC179" i="1"/>
  <c r="CC180" i="1"/>
  <c r="CC181" i="1"/>
  <c r="CC182" i="1"/>
  <c r="CC183" i="1"/>
  <c r="CC184" i="1"/>
  <c r="CC185" i="1"/>
  <c r="CC186" i="1"/>
  <c r="CC187" i="1"/>
  <c r="CC188" i="1"/>
  <c r="CC189" i="1"/>
  <c r="CC190" i="1"/>
  <c r="CC191" i="1"/>
  <c r="CC192" i="1"/>
  <c r="CC193" i="1"/>
  <c r="CC194" i="1"/>
  <c r="CC195" i="1"/>
  <c r="CC196" i="1"/>
  <c r="CC197" i="1"/>
  <c r="CC198" i="1"/>
  <c r="CC199" i="1"/>
  <c r="CC200" i="1"/>
  <c r="CC201" i="1"/>
  <c r="CC202" i="1"/>
  <c r="CC203" i="1"/>
  <c r="CC204" i="1"/>
  <c r="CC205" i="1"/>
  <c r="CC206" i="1"/>
  <c r="CC207" i="1"/>
  <c r="CC208" i="1"/>
  <c r="CC209" i="1"/>
  <c r="CC210" i="1"/>
  <c r="CC211" i="1"/>
  <c r="CC212" i="1"/>
  <c r="CC213" i="1"/>
  <c r="CC214" i="1"/>
  <c r="CC215" i="1"/>
  <c r="CC216" i="1"/>
  <c r="CC217" i="1"/>
  <c r="CC218" i="1"/>
  <c r="CC219" i="1"/>
  <c r="CC220" i="1"/>
  <c r="CC221" i="1"/>
  <c r="CC222" i="1"/>
  <c r="CC223" i="1"/>
  <c r="CC224" i="1"/>
  <c r="CC225" i="1"/>
  <c r="CC226" i="1"/>
  <c r="CC227" i="1"/>
  <c r="CC228" i="1"/>
  <c r="CC229" i="1"/>
  <c r="CC230" i="1"/>
  <c r="CC231" i="1"/>
  <c r="CC232" i="1"/>
  <c r="CC233" i="1"/>
  <c r="CC234" i="1"/>
  <c r="CC235" i="1"/>
  <c r="CC236" i="1"/>
  <c r="CC237" i="1"/>
  <c r="CC238" i="1"/>
  <c r="CC239" i="1"/>
  <c r="CC240" i="1"/>
  <c r="CC241" i="1"/>
  <c r="CC242" i="1"/>
  <c r="CC243" i="1"/>
  <c r="CC244" i="1"/>
  <c r="CC245" i="1"/>
  <c r="CC246" i="1"/>
  <c r="CC247" i="1"/>
  <c r="CC248" i="1"/>
  <c r="CC249" i="1"/>
  <c r="CC250" i="1"/>
  <c r="CC251" i="1"/>
  <c r="CC252" i="1"/>
  <c r="CC253" i="1"/>
  <c r="CC254" i="1"/>
  <c r="CC255" i="1"/>
  <c r="CC256" i="1"/>
  <c r="CC257" i="1"/>
  <c r="CC258" i="1"/>
  <c r="CC259" i="1"/>
  <c r="CC260" i="1"/>
  <c r="CC261" i="1"/>
  <c r="CC262" i="1"/>
  <c r="CC263" i="1"/>
  <c r="CC264" i="1"/>
  <c r="CC265" i="1"/>
  <c r="CC266" i="1"/>
  <c r="CC267" i="1"/>
  <c r="CC268" i="1"/>
  <c r="CC269" i="1"/>
  <c r="CC270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176" i="1"/>
  <c r="CD177" i="1"/>
  <c r="CD178" i="1"/>
  <c r="CD179" i="1"/>
  <c r="CD180" i="1"/>
  <c r="CD181" i="1"/>
  <c r="CD182" i="1"/>
  <c r="CD183" i="1"/>
  <c r="CD184" i="1"/>
  <c r="CD185" i="1"/>
  <c r="CD186" i="1"/>
  <c r="CD187" i="1"/>
  <c r="CD188" i="1"/>
  <c r="CD189" i="1"/>
  <c r="CD190" i="1"/>
  <c r="CD191" i="1"/>
  <c r="CD192" i="1"/>
  <c r="CD193" i="1"/>
  <c r="CD194" i="1"/>
  <c r="CD195" i="1"/>
  <c r="CD196" i="1"/>
  <c r="CD197" i="1"/>
  <c r="CD198" i="1"/>
  <c r="CD199" i="1"/>
  <c r="CD200" i="1"/>
  <c r="CD201" i="1"/>
  <c r="CD202" i="1"/>
  <c r="CD203" i="1"/>
  <c r="CD204" i="1"/>
  <c r="CD205" i="1"/>
  <c r="CD206" i="1"/>
  <c r="CD207" i="1"/>
  <c r="CD208" i="1"/>
  <c r="CD209" i="1"/>
  <c r="CD210" i="1"/>
  <c r="CD211" i="1"/>
  <c r="CD212" i="1"/>
  <c r="CD213" i="1"/>
  <c r="CD214" i="1"/>
  <c r="CD215" i="1"/>
  <c r="CD216" i="1"/>
  <c r="CD217" i="1"/>
  <c r="CD218" i="1"/>
  <c r="CD219" i="1"/>
  <c r="CD220" i="1"/>
  <c r="CD221" i="1"/>
  <c r="CD222" i="1"/>
  <c r="CD223" i="1"/>
  <c r="CD224" i="1"/>
  <c r="CD225" i="1"/>
  <c r="CD226" i="1"/>
  <c r="CD227" i="1"/>
  <c r="CD228" i="1"/>
  <c r="CD229" i="1"/>
  <c r="CD230" i="1"/>
  <c r="CD231" i="1"/>
  <c r="CD232" i="1"/>
  <c r="CD233" i="1"/>
  <c r="CD234" i="1"/>
  <c r="CD235" i="1"/>
  <c r="CD236" i="1"/>
  <c r="CD237" i="1"/>
  <c r="CD238" i="1"/>
  <c r="CD239" i="1"/>
  <c r="CD240" i="1"/>
  <c r="CD241" i="1"/>
  <c r="CD242" i="1"/>
  <c r="CD243" i="1"/>
  <c r="CD244" i="1"/>
  <c r="CD245" i="1"/>
  <c r="CD246" i="1"/>
  <c r="CD247" i="1"/>
  <c r="CD248" i="1"/>
  <c r="CD249" i="1"/>
  <c r="CD250" i="1"/>
  <c r="CD251" i="1"/>
  <c r="CD252" i="1"/>
  <c r="CD253" i="1"/>
  <c r="CD254" i="1"/>
  <c r="CD255" i="1"/>
  <c r="CD256" i="1"/>
  <c r="CD257" i="1"/>
  <c r="CD258" i="1"/>
  <c r="CD259" i="1"/>
  <c r="CD260" i="1"/>
  <c r="CD261" i="1"/>
  <c r="CD262" i="1"/>
  <c r="CD263" i="1"/>
  <c r="CD264" i="1"/>
  <c r="CD265" i="1"/>
  <c r="CD266" i="1"/>
  <c r="CD267" i="1"/>
  <c r="CD268" i="1"/>
  <c r="CD269" i="1"/>
  <c r="CD270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176" i="1"/>
  <c r="CE177" i="1"/>
  <c r="CE178" i="1"/>
  <c r="CE179" i="1"/>
  <c r="CE180" i="1"/>
  <c r="CE181" i="1"/>
  <c r="CE182" i="1"/>
  <c r="CE183" i="1"/>
  <c r="CE184" i="1"/>
  <c r="CE185" i="1"/>
  <c r="CE186" i="1"/>
  <c r="CE187" i="1"/>
  <c r="CE188" i="1"/>
  <c r="CE189" i="1"/>
  <c r="CE190" i="1"/>
  <c r="CE191" i="1"/>
  <c r="CE192" i="1"/>
  <c r="CE193" i="1"/>
  <c r="CE194" i="1"/>
  <c r="CE195" i="1"/>
  <c r="CE196" i="1"/>
  <c r="CE197" i="1"/>
  <c r="CE198" i="1"/>
  <c r="CE199" i="1"/>
  <c r="CE200" i="1"/>
  <c r="CE201" i="1"/>
  <c r="CE202" i="1"/>
  <c r="CE203" i="1"/>
  <c r="CE204" i="1"/>
  <c r="CE205" i="1"/>
  <c r="CE206" i="1"/>
  <c r="CE207" i="1"/>
  <c r="CE208" i="1"/>
  <c r="CE209" i="1"/>
  <c r="CE210" i="1"/>
  <c r="CE211" i="1"/>
  <c r="CE212" i="1"/>
  <c r="CE213" i="1"/>
  <c r="CE214" i="1"/>
  <c r="CE215" i="1"/>
  <c r="CE216" i="1"/>
  <c r="CE217" i="1"/>
  <c r="CE218" i="1"/>
  <c r="CE219" i="1"/>
  <c r="CE220" i="1"/>
  <c r="CE221" i="1"/>
  <c r="CE222" i="1"/>
  <c r="CE223" i="1"/>
  <c r="CE224" i="1"/>
  <c r="CE225" i="1"/>
  <c r="CE226" i="1"/>
  <c r="CE227" i="1"/>
  <c r="CE228" i="1"/>
  <c r="CE229" i="1"/>
  <c r="CE230" i="1"/>
  <c r="CE231" i="1"/>
  <c r="CE232" i="1"/>
  <c r="CE233" i="1"/>
  <c r="CE234" i="1"/>
  <c r="CE235" i="1"/>
  <c r="CE236" i="1"/>
  <c r="CE237" i="1"/>
  <c r="CE238" i="1"/>
  <c r="CE239" i="1"/>
  <c r="CE240" i="1"/>
  <c r="CE241" i="1"/>
  <c r="CE242" i="1"/>
  <c r="CE243" i="1"/>
  <c r="CE244" i="1"/>
  <c r="CE245" i="1"/>
  <c r="CE246" i="1"/>
  <c r="CE247" i="1"/>
  <c r="CE248" i="1"/>
  <c r="CE249" i="1"/>
  <c r="CE250" i="1"/>
  <c r="CE251" i="1"/>
  <c r="CE252" i="1"/>
  <c r="CE253" i="1"/>
  <c r="CE254" i="1"/>
  <c r="CE255" i="1"/>
  <c r="CE256" i="1"/>
  <c r="CE257" i="1"/>
  <c r="CE258" i="1"/>
  <c r="CE259" i="1"/>
  <c r="CE260" i="1"/>
  <c r="CE261" i="1"/>
  <c r="CE262" i="1"/>
  <c r="CE263" i="1"/>
  <c r="CE264" i="1"/>
  <c r="CE265" i="1"/>
  <c r="CE266" i="1"/>
  <c r="CE267" i="1"/>
  <c r="CE268" i="1"/>
  <c r="CE269" i="1"/>
  <c r="CE270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176" i="1"/>
  <c r="CF177" i="1"/>
  <c r="CF178" i="1"/>
  <c r="CF179" i="1"/>
  <c r="CF180" i="1"/>
  <c r="CF181" i="1"/>
  <c r="CF182" i="1"/>
  <c r="CF183" i="1"/>
  <c r="CF184" i="1"/>
  <c r="CF185" i="1"/>
  <c r="CF186" i="1"/>
  <c r="CF187" i="1"/>
  <c r="CF188" i="1"/>
  <c r="CF189" i="1"/>
  <c r="CF190" i="1"/>
  <c r="CF191" i="1"/>
  <c r="CF192" i="1"/>
  <c r="CF193" i="1"/>
  <c r="CF194" i="1"/>
  <c r="CF195" i="1"/>
  <c r="CF196" i="1"/>
  <c r="CF197" i="1"/>
  <c r="CF198" i="1"/>
  <c r="CF199" i="1"/>
  <c r="CF200" i="1"/>
  <c r="CF201" i="1"/>
  <c r="CF202" i="1"/>
  <c r="CF203" i="1"/>
  <c r="CF204" i="1"/>
  <c r="CF205" i="1"/>
  <c r="CF206" i="1"/>
  <c r="CF207" i="1"/>
  <c r="CF208" i="1"/>
  <c r="CF209" i="1"/>
  <c r="CF210" i="1"/>
  <c r="CF211" i="1"/>
  <c r="CF212" i="1"/>
  <c r="CF213" i="1"/>
  <c r="CF214" i="1"/>
  <c r="CF215" i="1"/>
  <c r="CF216" i="1"/>
  <c r="CF217" i="1"/>
  <c r="CF218" i="1"/>
  <c r="CF219" i="1"/>
  <c r="CF220" i="1"/>
  <c r="CF221" i="1"/>
  <c r="CF222" i="1"/>
  <c r="CF223" i="1"/>
  <c r="CF224" i="1"/>
  <c r="CF225" i="1"/>
  <c r="CF226" i="1"/>
  <c r="CF227" i="1"/>
  <c r="CF228" i="1"/>
  <c r="CF229" i="1"/>
  <c r="CF230" i="1"/>
  <c r="CF231" i="1"/>
  <c r="CF232" i="1"/>
  <c r="CF233" i="1"/>
  <c r="CF234" i="1"/>
  <c r="CF235" i="1"/>
  <c r="CF236" i="1"/>
  <c r="CF237" i="1"/>
  <c r="CF238" i="1"/>
  <c r="CF239" i="1"/>
  <c r="CF240" i="1"/>
  <c r="CF241" i="1"/>
  <c r="CF242" i="1"/>
  <c r="CF243" i="1"/>
  <c r="CF244" i="1"/>
  <c r="CF245" i="1"/>
  <c r="CF246" i="1"/>
  <c r="CF247" i="1"/>
  <c r="CF248" i="1"/>
  <c r="CF249" i="1"/>
  <c r="CF250" i="1"/>
  <c r="CF251" i="1"/>
  <c r="CF252" i="1"/>
  <c r="CF253" i="1"/>
  <c r="CF254" i="1"/>
  <c r="CF255" i="1"/>
  <c r="CF256" i="1"/>
  <c r="CF257" i="1"/>
  <c r="CF258" i="1"/>
  <c r="CF259" i="1"/>
  <c r="CF260" i="1"/>
  <c r="CF261" i="1"/>
  <c r="CF262" i="1"/>
  <c r="CF263" i="1"/>
  <c r="CF264" i="1"/>
  <c r="CF265" i="1"/>
  <c r="CF266" i="1"/>
  <c r="CF267" i="1"/>
  <c r="CF268" i="1"/>
  <c r="CF269" i="1"/>
  <c r="CF270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176" i="1"/>
  <c r="CG177" i="1"/>
  <c r="CG178" i="1"/>
  <c r="CG179" i="1"/>
  <c r="CG180" i="1"/>
  <c r="CG181" i="1"/>
  <c r="CG182" i="1"/>
  <c r="CG183" i="1"/>
  <c r="CG184" i="1"/>
  <c r="CG185" i="1"/>
  <c r="CG186" i="1"/>
  <c r="CG187" i="1"/>
  <c r="CG188" i="1"/>
  <c r="CG189" i="1"/>
  <c r="CG190" i="1"/>
  <c r="CG191" i="1"/>
  <c r="CG192" i="1"/>
  <c r="CG193" i="1"/>
  <c r="CG194" i="1"/>
  <c r="CG195" i="1"/>
  <c r="CG196" i="1"/>
  <c r="CG197" i="1"/>
  <c r="CG198" i="1"/>
  <c r="CG199" i="1"/>
  <c r="CG200" i="1"/>
  <c r="CG201" i="1"/>
  <c r="CG202" i="1"/>
  <c r="CG203" i="1"/>
  <c r="CG204" i="1"/>
  <c r="CG205" i="1"/>
  <c r="CG206" i="1"/>
  <c r="CG207" i="1"/>
  <c r="CG208" i="1"/>
  <c r="CG209" i="1"/>
  <c r="CG210" i="1"/>
  <c r="CG211" i="1"/>
  <c r="CG212" i="1"/>
  <c r="CG213" i="1"/>
  <c r="CG214" i="1"/>
  <c r="CG215" i="1"/>
  <c r="CG216" i="1"/>
  <c r="CG217" i="1"/>
  <c r="CG218" i="1"/>
  <c r="CG219" i="1"/>
  <c r="CG220" i="1"/>
  <c r="CG221" i="1"/>
  <c r="CG222" i="1"/>
  <c r="CG223" i="1"/>
  <c r="CG224" i="1"/>
  <c r="CG225" i="1"/>
  <c r="CG226" i="1"/>
  <c r="CG227" i="1"/>
  <c r="CG228" i="1"/>
  <c r="CG229" i="1"/>
  <c r="CG230" i="1"/>
  <c r="CG231" i="1"/>
  <c r="CG232" i="1"/>
  <c r="CG233" i="1"/>
  <c r="CG234" i="1"/>
  <c r="CG235" i="1"/>
  <c r="CG236" i="1"/>
  <c r="CG237" i="1"/>
  <c r="CG238" i="1"/>
  <c r="CG239" i="1"/>
  <c r="CG240" i="1"/>
  <c r="CG241" i="1"/>
  <c r="CG242" i="1"/>
  <c r="CG243" i="1"/>
  <c r="CG244" i="1"/>
  <c r="CG245" i="1"/>
  <c r="CG246" i="1"/>
  <c r="CG247" i="1"/>
  <c r="CG248" i="1"/>
  <c r="CG249" i="1"/>
  <c r="CG250" i="1"/>
  <c r="CG251" i="1"/>
  <c r="CG252" i="1"/>
  <c r="CG253" i="1"/>
  <c r="CG254" i="1"/>
  <c r="CG255" i="1"/>
  <c r="CG256" i="1"/>
  <c r="CG257" i="1"/>
  <c r="CG258" i="1"/>
  <c r="CG259" i="1"/>
  <c r="CG260" i="1"/>
  <c r="CG261" i="1"/>
  <c r="CG262" i="1"/>
  <c r="CG263" i="1"/>
  <c r="CG264" i="1"/>
  <c r="CG265" i="1"/>
  <c r="CG266" i="1"/>
  <c r="CG267" i="1"/>
  <c r="CG268" i="1"/>
  <c r="CG269" i="1"/>
  <c r="CG270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176" i="1"/>
  <c r="CH177" i="1"/>
  <c r="CH178" i="1"/>
  <c r="CH179" i="1"/>
  <c r="CH180" i="1"/>
  <c r="CH181" i="1"/>
  <c r="CH182" i="1"/>
  <c r="CH183" i="1"/>
  <c r="CH184" i="1"/>
  <c r="CH185" i="1"/>
  <c r="CH186" i="1"/>
  <c r="CH187" i="1"/>
  <c r="CH188" i="1"/>
  <c r="CH189" i="1"/>
  <c r="CH190" i="1"/>
  <c r="CH191" i="1"/>
  <c r="CH192" i="1"/>
  <c r="CH193" i="1"/>
  <c r="CH194" i="1"/>
  <c r="CH195" i="1"/>
  <c r="CH196" i="1"/>
  <c r="CH197" i="1"/>
  <c r="CH198" i="1"/>
  <c r="CH199" i="1"/>
  <c r="CH200" i="1"/>
  <c r="CH201" i="1"/>
  <c r="CH202" i="1"/>
  <c r="CH203" i="1"/>
  <c r="CH204" i="1"/>
  <c r="CH205" i="1"/>
  <c r="CH206" i="1"/>
  <c r="CH207" i="1"/>
  <c r="CH208" i="1"/>
  <c r="CH209" i="1"/>
  <c r="CH210" i="1"/>
  <c r="CH211" i="1"/>
  <c r="CH212" i="1"/>
  <c r="CH213" i="1"/>
  <c r="CH214" i="1"/>
  <c r="CH215" i="1"/>
  <c r="CH216" i="1"/>
  <c r="CH217" i="1"/>
  <c r="CH218" i="1"/>
  <c r="CH219" i="1"/>
  <c r="CH220" i="1"/>
  <c r="CH221" i="1"/>
  <c r="CH222" i="1"/>
  <c r="CH223" i="1"/>
  <c r="CH224" i="1"/>
  <c r="CH225" i="1"/>
  <c r="CH226" i="1"/>
  <c r="CH227" i="1"/>
  <c r="CH228" i="1"/>
  <c r="CH229" i="1"/>
  <c r="CH230" i="1"/>
  <c r="CH231" i="1"/>
  <c r="CH232" i="1"/>
  <c r="CH233" i="1"/>
  <c r="CH234" i="1"/>
  <c r="CH235" i="1"/>
  <c r="CH236" i="1"/>
  <c r="CH237" i="1"/>
  <c r="CH238" i="1"/>
  <c r="CH239" i="1"/>
  <c r="CH240" i="1"/>
  <c r="CH241" i="1"/>
  <c r="CH242" i="1"/>
  <c r="CH243" i="1"/>
  <c r="CH244" i="1"/>
  <c r="CH245" i="1"/>
  <c r="CH246" i="1"/>
  <c r="CH247" i="1"/>
  <c r="CH248" i="1"/>
  <c r="CH249" i="1"/>
  <c r="CH250" i="1"/>
  <c r="CH251" i="1"/>
  <c r="CH252" i="1"/>
  <c r="CH253" i="1"/>
  <c r="CH254" i="1"/>
  <c r="CH255" i="1"/>
  <c r="CH256" i="1"/>
  <c r="CH257" i="1"/>
  <c r="CH258" i="1"/>
  <c r="CH259" i="1"/>
  <c r="CH260" i="1"/>
  <c r="CH261" i="1"/>
  <c r="CH262" i="1"/>
  <c r="CH263" i="1"/>
  <c r="CH264" i="1"/>
  <c r="CH265" i="1"/>
  <c r="CH266" i="1"/>
  <c r="CH267" i="1"/>
  <c r="CH268" i="1"/>
  <c r="CH269" i="1"/>
  <c r="CH270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7" i="1"/>
  <c r="CI158" i="1"/>
  <c r="CI159" i="1"/>
  <c r="CI160" i="1"/>
  <c r="CI161" i="1"/>
  <c r="CI162" i="1"/>
  <c r="CI163" i="1"/>
  <c r="CI164" i="1"/>
  <c r="CI165" i="1"/>
  <c r="CI166" i="1"/>
  <c r="CI167" i="1"/>
  <c r="CI168" i="1"/>
  <c r="CI169" i="1"/>
  <c r="CI170" i="1"/>
  <c r="CI171" i="1"/>
  <c r="CI172" i="1"/>
  <c r="CI173" i="1"/>
  <c r="CI174" i="1"/>
  <c r="CI175" i="1"/>
  <c r="CI176" i="1"/>
  <c r="CI177" i="1"/>
  <c r="CI178" i="1"/>
  <c r="CI179" i="1"/>
  <c r="CI180" i="1"/>
  <c r="CI181" i="1"/>
  <c r="CI182" i="1"/>
  <c r="CI183" i="1"/>
  <c r="CI184" i="1"/>
  <c r="CI185" i="1"/>
  <c r="CI186" i="1"/>
  <c r="CI187" i="1"/>
  <c r="CI188" i="1"/>
  <c r="CI189" i="1"/>
  <c r="CI190" i="1"/>
  <c r="CI191" i="1"/>
  <c r="CI192" i="1"/>
  <c r="CI193" i="1"/>
  <c r="CI194" i="1"/>
  <c r="CI195" i="1"/>
  <c r="CI196" i="1"/>
  <c r="CI197" i="1"/>
  <c r="CI198" i="1"/>
  <c r="CI199" i="1"/>
  <c r="CI200" i="1"/>
  <c r="CI201" i="1"/>
  <c r="CI202" i="1"/>
  <c r="CI203" i="1"/>
  <c r="CI204" i="1"/>
  <c r="CI205" i="1"/>
  <c r="CI206" i="1"/>
  <c r="CI207" i="1"/>
  <c r="CI208" i="1"/>
  <c r="CI209" i="1"/>
  <c r="CI210" i="1"/>
  <c r="CI211" i="1"/>
  <c r="CI212" i="1"/>
  <c r="CI213" i="1"/>
  <c r="CI214" i="1"/>
  <c r="CI215" i="1"/>
  <c r="CI216" i="1"/>
  <c r="CI217" i="1"/>
  <c r="CI218" i="1"/>
  <c r="CI219" i="1"/>
  <c r="CI220" i="1"/>
  <c r="CI221" i="1"/>
  <c r="CI222" i="1"/>
  <c r="CI223" i="1"/>
  <c r="CI224" i="1"/>
  <c r="CI225" i="1"/>
  <c r="CI226" i="1"/>
  <c r="CI227" i="1"/>
  <c r="CI228" i="1"/>
  <c r="CI229" i="1"/>
  <c r="CI230" i="1"/>
  <c r="CI231" i="1"/>
  <c r="CI232" i="1"/>
  <c r="CI233" i="1"/>
  <c r="CI234" i="1"/>
  <c r="CI235" i="1"/>
  <c r="CI236" i="1"/>
  <c r="CI237" i="1"/>
  <c r="CI238" i="1"/>
  <c r="CI239" i="1"/>
  <c r="CI240" i="1"/>
  <c r="CI241" i="1"/>
  <c r="CI242" i="1"/>
  <c r="CI243" i="1"/>
  <c r="CI244" i="1"/>
  <c r="CI245" i="1"/>
  <c r="CI246" i="1"/>
  <c r="CI247" i="1"/>
  <c r="CI248" i="1"/>
  <c r="CI249" i="1"/>
  <c r="CI250" i="1"/>
  <c r="CI251" i="1"/>
  <c r="CI252" i="1"/>
  <c r="CI253" i="1"/>
  <c r="CI254" i="1"/>
  <c r="CI255" i="1"/>
  <c r="CI256" i="1"/>
  <c r="CI257" i="1"/>
  <c r="CI258" i="1"/>
  <c r="CI259" i="1"/>
  <c r="CI260" i="1"/>
  <c r="CI261" i="1"/>
  <c r="CI262" i="1"/>
  <c r="CI263" i="1"/>
  <c r="CI264" i="1"/>
  <c r="CI265" i="1"/>
  <c r="CI266" i="1"/>
  <c r="CI267" i="1"/>
  <c r="CI268" i="1"/>
  <c r="CI269" i="1"/>
  <c r="CI270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174" i="1"/>
  <c r="CJ175" i="1"/>
  <c r="CJ176" i="1"/>
  <c r="CJ177" i="1"/>
  <c r="CJ178" i="1"/>
  <c r="CJ179" i="1"/>
  <c r="CJ180" i="1"/>
  <c r="CJ181" i="1"/>
  <c r="CJ182" i="1"/>
  <c r="CJ183" i="1"/>
  <c r="CJ184" i="1"/>
  <c r="CJ185" i="1"/>
  <c r="CJ186" i="1"/>
  <c r="CJ187" i="1"/>
  <c r="CJ188" i="1"/>
  <c r="CJ189" i="1"/>
  <c r="CJ190" i="1"/>
  <c r="CJ191" i="1"/>
  <c r="CJ192" i="1"/>
  <c r="CJ193" i="1"/>
  <c r="CJ194" i="1"/>
  <c r="CJ195" i="1"/>
  <c r="CJ196" i="1"/>
  <c r="CJ197" i="1"/>
  <c r="CJ198" i="1"/>
  <c r="CJ199" i="1"/>
  <c r="CJ200" i="1"/>
  <c r="CJ201" i="1"/>
  <c r="CJ202" i="1"/>
  <c r="CJ203" i="1"/>
  <c r="CJ204" i="1"/>
  <c r="CJ205" i="1"/>
  <c r="CJ206" i="1"/>
  <c r="CJ207" i="1"/>
  <c r="CJ208" i="1"/>
  <c r="CJ209" i="1"/>
  <c r="CJ210" i="1"/>
  <c r="CJ211" i="1"/>
  <c r="CJ212" i="1"/>
  <c r="CJ213" i="1"/>
  <c r="CJ214" i="1"/>
  <c r="CJ215" i="1"/>
  <c r="CJ216" i="1"/>
  <c r="CJ217" i="1"/>
  <c r="CJ218" i="1"/>
  <c r="CJ219" i="1"/>
  <c r="CJ220" i="1"/>
  <c r="CJ221" i="1"/>
  <c r="CJ222" i="1"/>
  <c r="CJ223" i="1"/>
  <c r="CJ224" i="1"/>
  <c r="CJ225" i="1"/>
  <c r="CJ226" i="1"/>
  <c r="CJ227" i="1"/>
  <c r="CJ228" i="1"/>
  <c r="CJ229" i="1"/>
  <c r="CJ230" i="1"/>
  <c r="CJ231" i="1"/>
  <c r="CJ232" i="1"/>
  <c r="CJ233" i="1"/>
  <c r="CJ234" i="1"/>
  <c r="CJ235" i="1"/>
  <c r="CJ236" i="1"/>
  <c r="CJ237" i="1"/>
  <c r="CJ238" i="1"/>
  <c r="CJ239" i="1"/>
  <c r="CJ240" i="1"/>
  <c r="CJ241" i="1"/>
  <c r="CJ242" i="1"/>
  <c r="CJ243" i="1"/>
  <c r="CJ244" i="1"/>
  <c r="CJ245" i="1"/>
  <c r="CJ246" i="1"/>
  <c r="CJ247" i="1"/>
  <c r="CJ248" i="1"/>
  <c r="CJ249" i="1"/>
  <c r="CJ250" i="1"/>
  <c r="CJ251" i="1"/>
  <c r="CJ252" i="1"/>
  <c r="CJ253" i="1"/>
  <c r="CJ254" i="1"/>
  <c r="CJ255" i="1"/>
  <c r="CJ256" i="1"/>
  <c r="CJ257" i="1"/>
  <c r="CJ258" i="1"/>
  <c r="CJ259" i="1"/>
  <c r="CJ260" i="1"/>
  <c r="CJ261" i="1"/>
  <c r="CJ262" i="1"/>
  <c r="CJ263" i="1"/>
  <c r="CJ264" i="1"/>
  <c r="CJ265" i="1"/>
  <c r="CJ266" i="1"/>
  <c r="CJ267" i="1"/>
  <c r="CJ268" i="1"/>
  <c r="CJ269" i="1"/>
  <c r="CJ270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166" i="1"/>
  <c r="CK167" i="1"/>
  <c r="CK168" i="1"/>
  <c r="CK169" i="1"/>
  <c r="CK170" i="1"/>
  <c r="CK171" i="1"/>
  <c r="CK172" i="1"/>
  <c r="CK173" i="1"/>
  <c r="CK174" i="1"/>
  <c r="CK175" i="1"/>
  <c r="CK176" i="1"/>
  <c r="CK177" i="1"/>
  <c r="CK178" i="1"/>
  <c r="CK179" i="1"/>
  <c r="CK180" i="1"/>
  <c r="CK181" i="1"/>
  <c r="CK182" i="1"/>
  <c r="CK183" i="1"/>
  <c r="CK184" i="1"/>
  <c r="CK185" i="1"/>
  <c r="CK186" i="1"/>
  <c r="CK187" i="1"/>
  <c r="CK188" i="1"/>
  <c r="CK189" i="1"/>
  <c r="CK190" i="1"/>
  <c r="CK191" i="1"/>
  <c r="CK192" i="1"/>
  <c r="CK193" i="1"/>
  <c r="CK194" i="1"/>
  <c r="CK195" i="1"/>
  <c r="CK196" i="1"/>
  <c r="CK197" i="1"/>
  <c r="CK198" i="1"/>
  <c r="CK199" i="1"/>
  <c r="CK200" i="1"/>
  <c r="CK201" i="1"/>
  <c r="CK202" i="1"/>
  <c r="CK203" i="1"/>
  <c r="CK204" i="1"/>
  <c r="CK205" i="1"/>
  <c r="CK206" i="1"/>
  <c r="CK207" i="1"/>
  <c r="CK208" i="1"/>
  <c r="CK209" i="1"/>
  <c r="CK210" i="1"/>
  <c r="CK211" i="1"/>
  <c r="CK212" i="1"/>
  <c r="CK213" i="1"/>
  <c r="CK214" i="1"/>
  <c r="CK215" i="1"/>
  <c r="CK216" i="1"/>
  <c r="CK217" i="1"/>
  <c r="CK218" i="1"/>
  <c r="CK219" i="1"/>
  <c r="CK220" i="1"/>
  <c r="CK221" i="1"/>
  <c r="CK222" i="1"/>
  <c r="CK223" i="1"/>
  <c r="CK224" i="1"/>
  <c r="CK225" i="1"/>
  <c r="CK226" i="1"/>
  <c r="CK227" i="1"/>
  <c r="CK228" i="1"/>
  <c r="CK229" i="1"/>
  <c r="CK230" i="1"/>
  <c r="CK231" i="1"/>
  <c r="CK232" i="1"/>
  <c r="CK233" i="1"/>
  <c r="CK234" i="1"/>
  <c r="CK235" i="1"/>
  <c r="CK236" i="1"/>
  <c r="CK237" i="1"/>
  <c r="CK238" i="1"/>
  <c r="CK239" i="1"/>
  <c r="CK240" i="1"/>
  <c r="CK241" i="1"/>
  <c r="CK242" i="1"/>
  <c r="CK243" i="1"/>
  <c r="CK244" i="1"/>
  <c r="CK245" i="1"/>
  <c r="CK246" i="1"/>
  <c r="CK247" i="1"/>
  <c r="CK248" i="1"/>
  <c r="CK249" i="1"/>
  <c r="CK250" i="1"/>
  <c r="CK251" i="1"/>
  <c r="CK252" i="1"/>
  <c r="CK253" i="1"/>
  <c r="CK254" i="1"/>
  <c r="CK255" i="1"/>
  <c r="CK256" i="1"/>
  <c r="CK257" i="1"/>
  <c r="CK258" i="1"/>
  <c r="CK259" i="1"/>
  <c r="CK260" i="1"/>
  <c r="CK261" i="1"/>
  <c r="CK262" i="1"/>
  <c r="CK263" i="1"/>
  <c r="CK264" i="1"/>
  <c r="CK265" i="1"/>
  <c r="CK266" i="1"/>
  <c r="CK267" i="1"/>
  <c r="CK268" i="1"/>
  <c r="CK269" i="1"/>
  <c r="CK270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176" i="1"/>
  <c r="CL177" i="1"/>
  <c r="CL178" i="1"/>
  <c r="CL179" i="1"/>
  <c r="CL180" i="1"/>
  <c r="CL181" i="1"/>
  <c r="CL182" i="1"/>
  <c r="CL183" i="1"/>
  <c r="CL184" i="1"/>
  <c r="CL185" i="1"/>
  <c r="CL186" i="1"/>
  <c r="CL187" i="1"/>
  <c r="CL188" i="1"/>
  <c r="CL189" i="1"/>
  <c r="CL190" i="1"/>
  <c r="CL191" i="1"/>
  <c r="CL192" i="1"/>
  <c r="CL193" i="1"/>
  <c r="CL194" i="1"/>
  <c r="CL195" i="1"/>
  <c r="CL196" i="1"/>
  <c r="CL197" i="1"/>
  <c r="CL198" i="1"/>
  <c r="CL199" i="1"/>
  <c r="CL200" i="1"/>
  <c r="CL201" i="1"/>
  <c r="CL202" i="1"/>
  <c r="CL203" i="1"/>
  <c r="CL204" i="1"/>
  <c r="CL205" i="1"/>
  <c r="CL206" i="1"/>
  <c r="CL207" i="1"/>
  <c r="CL208" i="1"/>
  <c r="CL209" i="1"/>
  <c r="CL210" i="1"/>
  <c r="CL211" i="1"/>
  <c r="CL212" i="1"/>
  <c r="CL213" i="1"/>
  <c r="CL214" i="1"/>
  <c r="CL215" i="1"/>
  <c r="CL216" i="1"/>
  <c r="CL217" i="1"/>
  <c r="CL218" i="1"/>
  <c r="CL219" i="1"/>
  <c r="CL220" i="1"/>
  <c r="CL221" i="1"/>
  <c r="CL222" i="1"/>
  <c r="CL223" i="1"/>
  <c r="CL224" i="1"/>
  <c r="CL225" i="1"/>
  <c r="CL226" i="1"/>
  <c r="CL227" i="1"/>
  <c r="CL228" i="1"/>
  <c r="CL229" i="1"/>
  <c r="CL230" i="1"/>
  <c r="CL231" i="1"/>
  <c r="CL232" i="1"/>
  <c r="CL233" i="1"/>
  <c r="CL234" i="1"/>
  <c r="CL235" i="1"/>
  <c r="CL236" i="1"/>
  <c r="CL237" i="1"/>
  <c r="CL238" i="1"/>
  <c r="CL239" i="1"/>
  <c r="CL240" i="1"/>
  <c r="CL241" i="1"/>
  <c r="CL242" i="1"/>
  <c r="CL243" i="1"/>
  <c r="CL244" i="1"/>
  <c r="CL245" i="1"/>
  <c r="CL246" i="1"/>
  <c r="CL247" i="1"/>
  <c r="CL248" i="1"/>
  <c r="CL249" i="1"/>
  <c r="CL250" i="1"/>
  <c r="CL251" i="1"/>
  <c r="CL252" i="1"/>
  <c r="CL253" i="1"/>
  <c r="CL254" i="1"/>
  <c r="CL255" i="1"/>
  <c r="CL256" i="1"/>
  <c r="CL257" i="1"/>
  <c r="CL258" i="1"/>
  <c r="CL259" i="1"/>
  <c r="CL260" i="1"/>
  <c r="CL261" i="1"/>
  <c r="CL262" i="1"/>
  <c r="CL263" i="1"/>
  <c r="CL264" i="1"/>
  <c r="CL265" i="1"/>
  <c r="CL266" i="1"/>
  <c r="CL267" i="1"/>
  <c r="CL268" i="1"/>
  <c r="CL269" i="1"/>
  <c r="CL270" i="1"/>
  <c r="CM137" i="1"/>
  <c r="CM138" i="1"/>
  <c r="CM139" i="1"/>
  <c r="CM140" i="1"/>
  <c r="CM141" i="1"/>
  <c r="CM142" i="1"/>
  <c r="CM143" i="1"/>
  <c r="CM144" i="1"/>
  <c r="CM145" i="1"/>
  <c r="CM146" i="1"/>
  <c r="CM147" i="1"/>
  <c r="CM148" i="1"/>
  <c r="CM149" i="1"/>
  <c r="CM150" i="1"/>
  <c r="CM151" i="1"/>
  <c r="CM152" i="1"/>
  <c r="CM153" i="1"/>
  <c r="CM154" i="1"/>
  <c r="CM155" i="1"/>
  <c r="CM156" i="1"/>
  <c r="CM157" i="1"/>
  <c r="CM158" i="1"/>
  <c r="CM159" i="1"/>
  <c r="CM160" i="1"/>
  <c r="CM161" i="1"/>
  <c r="CM162" i="1"/>
  <c r="CM163" i="1"/>
  <c r="CM164" i="1"/>
  <c r="CM165" i="1"/>
  <c r="CM166" i="1"/>
  <c r="CM167" i="1"/>
  <c r="CM168" i="1"/>
  <c r="CM169" i="1"/>
  <c r="CM170" i="1"/>
  <c r="CM171" i="1"/>
  <c r="CM172" i="1"/>
  <c r="CM173" i="1"/>
  <c r="CM174" i="1"/>
  <c r="CM175" i="1"/>
  <c r="CM176" i="1"/>
  <c r="CM177" i="1"/>
  <c r="CM178" i="1"/>
  <c r="CM179" i="1"/>
  <c r="CM180" i="1"/>
  <c r="CM181" i="1"/>
  <c r="CM182" i="1"/>
  <c r="CM183" i="1"/>
  <c r="CM184" i="1"/>
  <c r="CM185" i="1"/>
  <c r="CM186" i="1"/>
  <c r="CM187" i="1"/>
  <c r="CM188" i="1"/>
  <c r="CM189" i="1"/>
  <c r="CM190" i="1"/>
  <c r="CM191" i="1"/>
  <c r="CM192" i="1"/>
  <c r="CM193" i="1"/>
  <c r="CM194" i="1"/>
  <c r="CM195" i="1"/>
  <c r="CM196" i="1"/>
  <c r="CM197" i="1"/>
  <c r="CM198" i="1"/>
  <c r="CM199" i="1"/>
  <c r="CM200" i="1"/>
  <c r="CM201" i="1"/>
  <c r="CM202" i="1"/>
  <c r="CM203" i="1"/>
  <c r="CM204" i="1"/>
  <c r="CM205" i="1"/>
  <c r="CM206" i="1"/>
  <c r="CM207" i="1"/>
  <c r="CM208" i="1"/>
  <c r="CM209" i="1"/>
  <c r="CM210" i="1"/>
  <c r="CM211" i="1"/>
  <c r="CM212" i="1"/>
  <c r="CM213" i="1"/>
  <c r="CM214" i="1"/>
  <c r="CM215" i="1"/>
  <c r="CM216" i="1"/>
  <c r="CM217" i="1"/>
  <c r="CM218" i="1"/>
  <c r="CM219" i="1"/>
  <c r="CM220" i="1"/>
  <c r="CM221" i="1"/>
  <c r="CM222" i="1"/>
  <c r="CM223" i="1"/>
  <c r="CM224" i="1"/>
  <c r="CM225" i="1"/>
  <c r="CM226" i="1"/>
  <c r="CM227" i="1"/>
  <c r="CM228" i="1"/>
  <c r="CM229" i="1"/>
  <c r="CM230" i="1"/>
  <c r="CM231" i="1"/>
  <c r="CM232" i="1"/>
  <c r="CM233" i="1"/>
  <c r="CM234" i="1"/>
  <c r="CM235" i="1"/>
  <c r="CM236" i="1"/>
  <c r="CM237" i="1"/>
  <c r="CM238" i="1"/>
  <c r="CM239" i="1"/>
  <c r="CM240" i="1"/>
  <c r="CM241" i="1"/>
  <c r="CM242" i="1"/>
  <c r="CM243" i="1"/>
  <c r="CM244" i="1"/>
  <c r="CM245" i="1"/>
  <c r="CM246" i="1"/>
  <c r="CM247" i="1"/>
  <c r="CM248" i="1"/>
  <c r="CM249" i="1"/>
  <c r="CM250" i="1"/>
  <c r="CM251" i="1"/>
  <c r="CM252" i="1"/>
  <c r="CM253" i="1"/>
  <c r="CM254" i="1"/>
  <c r="CM255" i="1"/>
  <c r="CM256" i="1"/>
  <c r="CM257" i="1"/>
  <c r="CM258" i="1"/>
  <c r="CM259" i="1"/>
  <c r="CM260" i="1"/>
  <c r="CM261" i="1"/>
  <c r="CM262" i="1"/>
  <c r="CM263" i="1"/>
  <c r="CM264" i="1"/>
  <c r="CM265" i="1"/>
  <c r="CM266" i="1"/>
  <c r="CM267" i="1"/>
  <c r="CM268" i="1"/>
  <c r="CM269" i="1"/>
  <c r="CM270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N175" i="1"/>
  <c r="CN176" i="1"/>
  <c r="CN177" i="1"/>
  <c r="CN178" i="1"/>
  <c r="CN179" i="1"/>
  <c r="CN180" i="1"/>
  <c r="CN181" i="1"/>
  <c r="CN182" i="1"/>
  <c r="CN183" i="1"/>
  <c r="CN184" i="1"/>
  <c r="CN185" i="1"/>
  <c r="CN186" i="1"/>
  <c r="CN187" i="1"/>
  <c r="CN188" i="1"/>
  <c r="CN189" i="1"/>
  <c r="CN190" i="1"/>
  <c r="CN191" i="1"/>
  <c r="CN192" i="1"/>
  <c r="CN193" i="1"/>
  <c r="CN194" i="1"/>
  <c r="CN195" i="1"/>
  <c r="CN196" i="1"/>
  <c r="CN197" i="1"/>
  <c r="CN198" i="1"/>
  <c r="CN199" i="1"/>
  <c r="CN200" i="1"/>
  <c r="CN201" i="1"/>
  <c r="CN202" i="1"/>
  <c r="CN203" i="1"/>
  <c r="CN204" i="1"/>
  <c r="CN205" i="1"/>
  <c r="CN206" i="1"/>
  <c r="CN207" i="1"/>
  <c r="CN208" i="1"/>
  <c r="CN209" i="1"/>
  <c r="CN210" i="1"/>
  <c r="CN211" i="1"/>
  <c r="CN212" i="1"/>
  <c r="CN213" i="1"/>
  <c r="CN214" i="1"/>
  <c r="CN215" i="1"/>
  <c r="CN216" i="1"/>
  <c r="CN217" i="1"/>
  <c r="CN218" i="1"/>
  <c r="CN219" i="1"/>
  <c r="CN220" i="1"/>
  <c r="CN221" i="1"/>
  <c r="CN222" i="1"/>
  <c r="CN223" i="1"/>
  <c r="CN224" i="1"/>
  <c r="CN225" i="1"/>
  <c r="CN226" i="1"/>
  <c r="CN227" i="1"/>
  <c r="CN228" i="1"/>
  <c r="CN229" i="1"/>
  <c r="CN230" i="1"/>
  <c r="CN231" i="1"/>
  <c r="CN232" i="1"/>
  <c r="CN233" i="1"/>
  <c r="CN234" i="1"/>
  <c r="CN235" i="1"/>
  <c r="CN236" i="1"/>
  <c r="CN237" i="1"/>
  <c r="CN238" i="1"/>
  <c r="CN239" i="1"/>
  <c r="CN240" i="1"/>
  <c r="CN241" i="1"/>
  <c r="CN242" i="1"/>
  <c r="CN243" i="1"/>
  <c r="CN244" i="1"/>
  <c r="CN245" i="1"/>
  <c r="CN246" i="1"/>
  <c r="CN247" i="1"/>
  <c r="CN248" i="1"/>
  <c r="CN249" i="1"/>
  <c r="CN250" i="1"/>
  <c r="CN251" i="1"/>
  <c r="CN252" i="1"/>
  <c r="CN253" i="1"/>
  <c r="CN254" i="1"/>
  <c r="CN255" i="1"/>
  <c r="CN256" i="1"/>
  <c r="CN257" i="1"/>
  <c r="CN258" i="1"/>
  <c r="CN259" i="1"/>
  <c r="CN260" i="1"/>
  <c r="CN261" i="1"/>
  <c r="CN262" i="1"/>
  <c r="CN263" i="1"/>
  <c r="CN264" i="1"/>
  <c r="CN265" i="1"/>
  <c r="CN266" i="1"/>
  <c r="CN267" i="1"/>
  <c r="CN268" i="1"/>
  <c r="CN269" i="1"/>
  <c r="CN270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O175" i="1"/>
  <c r="CO176" i="1"/>
  <c r="CO177" i="1"/>
  <c r="CO178" i="1"/>
  <c r="CO179" i="1"/>
  <c r="CO180" i="1"/>
  <c r="CO181" i="1"/>
  <c r="CO182" i="1"/>
  <c r="CO183" i="1"/>
  <c r="CO184" i="1"/>
  <c r="CO185" i="1"/>
  <c r="CO186" i="1"/>
  <c r="CO187" i="1"/>
  <c r="CO188" i="1"/>
  <c r="CO189" i="1"/>
  <c r="CO190" i="1"/>
  <c r="CO191" i="1"/>
  <c r="CO192" i="1"/>
  <c r="CO193" i="1"/>
  <c r="CO194" i="1"/>
  <c r="CO195" i="1"/>
  <c r="CO196" i="1"/>
  <c r="CO197" i="1"/>
  <c r="CO198" i="1"/>
  <c r="CO199" i="1"/>
  <c r="CO200" i="1"/>
  <c r="CO201" i="1"/>
  <c r="CO202" i="1"/>
  <c r="CO203" i="1"/>
  <c r="CO204" i="1"/>
  <c r="CO205" i="1"/>
  <c r="CO206" i="1"/>
  <c r="CO207" i="1"/>
  <c r="CO208" i="1"/>
  <c r="CO209" i="1"/>
  <c r="CO210" i="1"/>
  <c r="CO211" i="1"/>
  <c r="CO212" i="1"/>
  <c r="CO213" i="1"/>
  <c r="CO214" i="1"/>
  <c r="CO215" i="1"/>
  <c r="CO216" i="1"/>
  <c r="CO217" i="1"/>
  <c r="CO218" i="1"/>
  <c r="CO219" i="1"/>
  <c r="CO220" i="1"/>
  <c r="CO221" i="1"/>
  <c r="CO222" i="1"/>
  <c r="CO223" i="1"/>
  <c r="CO224" i="1"/>
  <c r="CO225" i="1"/>
  <c r="CO226" i="1"/>
  <c r="CO227" i="1"/>
  <c r="CO228" i="1"/>
  <c r="CO229" i="1"/>
  <c r="CO230" i="1"/>
  <c r="CO231" i="1"/>
  <c r="CO232" i="1"/>
  <c r="CO233" i="1"/>
  <c r="CO234" i="1"/>
  <c r="CO235" i="1"/>
  <c r="CO236" i="1"/>
  <c r="CO237" i="1"/>
  <c r="CO238" i="1"/>
  <c r="CO239" i="1"/>
  <c r="CO240" i="1"/>
  <c r="CO241" i="1"/>
  <c r="CO242" i="1"/>
  <c r="CO243" i="1"/>
  <c r="CO244" i="1"/>
  <c r="CO245" i="1"/>
  <c r="CO246" i="1"/>
  <c r="CO247" i="1"/>
  <c r="CO248" i="1"/>
  <c r="CO249" i="1"/>
  <c r="CO250" i="1"/>
  <c r="CO251" i="1"/>
  <c r="CO252" i="1"/>
  <c r="CO253" i="1"/>
  <c r="CO254" i="1"/>
  <c r="CO255" i="1"/>
  <c r="CO256" i="1"/>
  <c r="CO257" i="1"/>
  <c r="CO258" i="1"/>
  <c r="CO259" i="1"/>
  <c r="CO260" i="1"/>
  <c r="CO261" i="1"/>
  <c r="CO262" i="1"/>
  <c r="CO263" i="1"/>
  <c r="CO264" i="1"/>
  <c r="CO265" i="1"/>
  <c r="CO266" i="1"/>
  <c r="CO267" i="1"/>
  <c r="CO268" i="1"/>
  <c r="CO269" i="1"/>
  <c r="CO270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174" i="1"/>
  <c r="CP175" i="1"/>
  <c r="CP176" i="1"/>
  <c r="CP177" i="1"/>
  <c r="CP178" i="1"/>
  <c r="CP179" i="1"/>
  <c r="CP180" i="1"/>
  <c r="CP181" i="1"/>
  <c r="CP182" i="1"/>
  <c r="CP183" i="1"/>
  <c r="CP184" i="1"/>
  <c r="CP185" i="1"/>
  <c r="CP186" i="1"/>
  <c r="CP187" i="1"/>
  <c r="CP188" i="1"/>
  <c r="CP189" i="1"/>
  <c r="CP190" i="1"/>
  <c r="CP191" i="1"/>
  <c r="CP192" i="1"/>
  <c r="CP193" i="1"/>
  <c r="CP194" i="1"/>
  <c r="CP195" i="1"/>
  <c r="CP196" i="1"/>
  <c r="CP197" i="1"/>
  <c r="CP198" i="1"/>
  <c r="CP199" i="1"/>
  <c r="CP200" i="1"/>
  <c r="CP201" i="1"/>
  <c r="CP202" i="1"/>
  <c r="CP203" i="1"/>
  <c r="CP204" i="1"/>
  <c r="CP205" i="1"/>
  <c r="CP206" i="1"/>
  <c r="CP207" i="1"/>
  <c r="CP208" i="1"/>
  <c r="CP209" i="1"/>
  <c r="CP210" i="1"/>
  <c r="CP211" i="1"/>
  <c r="CP212" i="1"/>
  <c r="CP213" i="1"/>
  <c r="CP214" i="1"/>
  <c r="CP215" i="1"/>
  <c r="CP216" i="1"/>
  <c r="CP217" i="1"/>
  <c r="CP218" i="1"/>
  <c r="CP219" i="1"/>
  <c r="CP220" i="1"/>
  <c r="CP221" i="1"/>
  <c r="CP222" i="1"/>
  <c r="CP223" i="1"/>
  <c r="CP224" i="1"/>
  <c r="CP225" i="1"/>
  <c r="CP226" i="1"/>
  <c r="CP227" i="1"/>
  <c r="CP228" i="1"/>
  <c r="CP229" i="1"/>
  <c r="CP230" i="1"/>
  <c r="CP231" i="1"/>
  <c r="CP232" i="1"/>
  <c r="CP233" i="1"/>
  <c r="CP234" i="1"/>
  <c r="CP235" i="1"/>
  <c r="CP236" i="1"/>
  <c r="CP237" i="1"/>
  <c r="CP238" i="1"/>
  <c r="CP239" i="1"/>
  <c r="CP240" i="1"/>
  <c r="CP241" i="1"/>
  <c r="CP242" i="1"/>
  <c r="CP243" i="1"/>
  <c r="CP244" i="1"/>
  <c r="CP245" i="1"/>
  <c r="CP246" i="1"/>
  <c r="CP247" i="1"/>
  <c r="CP248" i="1"/>
  <c r="CP249" i="1"/>
  <c r="CP250" i="1"/>
  <c r="CP251" i="1"/>
  <c r="CP252" i="1"/>
  <c r="CP253" i="1"/>
  <c r="CP254" i="1"/>
  <c r="CP255" i="1"/>
  <c r="CP256" i="1"/>
  <c r="CP257" i="1"/>
  <c r="CP258" i="1"/>
  <c r="CP259" i="1"/>
  <c r="CP260" i="1"/>
  <c r="CP261" i="1"/>
  <c r="CP262" i="1"/>
  <c r="CP263" i="1"/>
  <c r="CP264" i="1"/>
  <c r="CP265" i="1"/>
  <c r="CP266" i="1"/>
  <c r="CP267" i="1"/>
  <c r="CP268" i="1"/>
  <c r="CP269" i="1"/>
  <c r="CP270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Q175" i="1"/>
  <c r="CQ176" i="1"/>
  <c r="CQ177" i="1"/>
  <c r="CQ178" i="1"/>
  <c r="CQ179" i="1"/>
  <c r="CQ180" i="1"/>
  <c r="CQ181" i="1"/>
  <c r="CQ182" i="1"/>
  <c r="CQ183" i="1"/>
  <c r="CQ184" i="1"/>
  <c r="CQ185" i="1"/>
  <c r="CQ186" i="1"/>
  <c r="CQ187" i="1"/>
  <c r="CQ188" i="1"/>
  <c r="CQ189" i="1"/>
  <c r="CQ190" i="1"/>
  <c r="CQ191" i="1"/>
  <c r="CQ192" i="1"/>
  <c r="CQ193" i="1"/>
  <c r="CQ194" i="1"/>
  <c r="CQ195" i="1"/>
  <c r="CQ196" i="1"/>
  <c r="CQ197" i="1"/>
  <c r="CQ198" i="1"/>
  <c r="CQ199" i="1"/>
  <c r="CQ200" i="1"/>
  <c r="CQ201" i="1"/>
  <c r="CQ202" i="1"/>
  <c r="CQ203" i="1"/>
  <c r="CQ204" i="1"/>
  <c r="CQ205" i="1"/>
  <c r="CQ206" i="1"/>
  <c r="CQ207" i="1"/>
  <c r="CQ208" i="1"/>
  <c r="CQ209" i="1"/>
  <c r="CQ210" i="1"/>
  <c r="CQ211" i="1"/>
  <c r="CQ212" i="1"/>
  <c r="CQ213" i="1"/>
  <c r="CQ214" i="1"/>
  <c r="CQ215" i="1"/>
  <c r="CQ216" i="1"/>
  <c r="CQ217" i="1"/>
  <c r="CQ218" i="1"/>
  <c r="CQ219" i="1"/>
  <c r="CQ220" i="1"/>
  <c r="CQ221" i="1"/>
  <c r="CQ222" i="1"/>
  <c r="CQ223" i="1"/>
  <c r="CQ224" i="1"/>
  <c r="CQ225" i="1"/>
  <c r="CQ226" i="1"/>
  <c r="CQ227" i="1"/>
  <c r="CQ228" i="1"/>
  <c r="CQ229" i="1"/>
  <c r="CQ230" i="1"/>
  <c r="CQ231" i="1"/>
  <c r="CQ232" i="1"/>
  <c r="CQ233" i="1"/>
  <c r="CQ234" i="1"/>
  <c r="CQ235" i="1"/>
  <c r="CQ236" i="1"/>
  <c r="CQ237" i="1"/>
  <c r="CQ238" i="1"/>
  <c r="CQ239" i="1"/>
  <c r="CQ240" i="1"/>
  <c r="CQ241" i="1"/>
  <c r="CQ242" i="1"/>
  <c r="CQ243" i="1"/>
  <c r="CQ244" i="1"/>
  <c r="CQ245" i="1"/>
  <c r="CQ246" i="1"/>
  <c r="CQ247" i="1"/>
  <c r="CQ248" i="1"/>
  <c r="CQ249" i="1"/>
  <c r="CQ250" i="1"/>
  <c r="CQ251" i="1"/>
  <c r="CQ252" i="1"/>
  <c r="CQ253" i="1"/>
  <c r="CQ254" i="1"/>
  <c r="CQ255" i="1"/>
  <c r="CQ256" i="1"/>
  <c r="CQ257" i="1"/>
  <c r="CQ258" i="1"/>
  <c r="CQ259" i="1"/>
  <c r="CQ260" i="1"/>
  <c r="CQ261" i="1"/>
  <c r="CQ262" i="1"/>
  <c r="CQ263" i="1"/>
  <c r="CQ264" i="1"/>
  <c r="CQ265" i="1"/>
  <c r="CQ266" i="1"/>
  <c r="CQ267" i="1"/>
  <c r="CQ268" i="1"/>
  <c r="CQ269" i="1"/>
  <c r="CQ270" i="1"/>
  <c r="CR137" i="1"/>
  <c r="CR138" i="1"/>
  <c r="CR139" i="1"/>
  <c r="CR140" i="1"/>
  <c r="CR141" i="1"/>
  <c r="CR142" i="1"/>
  <c r="CR143" i="1"/>
  <c r="CR144" i="1"/>
  <c r="CR145" i="1"/>
  <c r="CR146" i="1"/>
  <c r="CR147" i="1"/>
  <c r="CR148" i="1"/>
  <c r="CR149" i="1"/>
  <c r="CR150" i="1"/>
  <c r="CR151" i="1"/>
  <c r="CR152" i="1"/>
  <c r="CR153" i="1"/>
  <c r="CR154" i="1"/>
  <c r="CR155" i="1"/>
  <c r="CR156" i="1"/>
  <c r="CR157" i="1"/>
  <c r="CR158" i="1"/>
  <c r="CR159" i="1"/>
  <c r="CR160" i="1"/>
  <c r="CR161" i="1"/>
  <c r="CR162" i="1"/>
  <c r="CR163" i="1"/>
  <c r="CR164" i="1"/>
  <c r="CR165" i="1"/>
  <c r="CR166" i="1"/>
  <c r="CR167" i="1"/>
  <c r="CR168" i="1"/>
  <c r="CR169" i="1"/>
  <c r="CR170" i="1"/>
  <c r="CR171" i="1"/>
  <c r="CR172" i="1"/>
  <c r="CR173" i="1"/>
  <c r="CR174" i="1"/>
  <c r="CR175" i="1"/>
  <c r="CR176" i="1"/>
  <c r="CR177" i="1"/>
  <c r="CR178" i="1"/>
  <c r="CR179" i="1"/>
  <c r="CR180" i="1"/>
  <c r="CR181" i="1"/>
  <c r="CR182" i="1"/>
  <c r="CR183" i="1"/>
  <c r="CR184" i="1"/>
  <c r="CR185" i="1"/>
  <c r="CR186" i="1"/>
  <c r="CR187" i="1"/>
  <c r="CR188" i="1"/>
  <c r="CR189" i="1"/>
  <c r="CR190" i="1"/>
  <c r="CR191" i="1"/>
  <c r="CR192" i="1"/>
  <c r="CR193" i="1"/>
  <c r="CR194" i="1"/>
  <c r="CR195" i="1"/>
  <c r="CR196" i="1"/>
  <c r="CR197" i="1"/>
  <c r="CR198" i="1"/>
  <c r="CR199" i="1"/>
  <c r="CR200" i="1"/>
  <c r="CR201" i="1"/>
  <c r="CR202" i="1"/>
  <c r="CR203" i="1"/>
  <c r="CR204" i="1"/>
  <c r="CR205" i="1"/>
  <c r="CR206" i="1"/>
  <c r="CR207" i="1"/>
  <c r="CR208" i="1"/>
  <c r="CR209" i="1"/>
  <c r="CR210" i="1"/>
  <c r="CR211" i="1"/>
  <c r="CR212" i="1"/>
  <c r="CR213" i="1"/>
  <c r="CR214" i="1"/>
  <c r="CR215" i="1"/>
  <c r="CR216" i="1"/>
  <c r="CR217" i="1"/>
  <c r="CR218" i="1"/>
  <c r="CR219" i="1"/>
  <c r="CR220" i="1"/>
  <c r="CR221" i="1"/>
  <c r="CR222" i="1"/>
  <c r="CR223" i="1"/>
  <c r="CR224" i="1"/>
  <c r="CR225" i="1"/>
  <c r="CR226" i="1"/>
  <c r="CR227" i="1"/>
  <c r="CR228" i="1"/>
  <c r="CR229" i="1"/>
  <c r="CR230" i="1"/>
  <c r="CR231" i="1"/>
  <c r="CR232" i="1"/>
  <c r="CR233" i="1"/>
  <c r="CR234" i="1"/>
  <c r="CR235" i="1"/>
  <c r="CR236" i="1"/>
  <c r="CR237" i="1"/>
  <c r="CR238" i="1"/>
  <c r="CR239" i="1"/>
  <c r="CR240" i="1"/>
  <c r="CR241" i="1"/>
  <c r="CR242" i="1"/>
  <c r="CR243" i="1"/>
  <c r="CR244" i="1"/>
  <c r="CR245" i="1"/>
  <c r="CR246" i="1"/>
  <c r="CR247" i="1"/>
  <c r="CR248" i="1"/>
  <c r="CR249" i="1"/>
  <c r="CR250" i="1"/>
  <c r="CR251" i="1"/>
  <c r="CR252" i="1"/>
  <c r="CR253" i="1"/>
  <c r="CR254" i="1"/>
  <c r="CR255" i="1"/>
  <c r="CR256" i="1"/>
  <c r="CR257" i="1"/>
  <c r="CR258" i="1"/>
  <c r="CR259" i="1"/>
  <c r="CR260" i="1"/>
  <c r="CR261" i="1"/>
  <c r="CR262" i="1"/>
  <c r="CR263" i="1"/>
  <c r="CR264" i="1"/>
  <c r="CR265" i="1"/>
  <c r="CR266" i="1"/>
  <c r="CR267" i="1"/>
  <c r="CR268" i="1"/>
  <c r="CR269" i="1"/>
  <c r="CR270" i="1"/>
  <c r="CS137" i="1"/>
  <c r="CS138" i="1"/>
  <c r="CS139" i="1"/>
  <c r="CS140" i="1"/>
  <c r="CS141" i="1"/>
  <c r="CS142" i="1"/>
  <c r="CS143" i="1"/>
  <c r="CS144" i="1"/>
  <c r="CS145" i="1"/>
  <c r="CS146" i="1"/>
  <c r="CS147" i="1"/>
  <c r="CS148" i="1"/>
  <c r="CS149" i="1"/>
  <c r="CS150" i="1"/>
  <c r="CS151" i="1"/>
  <c r="CS152" i="1"/>
  <c r="CS153" i="1"/>
  <c r="CS154" i="1"/>
  <c r="CS155" i="1"/>
  <c r="CS156" i="1"/>
  <c r="CS157" i="1"/>
  <c r="CS158" i="1"/>
  <c r="CS159" i="1"/>
  <c r="CS160" i="1"/>
  <c r="CS161" i="1"/>
  <c r="CS162" i="1"/>
  <c r="CS163" i="1"/>
  <c r="CS164" i="1"/>
  <c r="CS165" i="1"/>
  <c r="CS166" i="1"/>
  <c r="CS167" i="1"/>
  <c r="CS168" i="1"/>
  <c r="CS169" i="1"/>
  <c r="CS170" i="1"/>
  <c r="CS171" i="1"/>
  <c r="CS172" i="1"/>
  <c r="CS173" i="1"/>
  <c r="CS174" i="1"/>
  <c r="CS175" i="1"/>
  <c r="CS176" i="1"/>
  <c r="CS177" i="1"/>
  <c r="CS178" i="1"/>
  <c r="CS179" i="1"/>
  <c r="CS180" i="1"/>
  <c r="CS181" i="1"/>
  <c r="CS182" i="1"/>
  <c r="CS183" i="1"/>
  <c r="CS184" i="1"/>
  <c r="CS185" i="1"/>
  <c r="CS186" i="1"/>
  <c r="CS187" i="1"/>
  <c r="CS188" i="1"/>
  <c r="CS189" i="1"/>
  <c r="CS190" i="1"/>
  <c r="CS191" i="1"/>
  <c r="CS192" i="1"/>
  <c r="CS193" i="1"/>
  <c r="CS194" i="1"/>
  <c r="CS195" i="1"/>
  <c r="CS196" i="1"/>
  <c r="CS197" i="1"/>
  <c r="CS198" i="1"/>
  <c r="CS199" i="1"/>
  <c r="CS200" i="1"/>
  <c r="CS201" i="1"/>
  <c r="CS202" i="1"/>
  <c r="CS203" i="1"/>
  <c r="CS204" i="1"/>
  <c r="CS205" i="1"/>
  <c r="CS206" i="1"/>
  <c r="CS207" i="1"/>
  <c r="CS208" i="1"/>
  <c r="CS209" i="1"/>
  <c r="CS210" i="1"/>
  <c r="CS211" i="1"/>
  <c r="CS212" i="1"/>
  <c r="CS213" i="1"/>
  <c r="CS214" i="1"/>
  <c r="CS215" i="1"/>
  <c r="CS216" i="1"/>
  <c r="CS217" i="1"/>
  <c r="CS218" i="1"/>
  <c r="CS219" i="1"/>
  <c r="CS220" i="1"/>
  <c r="CS221" i="1"/>
  <c r="CS222" i="1"/>
  <c r="CS223" i="1"/>
  <c r="CS224" i="1"/>
  <c r="CS225" i="1"/>
  <c r="CS226" i="1"/>
  <c r="CS227" i="1"/>
  <c r="CS228" i="1"/>
  <c r="CS229" i="1"/>
  <c r="CS230" i="1"/>
  <c r="CS231" i="1"/>
  <c r="CS232" i="1"/>
  <c r="CS233" i="1"/>
  <c r="CS234" i="1"/>
  <c r="CS235" i="1"/>
  <c r="CS236" i="1"/>
  <c r="CS237" i="1"/>
  <c r="CS238" i="1"/>
  <c r="CS239" i="1"/>
  <c r="CS240" i="1"/>
  <c r="CS241" i="1"/>
  <c r="CS242" i="1"/>
  <c r="CS243" i="1"/>
  <c r="CS244" i="1"/>
  <c r="CS245" i="1"/>
  <c r="CS246" i="1"/>
  <c r="CS247" i="1"/>
  <c r="CS248" i="1"/>
  <c r="CS249" i="1"/>
  <c r="CS250" i="1"/>
  <c r="CS251" i="1"/>
  <c r="CS252" i="1"/>
  <c r="CS253" i="1"/>
  <c r="CS254" i="1"/>
  <c r="CS255" i="1"/>
  <c r="CS256" i="1"/>
  <c r="CS257" i="1"/>
  <c r="CS258" i="1"/>
  <c r="CS259" i="1"/>
  <c r="CS260" i="1"/>
  <c r="CS261" i="1"/>
  <c r="CS262" i="1"/>
  <c r="CS263" i="1"/>
  <c r="CS264" i="1"/>
  <c r="CS265" i="1"/>
  <c r="CS266" i="1"/>
  <c r="CS267" i="1"/>
  <c r="CS268" i="1"/>
  <c r="CS269" i="1"/>
  <c r="CS270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176" i="1"/>
  <c r="CT177" i="1"/>
  <c r="CT178" i="1"/>
  <c r="CT179" i="1"/>
  <c r="CT180" i="1"/>
  <c r="CT181" i="1"/>
  <c r="CT182" i="1"/>
  <c r="CT183" i="1"/>
  <c r="CT184" i="1"/>
  <c r="CT185" i="1"/>
  <c r="CT186" i="1"/>
  <c r="CT187" i="1"/>
  <c r="CT188" i="1"/>
  <c r="CT189" i="1"/>
  <c r="CT190" i="1"/>
  <c r="CT191" i="1"/>
  <c r="CT192" i="1"/>
  <c r="CT193" i="1"/>
  <c r="CT194" i="1"/>
  <c r="CT195" i="1"/>
  <c r="CT196" i="1"/>
  <c r="CT197" i="1"/>
  <c r="CT198" i="1"/>
  <c r="CT199" i="1"/>
  <c r="CT200" i="1"/>
  <c r="CT201" i="1"/>
  <c r="CT202" i="1"/>
  <c r="CT203" i="1"/>
  <c r="CT204" i="1"/>
  <c r="CT205" i="1"/>
  <c r="CT206" i="1"/>
  <c r="CT207" i="1"/>
  <c r="CT208" i="1"/>
  <c r="CT209" i="1"/>
  <c r="CT210" i="1"/>
  <c r="CT211" i="1"/>
  <c r="CT212" i="1"/>
  <c r="CT213" i="1"/>
  <c r="CT214" i="1"/>
  <c r="CT215" i="1"/>
  <c r="CT216" i="1"/>
  <c r="CT217" i="1"/>
  <c r="CT218" i="1"/>
  <c r="CT219" i="1"/>
  <c r="CT220" i="1"/>
  <c r="CT221" i="1"/>
  <c r="CT222" i="1"/>
  <c r="CT223" i="1"/>
  <c r="CT224" i="1"/>
  <c r="CT225" i="1"/>
  <c r="CT226" i="1"/>
  <c r="CT227" i="1"/>
  <c r="CT228" i="1"/>
  <c r="CT229" i="1"/>
  <c r="CT230" i="1"/>
  <c r="CT231" i="1"/>
  <c r="CT232" i="1"/>
  <c r="CT233" i="1"/>
  <c r="CT234" i="1"/>
  <c r="CT235" i="1"/>
  <c r="CT236" i="1"/>
  <c r="CT237" i="1"/>
  <c r="CT238" i="1"/>
  <c r="CT239" i="1"/>
  <c r="CT240" i="1"/>
  <c r="CT241" i="1"/>
  <c r="CT242" i="1"/>
  <c r="CT243" i="1"/>
  <c r="CT244" i="1"/>
  <c r="CT245" i="1"/>
  <c r="CT246" i="1"/>
  <c r="CT247" i="1"/>
  <c r="CT248" i="1"/>
  <c r="CT249" i="1"/>
  <c r="CT250" i="1"/>
  <c r="CT251" i="1"/>
  <c r="CT252" i="1"/>
  <c r="CT253" i="1"/>
  <c r="CT254" i="1"/>
  <c r="CT255" i="1"/>
  <c r="CT256" i="1"/>
  <c r="CT257" i="1"/>
  <c r="CT258" i="1"/>
  <c r="CT259" i="1"/>
  <c r="CT260" i="1"/>
  <c r="CT261" i="1"/>
  <c r="CT262" i="1"/>
  <c r="CT263" i="1"/>
  <c r="CT264" i="1"/>
  <c r="CT265" i="1"/>
  <c r="CT266" i="1"/>
  <c r="CT267" i="1"/>
  <c r="CT268" i="1"/>
  <c r="CT269" i="1"/>
  <c r="CT270" i="1"/>
  <c r="CU137" i="1"/>
  <c r="CU138" i="1"/>
  <c r="CU139" i="1"/>
  <c r="CU140" i="1"/>
  <c r="CU141" i="1"/>
  <c r="CU142" i="1"/>
  <c r="CU143" i="1"/>
  <c r="CU144" i="1"/>
  <c r="CU145" i="1"/>
  <c r="CU146" i="1"/>
  <c r="CU147" i="1"/>
  <c r="CU148" i="1"/>
  <c r="CU149" i="1"/>
  <c r="CU150" i="1"/>
  <c r="CU151" i="1"/>
  <c r="CU152" i="1"/>
  <c r="CU153" i="1"/>
  <c r="CU154" i="1"/>
  <c r="CU155" i="1"/>
  <c r="CU156" i="1"/>
  <c r="CU157" i="1"/>
  <c r="CU158" i="1"/>
  <c r="CU159" i="1"/>
  <c r="CU160" i="1"/>
  <c r="CU161" i="1"/>
  <c r="CU162" i="1"/>
  <c r="CU163" i="1"/>
  <c r="CU164" i="1"/>
  <c r="CU165" i="1"/>
  <c r="CU166" i="1"/>
  <c r="CU167" i="1"/>
  <c r="CU168" i="1"/>
  <c r="CU169" i="1"/>
  <c r="CU170" i="1"/>
  <c r="CU171" i="1"/>
  <c r="CU172" i="1"/>
  <c r="CU173" i="1"/>
  <c r="CU174" i="1"/>
  <c r="CU175" i="1"/>
  <c r="CU176" i="1"/>
  <c r="CU177" i="1"/>
  <c r="CU178" i="1"/>
  <c r="CU179" i="1"/>
  <c r="CU180" i="1"/>
  <c r="CU181" i="1"/>
  <c r="CU182" i="1"/>
  <c r="CU183" i="1"/>
  <c r="CU184" i="1"/>
  <c r="CU185" i="1"/>
  <c r="CU186" i="1"/>
  <c r="CU187" i="1"/>
  <c r="CU188" i="1"/>
  <c r="CU189" i="1"/>
  <c r="CU190" i="1"/>
  <c r="CU191" i="1"/>
  <c r="CU192" i="1"/>
  <c r="CU193" i="1"/>
  <c r="CU194" i="1"/>
  <c r="CU195" i="1"/>
  <c r="CU196" i="1"/>
  <c r="CU197" i="1"/>
  <c r="CU198" i="1"/>
  <c r="CU199" i="1"/>
  <c r="CU200" i="1"/>
  <c r="CU201" i="1"/>
  <c r="CU202" i="1"/>
  <c r="CU203" i="1"/>
  <c r="CU204" i="1"/>
  <c r="CU205" i="1"/>
  <c r="CU206" i="1"/>
  <c r="CU207" i="1"/>
  <c r="CU208" i="1"/>
  <c r="CU209" i="1"/>
  <c r="CU210" i="1"/>
  <c r="CU211" i="1"/>
  <c r="CU212" i="1"/>
  <c r="CU213" i="1"/>
  <c r="CU214" i="1"/>
  <c r="CU215" i="1"/>
  <c r="CU216" i="1"/>
  <c r="CU217" i="1"/>
  <c r="CU218" i="1"/>
  <c r="CU219" i="1"/>
  <c r="CU220" i="1"/>
  <c r="CU221" i="1"/>
  <c r="CU222" i="1"/>
  <c r="CU223" i="1"/>
  <c r="CU224" i="1"/>
  <c r="CU225" i="1"/>
  <c r="CU226" i="1"/>
  <c r="CU227" i="1"/>
  <c r="CU228" i="1"/>
  <c r="CU229" i="1"/>
  <c r="CU230" i="1"/>
  <c r="CU231" i="1"/>
  <c r="CU232" i="1"/>
  <c r="CU233" i="1"/>
  <c r="CU234" i="1"/>
  <c r="CU235" i="1"/>
  <c r="CU236" i="1"/>
  <c r="CU237" i="1"/>
  <c r="CU238" i="1"/>
  <c r="CU239" i="1"/>
  <c r="CU240" i="1"/>
  <c r="CU241" i="1"/>
  <c r="CU242" i="1"/>
  <c r="CU243" i="1"/>
  <c r="CU244" i="1"/>
  <c r="CU245" i="1"/>
  <c r="CU246" i="1"/>
  <c r="CU247" i="1"/>
  <c r="CU248" i="1"/>
  <c r="CU249" i="1"/>
  <c r="CU250" i="1"/>
  <c r="CU251" i="1"/>
  <c r="CU252" i="1"/>
  <c r="CU253" i="1"/>
  <c r="CU254" i="1"/>
  <c r="CU255" i="1"/>
  <c r="CU256" i="1"/>
  <c r="CU257" i="1"/>
  <c r="CU258" i="1"/>
  <c r="CU259" i="1"/>
  <c r="CU260" i="1"/>
  <c r="CU261" i="1"/>
  <c r="CU262" i="1"/>
  <c r="CU263" i="1"/>
  <c r="CU264" i="1"/>
  <c r="CU265" i="1"/>
  <c r="CU266" i="1"/>
  <c r="CU267" i="1"/>
  <c r="CU268" i="1"/>
  <c r="CU269" i="1"/>
  <c r="CU270" i="1"/>
  <c r="CV137" i="1"/>
  <c r="CV138" i="1"/>
  <c r="CV139" i="1"/>
  <c r="CV140" i="1"/>
  <c r="CV141" i="1"/>
  <c r="CV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156" i="1"/>
  <c r="CV157" i="1"/>
  <c r="CV158" i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CV171" i="1"/>
  <c r="CV172" i="1"/>
  <c r="CV173" i="1"/>
  <c r="CV174" i="1"/>
  <c r="CV175" i="1"/>
  <c r="CV176" i="1"/>
  <c r="CV177" i="1"/>
  <c r="CV178" i="1"/>
  <c r="CV179" i="1"/>
  <c r="CV180" i="1"/>
  <c r="CV181" i="1"/>
  <c r="CV182" i="1"/>
  <c r="CV183" i="1"/>
  <c r="CV184" i="1"/>
  <c r="CV185" i="1"/>
  <c r="CV186" i="1"/>
  <c r="CV187" i="1"/>
  <c r="CV188" i="1"/>
  <c r="CV189" i="1"/>
  <c r="CV190" i="1"/>
  <c r="CV191" i="1"/>
  <c r="CV192" i="1"/>
  <c r="CV193" i="1"/>
  <c r="CV194" i="1"/>
  <c r="CV195" i="1"/>
  <c r="CV196" i="1"/>
  <c r="CV197" i="1"/>
  <c r="CV198" i="1"/>
  <c r="CV199" i="1"/>
  <c r="CV200" i="1"/>
  <c r="CV201" i="1"/>
  <c r="CV202" i="1"/>
  <c r="CV203" i="1"/>
  <c r="CV204" i="1"/>
  <c r="CV205" i="1"/>
  <c r="CV206" i="1"/>
  <c r="CV207" i="1"/>
  <c r="CV208" i="1"/>
  <c r="CV209" i="1"/>
  <c r="CV210" i="1"/>
  <c r="CV211" i="1"/>
  <c r="CV212" i="1"/>
  <c r="CV213" i="1"/>
  <c r="CV214" i="1"/>
  <c r="CV215" i="1"/>
  <c r="CV216" i="1"/>
  <c r="CV217" i="1"/>
  <c r="CV218" i="1"/>
  <c r="CV219" i="1"/>
  <c r="CV220" i="1"/>
  <c r="CV221" i="1"/>
  <c r="CV222" i="1"/>
  <c r="CV223" i="1"/>
  <c r="CV224" i="1"/>
  <c r="CV225" i="1"/>
  <c r="CV226" i="1"/>
  <c r="CV227" i="1"/>
  <c r="CV228" i="1"/>
  <c r="CV229" i="1"/>
  <c r="CV230" i="1"/>
  <c r="CV231" i="1"/>
  <c r="CV232" i="1"/>
  <c r="CV233" i="1"/>
  <c r="CV234" i="1"/>
  <c r="CV235" i="1"/>
  <c r="CV236" i="1"/>
  <c r="CV237" i="1"/>
  <c r="CV238" i="1"/>
  <c r="CV239" i="1"/>
  <c r="CV240" i="1"/>
  <c r="CV241" i="1"/>
  <c r="CV242" i="1"/>
  <c r="CV243" i="1"/>
  <c r="CV244" i="1"/>
  <c r="CV245" i="1"/>
  <c r="CV246" i="1"/>
  <c r="CV247" i="1"/>
  <c r="CV248" i="1"/>
  <c r="CV249" i="1"/>
  <c r="CV250" i="1"/>
  <c r="CV251" i="1"/>
  <c r="CV252" i="1"/>
  <c r="CV253" i="1"/>
  <c r="CV254" i="1"/>
  <c r="CV255" i="1"/>
  <c r="CV256" i="1"/>
  <c r="CV257" i="1"/>
  <c r="CV258" i="1"/>
  <c r="CV259" i="1"/>
  <c r="CV260" i="1"/>
  <c r="CV261" i="1"/>
  <c r="CV262" i="1"/>
  <c r="CV263" i="1"/>
  <c r="CV264" i="1"/>
  <c r="CV265" i="1"/>
  <c r="CV266" i="1"/>
  <c r="CV267" i="1"/>
  <c r="CV268" i="1"/>
  <c r="CV269" i="1"/>
  <c r="CV270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176" i="1"/>
  <c r="CW177" i="1"/>
  <c r="CW178" i="1"/>
  <c r="CW179" i="1"/>
  <c r="CW180" i="1"/>
  <c r="CW181" i="1"/>
  <c r="CW182" i="1"/>
  <c r="CW183" i="1"/>
  <c r="CW184" i="1"/>
  <c r="CW185" i="1"/>
  <c r="CW186" i="1"/>
  <c r="CW187" i="1"/>
  <c r="CW188" i="1"/>
  <c r="CW189" i="1"/>
  <c r="CW190" i="1"/>
  <c r="CW191" i="1"/>
  <c r="CW192" i="1"/>
  <c r="CW193" i="1"/>
  <c r="CW194" i="1"/>
  <c r="CW195" i="1"/>
  <c r="CW196" i="1"/>
  <c r="CW197" i="1"/>
  <c r="CW198" i="1"/>
  <c r="CW199" i="1"/>
  <c r="CW200" i="1"/>
  <c r="CW201" i="1"/>
  <c r="CW202" i="1"/>
  <c r="CW203" i="1"/>
  <c r="CW204" i="1"/>
  <c r="CW205" i="1"/>
  <c r="CW206" i="1"/>
  <c r="CW207" i="1"/>
  <c r="CW208" i="1"/>
  <c r="CW209" i="1"/>
  <c r="CW210" i="1"/>
  <c r="CW211" i="1"/>
  <c r="CW212" i="1"/>
  <c r="CW213" i="1"/>
  <c r="CW214" i="1"/>
  <c r="CW215" i="1"/>
  <c r="CW216" i="1"/>
  <c r="CW217" i="1"/>
  <c r="CW218" i="1"/>
  <c r="CW219" i="1"/>
  <c r="CW220" i="1"/>
  <c r="CW221" i="1"/>
  <c r="CW222" i="1"/>
  <c r="CW223" i="1"/>
  <c r="CW224" i="1"/>
  <c r="CW225" i="1"/>
  <c r="CW226" i="1"/>
  <c r="CW227" i="1"/>
  <c r="CW228" i="1"/>
  <c r="CW229" i="1"/>
  <c r="CW230" i="1"/>
  <c r="CW231" i="1"/>
  <c r="CW232" i="1"/>
  <c r="CW233" i="1"/>
  <c r="CW234" i="1"/>
  <c r="CW235" i="1"/>
  <c r="CW236" i="1"/>
  <c r="CW237" i="1"/>
  <c r="CW238" i="1"/>
  <c r="CW239" i="1"/>
  <c r="CW240" i="1"/>
  <c r="CW241" i="1"/>
  <c r="CW242" i="1"/>
  <c r="CW243" i="1"/>
  <c r="CW244" i="1"/>
  <c r="CW245" i="1"/>
  <c r="CW246" i="1"/>
  <c r="CW247" i="1"/>
  <c r="CW248" i="1"/>
  <c r="CW249" i="1"/>
  <c r="CW250" i="1"/>
  <c r="CW251" i="1"/>
  <c r="CW252" i="1"/>
  <c r="CW253" i="1"/>
  <c r="CW254" i="1"/>
  <c r="CW255" i="1"/>
  <c r="CW256" i="1"/>
  <c r="CW257" i="1"/>
  <c r="CW258" i="1"/>
  <c r="CW259" i="1"/>
  <c r="CW260" i="1"/>
  <c r="CW261" i="1"/>
  <c r="CW262" i="1"/>
  <c r="CW263" i="1"/>
  <c r="CW264" i="1"/>
  <c r="CW265" i="1"/>
  <c r="CW266" i="1"/>
  <c r="CW267" i="1"/>
  <c r="CW268" i="1"/>
  <c r="CW269" i="1"/>
  <c r="CW270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176" i="1"/>
  <c r="CX177" i="1"/>
  <c r="CX178" i="1"/>
  <c r="CX179" i="1"/>
  <c r="CX180" i="1"/>
  <c r="CX181" i="1"/>
  <c r="CX182" i="1"/>
  <c r="CX183" i="1"/>
  <c r="CX184" i="1"/>
  <c r="CX185" i="1"/>
  <c r="CX186" i="1"/>
  <c r="CX187" i="1"/>
  <c r="CX188" i="1"/>
  <c r="CX189" i="1"/>
  <c r="CX190" i="1"/>
  <c r="CX191" i="1"/>
  <c r="CX192" i="1"/>
  <c r="CX193" i="1"/>
  <c r="CX194" i="1"/>
  <c r="CX195" i="1"/>
  <c r="CX196" i="1"/>
  <c r="CX197" i="1"/>
  <c r="CX198" i="1"/>
  <c r="CX199" i="1"/>
  <c r="CX200" i="1"/>
  <c r="CX201" i="1"/>
  <c r="CX202" i="1"/>
  <c r="CX203" i="1"/>
  <c r="CX204" i="1"/>
  <c r="CX205" i="1"/>
  <c r="CX206" i="1"/>
  <c r="CX207" i="1"/>
  <c r="CX208" i="1"/>
  <c r="CX209" i="1"/>
  <c r="CX210" i="1"/>
  <c r="CX211" i="1"/>
  <c r="CX212" i="1"/>
  <c r="CX213" i="1"/>
  <c r="CX214" i="1"/>
  <c r="CX215" i="1"/>
  <c r="CX216" i="1"/>
  <c r="CX217" i="1"/>
  <c r="CX218" i="1"/>
  <c r="CX219" i="1"/>
  <c r="CX220" i="1"/>
  <c r="CX221" i="1"/>
  <c r="CX222" i="1"/>
  <c r="CX223" i="1"/>
  <c r="CX224" i="1"/>
  <c r="CX225" i="1"/>
  <c r="CX226" i="1"/>
  <c r="CX227" i="1"/>
  <c r="CX228" i="1"/>
  <c r="CX229" i="1"/>
  <c r="CX230" i="1"/>
  <c r="CX231" i="1"/>
  <c r="CX232" i="1"/>
  <c r="CX233" i="1"/>
  <c r="CX234" i="1"/>
  <c r="CX235" i="1"/>
  <c r="CX236" i="1"/>
  <c r="CX237" i="1"/>
  <c r="CX238" i="1"/>
  <c r="CX239" i="1"/>
  <c r="CX240" i="1"/>
  <c r="CX241" i="1"/>
  <c r="CX242" i="1"/>
  <c r="CX243" i="1"/>
  <c r="CX244" i="1"/>
  <c r="CX245" i="1"/>
  <c r="CX246" i="1"/>
  <c r="CX247" i="1"/>
  <c r="CX248" i="1"/>
  <c r="CX249" i="1"/>
  <c r="CX250" i="1"/>
  <c r="CX251" i="1"/>
  <c r="CX252" i="1"/>
  <c r="CX253" i="1"/>
  <c r="CX254" i="1"/>
  <c r="CX255" i="1"/>
  <c r="CX256" i="1"/>
  <c r="CX257" i="1"/>
  <c r="CX258" i="1"/>
  <c r="CX259" i="1"/>
  <c r="CX260" i="1"/>
  <c r="CX261" i="1"/>
  <c r="CX262" i="1"/>
  <c r="CX263" i="1"/>
  <c r="CX264" i="1"/>
  <c r="CX265" i="1"/>
  <c r="CX266" i="1"/>
  <c r="CX267" i="1"/>
  <c r="CX268" i="1"/>
  <c r="CX269" i="1"/>
  <c r="CX270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CY174" i="1"/>
  <c r="CY175" i="1"/>
  <c r="CY176" i="1"/>
  <c r="CY177" i="1"/>
  <c r="CY178" i="1"/>
  <c r="CY179" i="1"/>
  <c r="CY180" i="1"/>
  <c r="CY181" i="1"/>
  <c r="CY182" i="1"/>
  <c r="CY183" i="1"/>
  <c r="CY184" i="1"/>
  <c r="CY185" i="1"/>
  <c r="CY186" i="1"/>
  <c r="CY187" i="1"/>
  <c r="CY188" i="1"/>
  <c r="CY189" i="1"/>
  <c r="CY190" i="1"/>
  <c r="CY191" i="1"/>
  <c r="CY192" i="1"/>
  <c r="CY193" i="1"/>
  <c r="CY194" i="1"/>
  <c r="CY195" i="1"/>
  <c r="CY196" i="1"/>
  <c r="CY197" i="1"/>
  <c r="CY198" i="1"/>
  <c r="CY199" i="1"/>
  <c r="CY200" i="1"/>
  <c r="CY201" i="1"/>
  <c r="CY202" i="1"/>
  <c r="CY203" i="1"/>
  <c r="CY204" i="1"/>
  <c r="CY205" i="1"/>
  <c r="CY206" i="1"/>
  <c r="CY207" i="1"/>
  <c r="CY208" i="1"/>
  <c r="CY209" i="1"/>
  <c r="CY210" i="1"/>
  <c r="CY211" i="1"/>
  <c r="CY212" i="1"/>
  <c r="CY213" i="1"/>
  <c r="CY214" i="1"/>
  <c r="CY215" i="1"/>
  <c r="CY216" i="1"/>
  <c r="CY217" i="1"/>
  <c r="CY218" i="1"/>
  <c r="CY219" i="1"/>
  <c r="CY220" i="1"/>
  <c r="CY221" i="1"/>
  <c r="CY222" i="1"/>
  <c r="CY223" i="1"/>
  <c r="CY224" i="1"/>
  <c r="CY225" i="1"/>
  <c r="CY226" i="1"/>
  <c r="CY227" i="1"/>
  <c r="CY228" i="1"/>
  <c r="CY229" i="1"/>
  <c r="CY230" i="1"/>
  <c r="CY231" i="1"/>
  <c r="CY232" i="1"/>
  <c r="CY233" i="1"/>
  <c r="CY234" i="1"/>
  <c r="CY235" i="1"/>
  <c r="CY236" i="1"/>
  <c r="CY237" i="1"/>
  <c r="CY238" i="1"/>
  <c r="CY239" i="1"/>
  <c r="CY240" i="1"/>
  <c r="CY241" i="1"/>
  <c r="CY242" i="1"/>
  <c r="CY243" i="1"/>
  <c r="CY244" i="1"/>
  <c r="CY245" i="1"/>
  <c r="CY246" i="1"/>
  <c r="CY247" i="1"/>
  <c r="CY248" i="1"/>
  <c r="CY249" i="1"/>
  <c r="CY250" i="1"/>
  <c r="CY251" i="1"/>
  <c r="CY252" i="1"/>
  <c r="CY253" i="1"/>
  <c r="CY254" i="1"/>
  <c r="CY255" i="1"/>
  <c r="CY256" i="1"/>
  <c r="CY257" i="1"/>
  <c r="CY258" i="1"/>
  <c r="CY259" i="1"/>
  <c r="CY260" i="1"/>
  <c r="CY261" i="1"/>
  <c r="CY262" i="1"/>
  <c r="CY263" i="1"/>
  <c r="CY264" i="1"/>
  <c r="CY265" i="1"/>
  <c r="CY266" i="1"/>
  <c r="CY267" i="1"/>
  <c r="CY268" i="1"/>
  <c r="CY269" i="1"/>
  <c r="CY270" i="1"/>
  <c r="CZ137" i="1"/>
  <c r="CZ138" i="1"/>
  <c r="CZ139" i="1"/>
  <c r="CZ140" i="1"/>
  <c r="CZ141" i="1"/>
  <c r="CZ142" i="1"/>
  <c r="CZ143" i="1"/>
  <c r="CZ144" i="1"/>
  <c r="CZ145" i="1"/>
  <c r="CZ146" i="1"/>
  <c r="CZ147" i="1"/>
  <c r="CZ148" i="1"/>
  <c r="CZ149" i="1"/>
  <c r="CZ150" i="1"/>
  <c r="CZ151" i="1"/>
  <c r="CZ152" i="1"/>
  <c r="CZ153" i="1"/>
  <c r="CZ154" i="1"/>
  <c r="CZ155" i="1"/>
  <c r="CZ156" i="1"/>
  <c r="CZ157" i="1"/>
  <c r="CZ158" i="1"/>
  <c r="CZ159" i="1"/>
  <c r="CZ160" i="1"/>
  <c r="CZ161" i="1"/>
  <c r="CZ162" i="1"/>
  <c r="CZ163" i="1"/>
  <c r="CZ164" i="1"/>
  <c r="CZ165" i="1"/>
  <c r="CZ166" i="1"/>
  <c r="CZ167" i="1"/>
  <c r="CZ168" i="1"/>
  <c r="CZ169" i="1"/>
  <c r="CZ170" i="1"/>
  <c r="CZ171" i="1"/>
  <c r="CZ172" i="1"/>
  <c r="CZ173" i="1"/>
  <c r="CZ174" i="1"/>
  <c r="CZ175" i="1"/>
  <c r="CZ176" i="1"/>
  <c r="CZ177" i="1"/>
  <c r="CZ178" i="1"/>
  <c r="CZ179" i="1"/>
  <c r="CZ180" i="1"/>
  <c r="CZ181" i="1"/>
  <c r="CZ182" i="1"/>
  <c r="CZ183" i="1"/>
  <c r="CZ184" i="1"/>
  <c r="CZ185" i="1"/>
  <c r="CZ186" i="1"/>
  <c r="CZ187" i="1"/>
  <c r="CZ188" i="1"/>
  <c r="CZ189" i="1"/>
  <c r="CZ190" i="1"/>
  <c r="CZ191" i="1"/>
  <c r="CZ192" i="1"/>
  <c r="CZ193" i="1"/>
  <c r="CZ194" i="1"/>
  <c r="CZ195" i="1"/>
  <c r="CZ196" i="1"/>
  <c r="CZ197" i="1"/>
  <c r="CZ198" i="1"/>
  <c r="CZ199" i="1"/>
  <c r="CZ200" i="1"/>
  <c r="CZ201" i="1"/>
  <c r="CZ202" i="1"/>
  <c r="CZ203" i="1"/>
  <c r="CZ204" i="1"/>
  <c r="CZ205" i="1"/>
  <c r="CZ206" i="1"/>
  <c r="CZ207" i="1"/>
  <c r="CZ208" i="1"/>
  <c r="CZ209" i="1"/>
  <c r="CZ210" i="1"/>
  <c r="CZ211" i="1"/>
  <c r="CZ212" i="1"/>
  <c r="CZ213" i="1"/>
  <c r="CZ214" i="1"/>
  <c r="CZ215" i="1"/>
  <c r="CZ216" i="1"/>
  <c r="CZ217" i="1"/>
  <c r="CZ218" i="1"/>
  <c r="CZ219" i="1"/>
  <c r="CZ220" i="1"/>
  <c r="CZ221" i="1"/>
  <c r="CZ222" i="1"/>
  <c r="CZ223" i="1"/>
  <c r="CZ224" i="1"/>
  <c r="CZ225" i="1"/>
  <c r="CZ226" i="1"/>
  <c r="CZ227" i="1"/>
  <c r="CZ228" i="1"/>
  <c r="CZ229" i="1"/>
  <c r="CZ230" i="1"/>
  <c r="CZ231" i="1"/>
  <c r="CZ232" i="1"/>
  <c r="CZ233" i="1"/>
  <c r="CZ234" i="1"/>
  <c r="CZ235" i="1"/>
  <c r="CZ236" i="1"/>
  <c r="CZ237" i="1"/>
  <c r="CZ238" i="1"/>
  <c r="CZ239" i="1"/>
  <c r="CZ240" i="1"/>
  <c r="CZ241" i="1"/>
  <c r="CZ242" i="1"/>
  <c r="CZ243" i="1"/>
  <c r="CZ244" i="1"/>
  <c r="CZ245" i="1"/>
  <c r="CZ246" i="1"/>
  <c r="CZ247" i="1"/>
  <c r="CZ248" i="1"/>
  <c r="CZ249" i="1"/>
  <c r="CZ250" i="1"/>
  <c r="CZ251" i="1"/>
  <c r="CZ252" i="1"/>
  <c r="CZ253" i="1"/>
  <c r="CZ254" i="1"/>
  <c r="CZ255" i="1"/>
  <c r="CZ256" i="1"/>
  <c r="CZ257" i="1"/>
  <c r="CZ258" i="1"/>
  <c r="CZ259" i="1"/>
  <c r="CZ260" i="1"/>
  <c r="CZ261" i="1"/>
  <c r="CZ262" i="1"/>
  <c r="CZ263" i="1"/>
  <c r="CZ264" i="1"/>
  <c r="CZ265" i="1"/>
  <c r="CZ266" i="1"/>
  <c r="CZ267" i="1"/>
  <c r="CZ268" i="1"/>
  <c r="CZ269" i="1"/>
  <c r="CZ270" i="1"/>
  <c r="DA137" i="1"/>
  <c r="DA138" i="1"/>
  <c r="DA139" i="1"/>
  <c r="DA140" i="1"/>
  <c r="DA141" i="1"/>
  <c r="DA142" i="1"/>
  <c r="DA143" i="1"/>
  <c r="DA144" i="1"/>
  <c r="DA145" i="1"/>
  <c r="DA146" i="1"/>
  <c r="DA147" i="1"/>
  <c r="DA148" i="1"/>
  <c r="DA149" i="1"/>
  <c r="DA150" i="1"/>
  <c r="DA151" i="1"/>
  <c r="DA152" i="1"/>
  <c r="DA153" i="1"/>
  <c r="DA154" i="1"/>
  <c r="DA155" i="1"/>
  <c r="DA156" i="1"/>
  <c r="DA157" i="1"/>
  <c r="DA158" i="1"/>
  <c r="DA159" i="1"/>
  <c r="DA160" i="1"/>
  <c r="DA161" i="1"/>
  <c r="DA162" i="1"/>
  <c r="DA163" i="1"/>
  <c r="DA164" i="1"/>
  <c r="DA165" i="1"/>
  <c r="DA166" i="1"/>
  <c r="DA167" i="1"/>
  <c r="DA168" i="1"/>
  <c r="DA169" i="1"/>
  <c r="DA170" i="1"/>
  <c r="DA171" i="1"/>
  <c r="DA172" i="1"/>
  <c r="DA173" i="1"/>
  <c r="DA174" i="1"/>
  <c r="DA175" i="1"/>
  <c r="DA176" i="1"/>
  <c r="DA177" i="1"/>
  <c r="DA178" i="1"/>
  <c r="DA179" i="1"/>
  <c r="DA180" i="1"/>
  <c r="DA181" i="1"/>
  <c r="DA182" i="1"/>
  <c r="DA183" i="1"/>
  <c r="DA184" i="1"/>
  <c r="DA185" i="1"/>
  <c r="DA186" i="1"/>
  <c r="DA187" i="1"/>
  <c r="DA188" i="1"/>
  <c r="DA189" i="1"/>
  <c r="DA190" i="1"/>
  <c r="DA191" i="1"/>
  <c r="DA192" i="1"/>
  <c r="DA193" i="1"/>
  <c r="DA194" i="1"/>
  <c r="DA195" i="1"/>
  <c r="DA196" i="1"/>
  <c r="DA197" i="1"/>
  <c r="DA198" i="1"/>
  <c r="DA199" i="1"/>
  <c r="DA200" i="1"/>
  <c r="DA201" i="1"/>
  <c r="DA202" i="1"/>
  <c r="DA203" i="1"/>
  <c r="DA204" i="1"/>
  <c r="DA205" i="1"/>
  <c r="DA206" i="1"/>
  <c r="DA207" i="1"/>
  <c r="DA208" i="1"/>
  <c r="DA209" i="1"/>
  <c r="DA210" i="1"/>
  <c r="DA211" i="1"/>
  <c r="DA212" i="1"/>
  <c r="DA213" i="1"/>
  <c r="DA214" i="1"/>
  <c r="DA215" i="1"/>
  <c r="DA216" i="1"/>
  <c r="DA217" i="1"/>
  <c r="DA218" i="1"/>
  <c r="DA219" i="1"/>
  <c r="DA220" i="1"/>
  <c r="DA221" i="1"/>
  <c r="DA222" i="1"/>
  <c r="DA223" i="1"/>
  <c r="DA224" i="1"/>
  <c r="DA225" i="1"/>
  <c r="DA226" i="1"/>
  <c r="DA227" i="1"/>
  <c r="DA228" i="1"/>
  <c r="DA229" i="1"/>
  <c r="DA230" i="1"/>
  <c r="DA231" i="1"/>
  <c r="DA232" i="1"/>
  <c r="DA233" i="1"/>
  <c r="DA234" i="1"/>
  <c r="DA235" i="1"/>
  <c r="DA236" i="1"/>
  <c r="DA237" i="1"/>
  <c r="DA238" i="1"/>
  <c r="DA239" i="1"/>
  <c r="DA240" i="1"/>
  <c r="DA241" i="1"/>
  <c r="DA242" i="1"/>
  <c r="DA243" i="1"/>
  <c r="DA244" i="1"/>
  <c r="DA245" i="1"/>
  <c r="DA246" i="1"/>
  <c r="DA247" i="1"/>
  <c r="DA248" i="1"/>
  <c r="DA249" i="1"/>
  <c r="DA250" i="1"/>
  <c r="DA251" i="1"/>
  <c r="DA252" i="1"/>
  <c r="DA253" i="1"/>
  <c r="DA254" i="1"/>
  <c r="DA255" i="1"/>
  <c r="DA256" i="1"/>
  <c r="DA257" i="1"/>
  <c r="DA258" i="1"/>
  <c r="DA259" i="1"/>
  <c r="DA260" i="1"/>
  <c r="DA261" i="1"/>
  <c r="DA262" i="1"/>
  <c r="DA263" i="1"/>
  <c r="DA264" i="1"/>
  <c r="DA265" i="1"/>
  <c r="DA266" i="1"/>
  <c r="DA267" i="1"/>
  <c r="DA268" i="1"/>
  <c r="DA269" i="1"/>
  <c r="DA270" i="1"/>
  <c r="DB137" i="1"/>
  <c r="DB138" i="1"/>
  <c r="DB139" i="1"/>
  <c r="DB140" i="1"/>
  <c r="DB141" i="1"/>
  <c r="DB142" i="1"/>
  <c r="DB143" i="1"/>
  <c r="DB144" i="1"/>
  <c r="DB145" i="1"/>
  <c r="DB146" i="1"/>
  <c r="DB147" i="1"/>
  <c r="DB148" i="1"/>
  <c r="DB149" i="1"/>
  <c r="DB150" i="1"/>
  <c r="DB151" i="1"/>
  <c r="DB152" i="1"/>
  <c r="DB153" i="1"/>
  <c r="DB154" i="1"/>
  <c r="DB155" i="1"/>
  <c r="DB156" i="1"/>
  <c r="DB157" i="1"/>
  <c r="DB158" i="1"/>
  <c r="DB159" i="1"/>
  <c r="DB160" i="1"/>
  <c r="DB161" i="1"/>
  <c r="DB162" i="1"/>
  <c r="DB163" i="1"/>
  <c r="DB164" i="1"/>
  <c r="DB165" i="1"/>
  <c r="DB166" i="1"/>
  <c r="DB167" i="1"/>
  <c r="DB168" i="1"/>
  <c r="DB169" i="1"/>
  <c r="DB170" i="1"/>
  <c r="DB171" i="1"/>
  <c r="DB172" i="1"/>
  <c r="DB173" i="1"/>
  <c r="DB174" i="1"/>
  <c r="DB175" i="1"/>
  <c r="DB176" i="1"/>
  <c r="DB177" i="1"/>
  <c r="DB178" i="1"/>
  <c r="DB179" i="1"/>
  <c r="DB180" i="1"/>
  <c r="DB181" i="1"/>
  <c r="DB182" i="1"/>
  <c r="DB183" i="1"/>
  <c r="DB184" i="1"/>
  <c r="DB185" i="1"/>
  <c r="DB186" i="1"/>
  <c r="DB187" i="1"/>
  <c r="DB188" i="1"/>
  <c r="DB189" i="1"/>
  <c r="DB190" i="1"/>
  <c r="DB191" i="1"/>
  <c r="DB192" i="1"/>
  <c r="DB193" i="1"/>
  <c r="DB194" i="1"/>
  <c r="DB195" i="1"/>
  <c r="DB196" i="1"/>
  <c r="DB197" i="1"/>
  <c r="DB198" i="1"/>
  <c r="DB199" i="1"/>
  <c r="DB200" i="1"/>
  <c r="DB201" i="1"/>
  <c r="DB202" i="1"/>
  <c r="DB203" i="1"/>
  <c r="DB204" i="1"/>
  <c r="DB205" i="1"/>
  <c r="DB206" i="1"/>
  <c r="DB207" i="1"/>
  <c r="DB208" i="1"/>
  <c r="DB209" i="1"/>
  <c r="DB210" i="1"/>
  <c r="DB211" i="1"/>
  <c r="DB212" i="1"/>
  <c r="DB213" i="1"/>
  <c r="DB214" i="1"/>
  <c r="DB215" i="1"/>
  <c r="DB216" i="1"/>
  <c r="DB217" i="1"/>
  <c r="DB218" i="1"/>
  <c r="DB219" i="1"/>
  <c r="DB220" i="1"/>
  <c r="DB221" i="1"/>
  <c r="DB222" i="1"/>
  <c r="DB223" i="1"/>
  <c r="DB224" i="1"/>
  <c r="DB225" i="1"/>
  <c r="DB226" i="1"/>
  <c r="DB227" i="1"/>
  <c r="DB228" i="1"/>
  <c r="DB229" i="1"/>
  <c r="DB230" i="1"/>
  <c r="DB231" i="1"/>
  <c r="DB232" i="1"/>
  <c r="DB233" i="1"/>
  <c r="DB234" i="1"/>
  <c r="DB235" i="1"/>
  <c r="DB236" i="1"/>
  <c r="DB237" i="1"/>
  <c r="DB238" i="1"/>
  <c r="DB239" i="1"/>
  <c r="DB240" i="1"/>
  <c r="DB241" i="1"/>
  <c r="DB242" i="1"/>
  <c r="DB243" i="1"/>
  <c r="DB244" i="1"/>
  <c r="DB245" i="1"/>
  <c r="DB246" i="1"/>
  <c r="DB247" i="1"/>
  <c r="DB248" i="1"/>
  <c r="DB249" i="1"/>
  <c r="DB250" i="1"/>
  <c r="DB251" i="1"/>
  <c r="DB252" i="1"/>
  <c r="DB253" i="1"/>
  <c r="DB254" i="1"/>
  <c r="DB255" i="1"/>
  <c r="DB256" i="1"/>
  <c r="DB257" i="1"/>
  <c r="DB258" i="1"/>
  <c r="DB259" i="1"/>
  <c r="DB260" i="1"/>
  <c r="DB261" i="1"/>
  <c r="DB262" i="1"/>
  <c r="DB263" i="1"/>
  <c r="DB264" i="1"/>
  <c r="DB265" i="1"/>
  <c r="DB266" i="1"/>
  <c r="DB267" i="1"/>
  <c r="DB268" i="1"/>
  <c r="DB269" i="1"/>
  <c r="DB270" i="1"/>
  <c r="DC137" i="1"/>
  <c r="DC138" i="1"/>
  <c r="DC139" i="1"/>
  <c r="DC140" i="1"/>
  <c r="DC141" i="1"/>
  <c r="DC142" i="1"/>
  <c r="DC143" i="1"/>
  <c r="DC144" i="1"/>
  <c r="DC145" i="1"/>
  <c r="DC146" i="1"/>
  <c r="DC147" i="1"/>
  <c r="DC148" i="1"/>
  <c r="DC149" i="1"/>
  <c r="DC150" i="1"/>
  <c r="DC151" i="1"/>
  <c r="DC152" i="1"/>
  <c r="DC153" i="1"/>
  <c r="DC154" i="1"/>
  <c r="DC155" i="1"/>
  <c r="DC156" i="1"/>
  <c r="DC157" i="1"/>
  <c r="DC158" i="1"/>
  <c r="DC159" i="1"/>
  <c r="DC160" i="1"/>
  <c r="DC161" i="1"/>
  <c r="DC162" i="1"/>
  <c r="DC163" i="1"/>
  <c r="DC164" i="1"/>
  <c r="DC165" i="1"/>
  <c r="DC166" i="1"/>
  <c r="DC167" i="1"/>
  <c r="DC168" i="1"/>
  <c r="DC169" i="1"/>
  <c r="DC170" i="1"/>
  <c r="DC171" i="1"/>
  <c r="DC172" i="1"/>
  <c r="DC173" i="1"/>
  <c r="DC174" i="1"/>
  <c r="DC175" i="1"/>
  <c r="DC176" i="1"/>
  <c r="DC177" i="1"/>
  <c r="DC178" i="1"/>
  <c r="DC179" i="1"/>
  <c r="DC180" i="1"/>
  <c r="DC181" i="1"/>
  <c r="DC182" i="1"/>
  <c r="DC183" i="1"/>
  <c r="DC184" i="1"/>
  <c r="DC185" i="1"/>
  <c r="DC186" i="1"/>
  <c r="DC187" i="1"/>
  <c r="DC188" i="1"/>
  <c r="DC189" i="1"/>
  <c r="DC190" i="1"/>
  <c r="DC191" i="1"/>
  <c r="DC192" i="1"/>
  <c r="DC193" i="1"/>
  <c r="DC194" i="1"/>
  <c r="DC195" i="1"/>
  <c r="DC196" i="1"/>
  <c r="DC197" i="1"/>
  <c r="DC198" i="1"/>
  <c r="DC199" i="1"/>
  <c r="DC200" i="1"/>
  <c r="DC201" i="1"/>
  <c r="DC202" i="1"/>
  <c r="DC203" i="1"/>
  <c r="DC204" i="1"/>
  <c r="DC205" i="1"/>
  <c r="DC206" i="1"/>
  <c r="DC207" i="1"/>
  <c r="DC208" i="1"/>
  <c r="DC209" i="1"/>
  <c r="DC210" i="1"/>
  <c r="DC211" i="1"/>
  <c r="DC212" i="1"/>
  <c r="DC213" i="1"/>
  <c r="DC214" i="1"/>
  <c r="DC215" i="1"/>
  <c r="DC216" i="1"/>
  <c r="DC217" i="1"/>
  <c r="DC218" i="1"/>
  <c r="DC219" i="1"/>
  <c r="DC220" i="1"/>
  <c r="DC221" i="1"/>
  <c r="DC222" i="1"/>
  <c r="DC223" i="1"/>
  <c r="DC224" i="1"/>
  <c r="DC225" i="1"/>
  <c r="DC226" i="1"/>
  <c r="DC227" i="1"/>
  <c r="DC228" i="1"/>
  <c r="DC229" i="1"/>
  <c r="DC230" i="1"/>
  <c r="DC231" i="1"/>
  <c r="DC232" i="1"/>
  <c r="DC233" i="1"/>
  <c r="DC234" i="1"/>
  <c r="DC235" i="1"/>
  <c r="DC236" i="1"/>
  <c r="DC237" i="1"/>
  <c r="DC238" i="1"/>
  <c r="DC239" i="1"/>
  <c r="DC240" i="1"/>
  <c r="DC241" i="1"/>
  <c r="DC242" i="1"/>
  <c r="DC243" i="1"/>
  <c r="DC244" i="1"/>
  <c r="DC245" i="1"/>
  <c r="DC246" i="1"/>
  <c r="DC247" i="1"/>
  <c r="DC248" i="1"/>
  <c r="DC249" i="1"/>
  <c r="DC250" i="1"/>
  <c r="DC251" i="1"/>
  <c r="DC252" i="1"/>
  <c r="DC253" i="1"/>
  <c r="DC254" i="1"/>
  <c r="DC255" i="1"/>
  <c r="DC256" i="1"/>
  <c r="DC257" i="1"/>
  <c r="DC258" i="1"/>
  <c r="DC259" i="1"/>
  <c r="DC260" i="1"/>
  <c r="DC261" i="1"/>
  <c r="DC262" i="1"/>
  <c r="DC263" i="1"/>
  <c r="DC264" i="1"/>
  <c r="DC265" i="1"/>
  <c r="DC266" i="1"/>
  <c r="DC267" i="1"/>
  <c r="DC268" i="1"/>
  <c r="DC269" i="1"/>
  <c r="DC270" i="1"/>
  <c r="DD137" i="1"/>
  <c r="DD138" i="1"/>
  <c r="DD139" i="1"/>
  <c r="DD140" i="1"/>
  <c r="DD141" i="1"/>
  <c r="DD142" i="1"/>
  <c r="DD143" i="1"/>
  <c r="DD144" i="1"/>
  <c r="DD145" i="1"/>
  <c r="DD146" i="1"/>
  <c r="DD147" i="1"/>
  <c r="DD148" i="1"/>
  <c r="DD149" i="1"/>
  <c r="DD150" i="1"/>
  <c r="DD151" i="1"/>
  <c r="DD152" i="1"/>
  <c r="DD153" i="1"/>
  <c r="DD154" i="1"/>
  <c r="DD155" i="1"/>
  <c r="DD156" i="1"/>
  <c r="DD157" i="1"/>
  <c r="DD158" i="1"/>
  <c r="DD159" i="1"/>
  <c r="DD160" i="1"/>
  <c r="DD161" i="1"/>
  <c r="DD162" i="1"/>
  <c r="DD163" i="1"/>
  <c r="DD164" i="1"/>
  <c r="DD165" i="1"/>
  <c r="DD166" i="1"/>
  <c r="DD167" i="1"/>
  <c r="DD168" i="1"/>
  <c r="DD169" i="1"/>
  <c r="DD170" i="1"/>
  <c r="DD171" i="1"/>
  <c r="DD172" i="1"/>
  <c r="DD173" i="1"/>
  <c r="DD174" i="1"/>
  <c r="DD175" i="1"/>
  <c r="DD176" i="1"/>
  <c r="DD177" i="1"/>
  <c r="DD178" i="1"/>
  <c r="DD179" i="1"/>
  <c r="DD180" i="1"/>
  <c r="DD181" i="1"/>
  <c r="DD182" i="1"/>
  <c r="DD183" i="1"/>
  <c r="DD184" i="1"/>
  <c r="DD185" i="1"/>
  <c r="DD186" i="1"/>
  <c r="DD187" i="1"/>
  <c r="DD188" i="1"/>
  <c r="DD189" i="1"/>
  <c r="DD190" i="1"/>
  <c r="DD191" i="1"/>
  <c r="DD192" i="1"/>
  <c r="DD193" i="1"/>
  <c r="DD194" i="1"/>
  <c r="DD195" i="1"/>
  <c r="DD196" i="1"/>
  <c r="DD197" i="1"/>
  <c r="DD198" i="1"/>
  <c r="DD199" i="1"/>
  <c r="DD200" i="1"/>
  <c r="DD201" i="1"/>
  <c r="DD202" i="1"/>
  <c r="DD203" i="1"/>
  <c r="DD204" i="1"/>
  <c r="DD205" i="1"/>
  <c r="DD206" i="1"/>
  <c r="DD207" i="1"/>
  <c r="DD208" i="1"/>
  <c r="DD209" i="1"/>
  <c r="DD210" i="1"/>
  <c r="DD211" i="1"/>
  <c r="DD212" i="1"/>
  <c r="DD213" i="1"/>
  <c r="DD214" i="1"/>
  <c r="DD215" i="1"/>
  <c r="DD216" i="1"/>
  <c r="DD217" i="1"/>
  <c r="DD218" i="1"/>
  <c r="DD219" i="1"/>
  <c r="DD220" i="1"/>
  <c r="DD221" i="1"/>
  <c r="DD222" i="1"/>
  <c r="DD223" i="1"/>
  <c r="DD224" i="1"/>
  <c r="DD225" i="1"/>
  <c r="DD226" i="1"/>
  <c r="DD227" i="1"/>
  <c r="DD228" i="1"/>
  <c r="DD229" i="1"/>
  <c r="DD230" i="1"/>
  <c r="DD231" i="1"/>
  <c r="DD232" i="1"/>
  <c r="DD233" i="1"/>
  <c r="DD234" i="1"/>
  <c r="DD235" i="1"/>
  <c r="DD236" i="1"/>
  <c r="DD237" i="1"/>
  <c r="DD238" i="1"/>
  <c r="DD239" i="1"/>
  <c r="DD240" i="1"/>
  <c r="DD241" i="1"/>
  <c r="DD242" i="1"/>
  <c r="DD243" i="1"/>
  <c r="DD244" i="1"/>
  <c r="DD245" i="1"/>
  <c r="DD246" i="1"/>
  <c r="DD247" i="1"/>
  <c r="DD248" i="1"/>
  <c r="DD249" i="1"/>
  <c r="DD250" i="1"/>
  <c r="DD251" i="1"/>
  <c r="DD252" i="1"/>
  <c r="DD253" i="1"/>
  <c r="DD254" i="1"/>
  <c r="DD255" i="1"/>
  <c r="DD256" i="1"/>
  <c r="DD257" i="1"/>
  <c r="DD258" i="1"/>
  <c r="DD259" i="1"/>
  <c r="DD260" i="1"/>
  <c r="DD261" i="1"/>
  <c r="DD262" i="1"/>
  <c r="DD263" i="1"/>
  <c r="DD264" i="1"/>
  <c r="DD265" i="1"/>
  <c r="DD266" i="1"/>
  <c r="DD267" i="1"/>
  <c r="DD268" i="1"/>
  <c r="DD269" i="1"/>
  <c r="DD270" i="1"/>
  <c r="DE137" i="1"/>
  <c r="DE138" i="1"/>
  <c r="DE139" i="1"/>
  <c r="DE140" i="1"/>
  <c r="DE141" i="1"/>
  <c r="DE142" i="1"/>
  <c r="DE143" i="1"/>
  <c r="DE144" i="1"/>
  <c r="DE145" i="1"/>
  <c r="DE146" i="1"/>
  <c r="DE147" i="1"/>
  <c r="DE148" i="1"/>
  <c r="DE149" i="1"/>
  <c r="DE150" i="1"/>
  <c r="DE151" i="1"/>
  <c r="DE152" i="1"/>
  <c r="DE153" i="1"/>
  <c r="DE154" i="1"/>
  <c r="DE155" i="1"/>
  <c r="DE156" i="1"/>
  <c r="DE157" i="1"/>
  <c r="DE158" i="1"/>
  <c r="DE159" i="1"/>
  <c r="DE160" i="1"/>
  <c r="DE161" i="1"/>
  <c r="DE162" i="1"/>
  <c r="DE163" i="1"/>
  <c r="DE164" i="1"/>
  <c r="DE165" i="1"/>
  <c r="DE166" i="1"/>
  <c r="DE167" i="1"/>
  <c r="DE168" i="1"/>
  <c r="DE169" i="1"/>
  <c r="DE170" i="1"/>
  <c r="DE171" i="1"/>
  <c r="DE172" i="1"/>
  <c r="DE173" i="1"/>
  <c r="DE174" i="1"/>
  <c r="DE175" i="1"/>
  <c r="DE176" i="1"/>
  <c r="DE177" i="1"/>
  <c r="DE178" i="1"/>
  <c r="DE179" i="1"/>
  <c r="DE180" i="1"/>
  <c r="DE181" i="1"/>
  <c r="DE182" i="1"/>
  <c r="DE183" i="1"/>
  <c r="DE184" i="1"/>
  <c r="DE185" i="1"/>
  <c r="DE186" i="1"/>
  <c r="DE187" i="1"/>
  <c r="DE188" i="1"/>
  <c r="DE189" i="1"/>
  <c r="DE190" i="1"/>
  <c r="DE191" i="1"/>
  <c r="DE192" i="1"/>
  <c r="DE193" i="1"/>
  <c r="DE194" i="1"/>
  <c r="DE195" i="1"/>
  <c r="DE196" i="1"/>
  <c r="DE197" i="1"/>
  <c r="DE198" i="1"/>
  <c r="DE199" i="1"/>
  <c r="DE200" i="1"/>
  <c r="DE201" i="1"/>
  <c r="DE202" i="1"/>
  <c r="DE203" i="1"/>
  <c r="DE204" i="1"/>
  <c r="DE205" i="1"/>
  <c r="DE206" i="1"/>
  <c r="DE207" i="1"/>
  <c r="DE208" i="1"/>
  <c r="DE209" i="1"/>
  <c r="DE210" i="1"/>
  <c r="DE211" i="1"/>
  <c r="DE212" i="1"/>
  <c r="DE213" i="1"/>
  <c r="DE214" i="1"/>
  <c r="DE215" i="1"/>
  <c r="DE216" i="1"/>
  <c r="DE217" i="1"/>
  <c r="DE218" i="1"/>
  <c r="DE219" i="1"/>
  <c r="DE220" i="1"/>
  <c r="DE221" i="1"/>
  <c r="DE222" i="1"/>
  <c r="DE223" i="1"/>
  <c r="DE224" i="1"/>
  <c r="DE225" i="1"/>
  <c r="DE226" i="1"/>
  <c r="DE227" i="1"/>
  <c r="DE228" i="1"/>
  <c r="DE229" i="1"/>
  <c r="DE230" i="1"/>
  <c r="DE231" i="1"/>
  <c r="DE232" i="1"/>
  <c r="DE233" i="1"/>
  <c r="DE234" i="1"/>
  <c r="DE235" i="1"/>
  <c r="DE236" i="1"/>
  <c r="DE237" i="1"/>
  <c r="DE238" i="1"/>
  <c r="DE239" i="1"/>
  <c r="DE240" i="1"/>
  <c r="DE241" i="1"/>
  <c r="DE242" i="1"/>
  <c r="DE243" i="1"/>
  <c r="DE244" i="1"/>
  <c r="DE245" i="1"/>
  <c r="DE246" i="1"/>
  <c r="DE247" i="1"/>
  <c r="DE248" i="1"/>
  <c r="DE249" i="1"/>
  <c r="DE250" i="1"/>
  <c r="DE251" i="1"/>
  <c r="DE252" i="1"/>
  <c r="DE253" i="1"/>
  <c r="DE254" i="1"/>
  <c r="DE255" i="1"/>
  <c r="DE256" i="1"/>
  <c r="DE257" i="1"/>
  <c r="DE258" i="1"/>
  <c r="DE259" i="1"/>
  <c r="DE260" i="1"/>
  <c r="DE261" i="1"/>
  <c r="DE262" i="1"/>
  <c r="DE263" i="1"/>
  <c r="DE264" i="1"/>
  <c r="DE265" i="1"/>
  <c r="DE266" i="1"/>
  <c r="DE267" i="1"/>
  <c r="DE268" i="1"/>
  <c r="DE269" i="1"/>
  <c r="DE270" i="1"/>
  <c r="DF137" i="1"/>
  <c r="DF138" i="1"/>
  <c r="DF139" i="1"/>
  <c r="DF140" i="1"/>
  <c r="DF141" i="1"/>
  <c r="DF142" i="1"/>
  <c r="DF143" i="1"/>
  <c r="DF144" i="1"/>
  <c r="DF145" i="1"/>
  <c r="DF146" i="1"/>
  <c r="DF147" i="1"/>
  <c r="DF148" i="1"/>
  <c r="DF149" i="1"/>
  <c r="DF150" i="1"/>
  <c r="DF151" i="1"/>
  <c r="DF152" i="1"/>
  <c r="DF153" i="1"/>
  <c r="DF154" i="1"/>
  <c r="DF155" i="1"/>
  <c r="DF156" i="1"/>
  <c r="DF157" i="1"/>
  <c r="DF158" i="1"/>
  <c r="DF159" i="1"/>
  <c r="DF160" i="1"/>
  <c r="DF161" i="1"/>
  <c r="DF162" i="1"/>
  <c r="DF163" i="1"/>
  <c r="DF164" i="1"/>
  <c r="DF165" i="1"/>
  <c r="DF166" i="1"/>
  <c r="DF167" i="1"/>
  <c r="DF168" i="1"/>
  <c r="DF169" i="1"/>
  <c r="DF170" i="1"/>
  <c r="DF171" i="1"/>
  <c r="DF172" i="1"/>
  <c r="DF173" i="1"/>
  <c r="DF174" i="1"/>
  <c r="DF175" i="1"/>
  <c r="DF176" i="1"/>
  <c r="DF177" i="1"/>
  <c r="DF178" i="1"/>
  <c r="DF179" i="1"/>
  <c r="DF180" i="1"/>
  <c r="DF181" i="1"/>
  <c r="DF182" i="1"/>
  <c r="DF183" i="1"/>
  <c r="DF184" i="1"/>
  <c r="DF185" i="1"/>
  <c r="DF186" i="1"/>
  <c r="DF187" i="1"/>
  <c r="DF188" i="1"/>
  <c r="DF189" i="1"/>
  <c r="DF190" i="1"/>
  <c r="DF191" i="1"/>
  <c r="DF192" i="1"/>
  <c r="DF193" i="1"/>
  <c r="DF194" i="1"/>
  <c r="DF195" i="1"/>
  <c r="DF196" i="1"/>
  <c r="DF197" i="1"/>
  <c r="DF198" i="1"/>
  <c r="DF199" i="1"/>
  <c r="DF200" i="1"/>
  <c r="DF201" i="1"/>
  <c r="DF202" i="1"/>
  <c r="DF203" i="1"/>
  <c r="DF204" i="1"/>
  <c r="DF205" i="1"/>
  <c r="DF206" i="1"/>
  <c r="DF207" i="1"/>
  <c r="DF208" i="1"/>
  <c r="DF209" i="1"/>
  <c r="DF210" i="1"/>
  <c r="DF211" i="1"/>
  <c r="DF212" i="1"/>
  <c r="DF213" i="1"/>
  <c r="DF214" i="1"/>
  <c r="DF215" i="1"/>
  <c r="DF216" i="1"/>
  <c r="DF217" i="1"/>
  <c r="DF218" i="1"/>
  <c r="DF219" i="1"/>
  <c r="DF220" i="1"/>
  <c r="DF221" i="1"/>
  <c r="DF222" i="1"/>
  <c r="DF223" i="1"/>
  <c r="DF224" i="1"/>
  <c r="DF225" i="1"/>
  <c r="DF226" i="1"/>
  <c r="DF227" i="1"/>
  <c r="DF228" i="1"/>
  <c r="DF229" i="1"/>
  <c r="DF230" i="1"/>
  <c r="DF231" i="1"/>
  <c r="DF232" i="1"/>
  <c r="DF233" i="1"/>
  <c r="DF234" i="1"/>
  <c r="DF235" i="1"/>
  <c r="DF236" i="1"/>
  <c r="DF237" i="1"/>
  <c r="DF238" i="1"/>
  <c r="DF239" i="1"/>
  <c r="DF240" i="1"/>
  <c r="DF241" i="1"/>
  <c r="DF242" i="1"/>
  <c r="DF243" i="1"/>
  <c r="DF244" i="1"/>
  <c r="DF245" i="1"/>
  <c r="DF246" i="1"/>
  <c r="DF247" i="1"/>
  <c r="DF248" i="1"/>
  <c r="DF249" i="1"/>
  <c r="DF250" i="1"/>
  <c r="DF251" i="1"/>
  <c r="DF252" i="1"/>
  <c r="DF253" i="1"/>
  <c r="DF254" i="1"/>
  <c r="DF255" i="1"/>
  <c r="DF256" i="1"/>
  <c r="DF257" i="1"/>
  <c r="DF258" i="1"/>
  <c r="DF259" i="1"/>
  <c r="DF260" i="1"/>
  <c r="DF261" i="1"/>
  <c r="DF262" i="1"/>
  <c r="DF263" i="1"/>
  <c r="DF264" i="1"/>
  <c r="DF265" i="1"/>
  <c r="DF266" i="1"/>
  <c r="DF267" i="1"/>
  <c r="DF268" i="1"/>
  <c r="DF269" i="1"/>
  <c r="DF270" i="1"/>
  <c r="DH137" i="1"/>
  <c r="DH138" i="1"/>
  <c r="DH139" i="1"/>
  <c r="DH140" i="1"/>
  <c r="DH141" i="1"/>
  <c r="DH142" i="1"/>
  <c r="DH143" i="1"/>
  <c r="DH144" i="1"/>
  <c r="DH145" i="1"/>
  <c r="DH146" i="1"/>
  <c r="DH147" i="1"/>
  <c r="DH148" i="1"/>
  <c r="DH149" i="1"/>
  <c r="DH150" i="1"/>
  <c r="DH151" i="1"/>
  <c r="DH152" i="1"/>
  <c r="DH153" i="1"/>
  <c r="DH154" i="1"/>
  <c r="DH155" i="1"/>
  <c r="DH156" i="1"/>
  <c r="DH157" i="1"/>
  <c r="DH158" i="1"/>
  <c r="DH159" i="1"/>
  <c r="DH160" i="1"/>
  <c r="DH161" i="1"/>
  <c r="DH162" i="1"/>
  <c r="DH163" i="1"/>
  <c r="DH164" i="1"/>
  <c r="DH165" i="1"/>
  <c r="DH166" i="1"/>
  <c r="DH167" i="1"/>
  <c r="DH168" i="1"/>
  <c r="DH169" i="1"/>
  <c r="DH170" i="1"/>
  <c r="DH171" i="1"/>
  <c r="DH172" i="1"/>
  <c r="DH173" i="1"/>
  <c r="DH174" i="1"/>
  <c r="DH175" i="1"/>
  <c r="DH176" i="1"/>
  <c r="DH177" i="1"/>
  <c r="DH178" i="1"/>
  <c r="DH179" i="1"/>
  <c r="DH180" i="1"/>
  <c r="DH181" i="1"/>
  <c r="DH182" i="1"/>
  <c r="DH183" i="1"/>
  <c r="DH184" i="1"/>
  <c r="DH185" i="1"/>
  <c r="DH186" i="1"/>
  <c r="DH187" i="1"/>
  <c r="DH188" i="1"/>
  <c r="DH189" i="1"/>
  <c r="DH190" i="1"/>
  <c r="DH191" i="1"/>
  <c r="DH192" i="1"/>
  <c r="DH193" i="1"/>
  <c r="DH194" i="1"/>
  <c r="DH195" i="1"/>
  <c r="DH196" i="1"/>
  <c r="DH197" i="1"/>
  <c r="DH198" i="1"/>
  <c r="DH199" i="1"/>
  <c r="DH200" i="1"/>
  <c r="DH201" i="1"/>
  <c r="DH202" i="1"/>
  <c r="DH203" i="1"/>
  <c r="DH204" i="1"/>
  <c r="DH205" i="1"/>
  <c r="DH206" i="1"/>
  <c r="DH207" i="1"/>
  <c r="DH208" i="1"/>
  <c r="DH209" i="1"/>
  <c r="DH210" i="1"/>
  <c r="DH211" i="1"/>
  <c r="DH212" i="1"/>
  <c r="DH213" i="1"/>
  <c r="DH214" i="1"/>
  <c r="DH215" i="1"/>
  <c r="DH216" i="1"/>
  <c r="DH217" i="1"/>
  <c r="DH218" i="1"/>
  <c r="DH219" i="1"/>
  <c r="DH220" i="1"/>
  <c r="DH221" i="1"/>
  <c r="DH222" i="1"/>
  <c r="DH223" i="1"/>
  <c r="DH224" i="1"/>
  <c r="DH225" i="1"/>
  <c r="DH226" i="1"/>
  <c r="DH227" i="1"/>
  <c r="DH228" i="1"/>
  <c r="DH229" i="1"/>
  <c r="DH230" i="1"/>
  <c r="DH231" i="1"/>
  <c r="DH232" i="1"/>
  <c r="DH233" i="1"/>
  <c r="DH234" i="1"/>
  <c r="DH235" i="1"/>
  <c r="DH236" i="1"/>
  <c r="DH237" i="1"/>
  <c r="DH238" i="1"/>
  <c r="DH239" i="1"/>
  <c r="DH240" i="1"/>
  <c r="DH241" i="1"/>
  <c r="DH242" i="1"/>
  <c r="DH243" i="1"/>
  <c r="DH244" i="1"/>
  <c r="DH245" i="1"/>
  <c r="DH246" i="1"/>
  <c r="DH247" i="1"/>
  <c r="DH248" i="1"/>
  <c r="DH249" i="1"/>
  <c r="DH250" i="1"/>
  <c r="DH251" i="1"/>
  <c r="DH252" i="1"/>
  <c r="DH253" i="1"/>
  <c r="DH254" i="1"/>
  <c r="DH255" i="1"/>
  <c r="DH256" i="1"/>
  <c r="DH257" i="1"/>
  <c r="DH258" i="1"/>
  <c r="DH259" i="1"/>
  <c r="DH260" i="1"/>
  <c r="DH261" i="1"/>
  <c r="DH262" i="1"/>
  <c r="DH263" i="1"/>
  <c r="DH264" i="1"/>
  <c r="DH265" i="1"/>
  <c r="DH266" i="1"/>
  <c r="DH267" i="1"/>
  <c r="DH268" i="1"/>
  <c r="DH269" i="1"/>
  <c r="DH270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196" i="1"/>
  <c r="DI197" i="1"/>
  <c r="DI198" i="1"/>
  <c r="DI199" i="1"/>
  <c r="DI200" i="1"/>
  <c r="DI201" i="1"/>
  <c r="DI202" i="1"/>
  <c r="DI203" i="1"/>
  <c r="DI204" i="1"/>
  <c r="DI205" i="1"/>
  <c r="DI206" i="1"/>
  <c r="DI207" i="1"/>
  <c r="DI208" i="1"/>
  <c r="DI209" i="1"/>
  <c r="DI210" i="1"/>
  <c r="DI211" i="1"/>
  <c r="DI212" i="1"/>
  <c r="DI213" i="1"/>
  <c r="DI214" i="1"/>
  <c r="DI215" i="1"/>
  <c r="DI216" i="1"/>
  <c r="DI217" i="1"/>
  <c r="DI218" i="1"/>
  <c r="DI219" i="1"/>
  <c r="DI220" i="1"/>
  <c r="DI221" i="1"/>
  <c r="DI222" i="1"/>
  <c r="DI223" i="1"/>
  <c r="DI224" i="1"/>
  <c r="DI225" i="1"/>
  <c r="DI226" i="1"/>
  <c r="DI227" i="1"/>
  <c r="DI228" i="1"/>
  <c r="DI229" i="1"/>
  <c r="DI230" i="1"/>
  <c r="DI231" i="1"/>
  <c r="DI232" i="1"/>
  <c r="DI233" i="1"/>
  <c r="DI234" i="1"/>
  <c r="DI235" i="1"/>
  <c r="DI236" i="1"/>
  <c r="DI237" i="1"/>
  <c r="DI238" i="1"/>
  <c r="DI239" i="1"/>
  <c r="DI240" i="1"/>
  <c r="DI241" i="1"/>
  <c r="DI242" i="1"/>
  <c r="DI243" i="1"/>
  <c r="DI244" i="1"/>
  <c r="DI245" i="1"/>
  <c r="DI246" i="1"/>
  <c r="DI247" i="1"/>
  <c r="DI248" i="1"/>
  <c r="DI249" i="1"/>
  <c r="DI250" i="1"/>
  <c r="DI251" i="1"/>
  <c r="DI252" i="1"/>
  <c r="DI253" i="1"/>
  <c r="DI254" i="1"/>
  <c r="DI255" i="1"/>
  <c r="DI256" i="1"/>
  <c r="DI257" i="1"/>
  <c r="DI258" i="1"/>
  <c r="DI259" i="1"/>
  <c r="DI260" i="1"/>
  <c r="DI261" i="1"/>
  <c r="DI262" i="1"/>
  <c r="DI263" i="1"/>
  <c r="DI264" i="1"/>
  <c r="DI265" i="1"/>
  <c r="DI266" i="1"/>
  <c r="DI267" i="1"/>
  <c r="DI268" i="1"/>
  <c r="DI269" i="1"/>
  <c r="DI270" i="1"/>
  <c r="DJ137" i="1"/>
  <c r="DJ138" i="1"/>
  <c r="DJ139" i="1"/>
  <c r="DJ140" i="1"/>
  <c r="DJ141" i="1"/>
  <c r="DJ142" i="1"/>
  <c r="DJ143" i="1"/>
  <c r="DJ144" i="1"/>
  <c r="DJ145" i="1"/>
  <c r="DJ146" i="1"/>
  <c r="DJ147" i="1"/>
  <c r="DJ148" i="1"/>
  <c r="DJ149" i="1"/>
  <c r="DJ150" i="1"/>
  <c r="DJ151" i="1"/>
  <c r="DJ152" i="1"/>
  <c r="DJ153" i="1"/>
  <c r="DJ154" i="1"/>
  <c r="DJ155" i="1"/>
  <c r="DJ156" i="1"/>
  <c r="DJ157" i="1"/>
  <c r="DJ158" i="1"/>
  <c r="DJ159" i="1"/>
  <c r="DJ160" i="1"/>
  <c r="DJ161" i="1"/>
  <c r="DJ162" i="1"/>
  <c r="DJ163" i="1"/>
  <c r="DJ164" i="1"/>
  <c r="DJ165" i="1"/>
  <c r="DJ166" i="1"/>
  <c r="DJ167" i="1"/>
  <c r="DJ168" i="1"/>
  <c r="DJ169" i="1"/>
  <c r="DJ170" i="1"/>
  <c r="DJ171" i="1"/>
  <c r="DJ172" i="1"/>
  <c r="DJ173" i="1"/>
  <c r="DJ174" i="1"/>
  <c r="DJ175" i="1"/>
  <c r="DJ176" i="1"/>
  <c r="DJ177" i="1"/>
  <c r="DJ178" i="1"/>
  <c r="DJ179" i="1"/>
  <c r="DJ180" i="1"/>
  <c r="DJ181" i="1"/>
  <c r="DJ182" i="1"/>
  <c r="DJ183" i="1"/>
  <c r="DJ184" i="1"/>
  <c r="DJ185" i="1"/>
  <c r="DJ186" i="1"/>
  <c r="DJ187" i="1"/>
  <c r="DJ188" i="1"/>
  <c r="DJ189" i="1"/>
  <c r="DJ190" i="1"/>
  <c r="DJ191" i="1"/>
  <c r="DJ192" i="1"/>
  <c r="DJ193" i="1"/>
  <c r="DJ194" i="1"/>
  <c r="DJ195" i="1"/>
  <c r="DJ196" i="1"/>
  <c r="DJ197" i="1"/>
  <c r="DJ198" i="1"/>
  <c r="DJ199" i="1"/>
  <c r="DJ200" i="1"/>
  <c r="DJ201" i="1"/>
  <c r="DJ202" i="1"/>
  <c r="DJ203" i="1"/>
  <c r="DJ204" i="1"/>
  <c r="DJ205" i="1"/>
  <c r="DJ206" i="1"/>
  <c r="DJ207" i="1"/>
  <c r="DJ208" i="1"/>
  <c r="DJ209" i="1"/>
  <c r="DJ210" i="1"/>
  <c r="DJ211" i="1"/>
  <c r="DJ212" i="1"/>
  <c r="DJ213" i="1"/>
  <c r="DJ214" i="1"/>
  <c r="DJ215" i="1"/>
  <c r="DJ216" i="1"/>
  <c r="DJ217" i="1"/>
  <c r="DJ218" i="1"/>
  <c r="DJ219" i="1"/>
  <c r="DJ220" i="1"/>
  <c r="DJ221" i="1"/>
  <c r="DJ222" i="1"/>
  <c r="DJ223" i="1"/>
  <c r="DJ224" i="1"/>
  <c r="DJ225" i="1"/>
  <c r="DJ226" i="1"/>
  <c r="DJ227" i="1"/>
  <c r="DJ228" i="1"/>
  <c r="DJ229" i="1"/>
  <c r="DJ230" i="1"/>
  <c r="DJ231" i="1"/>
  <c r="DJ232" i="1"/>
  <c r="DJ233" i="1"/>
  <c r="DJ234" i="1"/>
  <c r="DJ235" i="1"/>
  <c r="DJ236" i="1"/>
  <c r="DJ237" i="1"/>
  <c r="DJ238" i="1"/>
  <c r="DJ239" i="1"/>
  <c r="DJ240" i="1"/>
  <c r="DJ241" i="1"/>
  <c r="DJ242" i="1"/>
  <c r="DJ243" i="1"/>
  <c r="DJ244" i="1"/>
  <c r="DJ245" i="1"/>
  <c r="DJ246" i="1"/>
  <c r="DJ247" i="1"/>
  <c r="DJ248" i="1"/>
  <c r="DJ249" i="1"/>
  <c r="DJ250" i="1"/>
  <c r="DJ251" i="1"/>
  <c r="DJ252" i="1"/>
  <c r="DJ253" i="1"/>
  <c r="DJ254" i="1"/>
  <c r="DJ255" i="1"/>
  <c r="DJ256" i="1"/>
  <c r="DJ257" i="1"/>
  <c r="DJ258" i="1"/>
  <c r="DJ259" i="1"/>
  <c r="DJ260" i="1"/>
  <c r="DJ261" i="1"/>
  <c r="DJ262" i="1"/>
  <c r="DJ263" i="1"/>
  <c r="DJ264" i="1"/>
  <c r="DJ265" i="1"/>
  <c r="DJ266" i="1"/>
  <c r="DJ267" i="1"/>
  <c r="DJ268" i="1"/>
  <c r="DJ269" i="1"/>
  <c r="DJ270" i="1"/>
  <c r="DK137" i="1"/>
  <c r="DK138" i="1"/>
  <c r="DK139" i="1"/>
  <c r="DK140" i="1"/>
  <c r="DK141" i="1"/>
  <c r="DK142" i="1"/>
  <c r="DK143" i="1"/>
  <c r="DK144" i="1"/>
  <c r="DK145" i="1"/>
  <c r="DK146" i="1"/>
  <c r="DK147" i="1"/>
  <c r="DK148" i="1"/>
  <c r="DK149" i="1"/>
  <c r="DK150" i="1"/>
  <c r="DK151" i="1"/>
  <c r="DK152" i="1"/>
  <c r="DK153" i="1"/>
  <c r="DK154" i="1"/>
  <c r="DK155" i="1"/>
  <c r="DK156" i="1"/>
  <c r="DK157" i="1"/>
  <c r="DK158" i="1"/>
  <c r="DK159" i="1"/>
  <c r="DK160" i="1"/>
  <c r="DK161" i="1"/>
  <c r="DK162" i="1"/>
  <c r="DK163" i="1"/>
  <c r="DK164" i="1"/>
  <c r="DK165" i="1"/>
  <c r="DK166" i="1"/>
  <c r="DK167" i="1"/>
  <c r="DK168" i="1"/>
  <c r="DK169" i="1"/>
  <c r="DK170" i="1"/>
  <c r="DK171" i="1"/>
  <c r="DK172" i="1"/>
  <c r="DK173" i="1"/>
  <c r="DK174" i="1"/>
  <c r="DK175" i="1"/>
  <c r="DK176" i="1"/>
  <c r="DK177" i="1"/>
  <c r="DK178" i="1"/>
  <c r="DK179" i="1"/>
  <c r="DK180" i="1"/>
  <c r="DK181" i="1"/>
  <c r="DK182" i="1"/>
  <c r="DK183" i="1"/>
  <c r="DK184" i="1"/>
  <c r="DK185" i="1"/>
  <c r="DK186" i="1"/>
  <c r="DK187" i="1"/>
  <c r="DK188" i="1"/>
  <c r="DK189" i="1"/>
  <c r="DK190" i="1"/>
  <c r="DK191" i="1"/>
  <c r="DK192" i="1"/>
  <c r="DK193" i="1"/>
  <c r="DK194" i="1"/>
  <c r="DK195" i="1"/>
  <c r="DK196" i="1"/>
  <c r="DK197" i="1"/>
  <c r="DK198" i="1"/>
  <c r="DK199" i="1"/>
  <c r="DK200" i="1"/>
  <c r="DK201" i="1"/>
  <c r="DK202" i="1"/>
  <c r="DK203" i="1"/>
  <c r="DK204" i="1"/>
  <c r="DK205" i="1"/>
  <c r="DK206" i="1"/>
  <c r="DK207" i="1"/>
  <c r="DK208" i="1"/>
  <c r="DK209" i="1"/>
  <c r="DK210" i="1"/>
  <c r="DK211" i="1"/>
  <c r="DK212" i="1"/>
  <c r="DK213" i="1"/>
  <c r="DK214" i="1"/>
  <c r="DK215" i="1"/>
  <c r="DK216" i="1"/>
  <c r="DK217" i="1"/>
  <c r="DK218" i="1"/>
  <c r="DK219" i="1"/>
  <c r="DK220" i="1"/>
  <c r="DK221" i="1"/>
  <c r="DK222" i="1"/>
  <c r="DK223" i="1"/>
  <c r="DK224" i="1"/>
  <c r="DK225" i="1"/>
  <c r="DK226" i="1"/>
  <c r="DK227" i="1"/>
  <c r="DK228" i="1"/>
  <c r="DK229" i="1"/>
  <c r="DK230" i="1"/>
  <c r="DK231" i="1"/>
  <c r="DK232" i="1"/>
  <c r="DK233" i="1"/>
  <c r="DK234" i="1"/>
  <c r="DK235" i="1"/>
  <c r="DK236" i="1"/>
  <c r="DK237" i="1"/>
  <c r="DK238" i="1"/>
  <c r="DK239" i="1"/>
  <c r="DK240" i="1"/>
  <c r="DK241" i="1"/>
  <c r="DK242" i="1"/>
  <c r="DK243" i="1"/>
  <c r="DK244" i="1"/>
  <c r="DK245" i="1"/>
  <c r="DK246" i="1"/>
  <c r="DK247" i="1"/>
  <c r="DK248" i="1"/>
  <c r="DK249" i="1"/>
  <c r="DK250" i="1"/>
  <c r="DK251" i="1"/>
  <c r="DK252" i="1"/>
  <c r="DK253" i="1"/>
  <c r="DK254" i="1"/>
  <c r="DK255" i="1"/>
  <c r="DK256" i="1"/>
  <c r="DK257" i="1"/>
  <c r="DK258" i="1"/>
  <c r="DK259" i="1"/>
  <c r="DK260" i="1"/>
  <c r="DK261" i="1"/>
  <c r="DK262" i="1"/>
  <c r="DK263" i="1"/>
  <c r="DK264" i="1"/>
  <c r="DK265" i="1"/>
  <c r="DK266" i="1"/>
  <c r="DK267" i="1"/>
  <c r="DK268" i="1"/>
  <c r="DK269" i="1"/>
  <c r="DK270" i="1"/>
  <c r="DL137" i="1"/>
  <c r="DL138" i="1"/>
  <c r="DL139" i="1"/>
  <c r="DL140" i="1"/>
  <c r="DL141" i="1"/>
  <c r="DL142" i="1"/>
  <c r="DL143" i="1"/>
  <c r="DL144" i="1"/>
  <c r="DL145" i="1"/>
  <c r="DL146" i="1"/>
  <c r="DL147" i="1"/>
  <c r="DL148" i="1"/>
  <c r="DL149" i="1"/>
  <c r="DL150" i="1"/>
  <c r="DL151" i="1"/>
  <c r="DL152" i="1"/>
  <c r="DL153" i="1"/>
  <c r="DL154" i="1"/>
  <c r="DL155" i="1"/>
  <c r="DL156" i="1"/>
  <c r="DL157" i="1"/>
  <c r="DL158" i="1"/>
  <c r="DL159" i="1"/>
  <c r="DL160" i="1"/>
  <c r="DL161" i="1"/>
  <c r="DL162" i="1"/>
  <c r="DL163" i="1"/>
  <c r="DL164" i="1"/>
  <c r="DL165" i="1"/>
  <c r="DL166" i="1"/>
  <c r="DL167" i="1"/>
  <c r="DL168" i="1"/>
  <c r="DL169" i="1"/>
  <c r="DL170" i="1"/>
  <c r="DL171" i="1"/>
  <c r="DL172" i="1"/>
  <c r="DL173" i="1"/>
  <c r="DL174" i="1"/>
  <c r="DL175" i="1"/>
  <c r="DL176" i="1"/>
  <c r="DL177" i="1"/>
  <c r="DL178" i="1"/>
  <c r="DL179" i="1"/>
  <c r="DL180" i="1"/>
  <c r="DL181" i="1"/>
  <c r="DL182" i="1"/>
  <c r="DL183" i="1"/>
  <c r="DL184" i="1"/>
  <c r="DL185" i="1"/>
  <c r="DL186" i="1"/>
  <c r="DL187" i="1"/>
  <c r="DL188" i="1"/>
  <c r="DL189" i="1"/>
  <c r="DL190" i="1"/>
  <c r="DL191" i="1"/>
  <c r="DL192" i="1"/>
  <c r="DL193" i="1"/>
  <c r="DL194" i="1"/>
  <c r="DL195" i="1"/>
  <c r="DL196" i="1"/>
  <c r="DL197" i="1"/>
  <c r="DL198" i="1"/>
  <c r="DL199" i="1"/>
  <c r="DL200" i="1"/>
  <c r="DL201" i="1"/>
  <c r="DL202" i="1"/>
  <c r="DL203" i="1"/>
  <c r="DL204" i="1"/>
  <c r="DL205" i="1"/>
  <c r="DL206" i="1"/>
  <c r="DL207" i="1"/>
  <c r="DL208" i="1"/>
  <c r="DL209" i="1"/>
  <c r="DL210" i="1"/>
  <c r="DL211" i="1"/>
  <c r="DL212" i="1"/>
  <c r="DL213" i="1"/>
  <c r="DL214" i="1"/>
  <c r="DL215" i="1"/>
  <c r="DL216" i="1"/>
  <c r="DL217" i="1"/>
  <c r="DL218" i="1"/>
  <c r="DL219" i="1"/>
  <c r="DL220" i="1"/>
  <c r="DL221" i="1"/>
  <c r="DL222" i="1"/>
  <c r="DL223" i="1"/>
  <c r="DL224" i="1"/>
  <c r="DL225" i="1"/>
  <c r="DL226" i="1"/>
  <c r="DL227" i="1"/>
  <c r="DL228" i="1"/>
  <c r="DL229" i="1"/>
  <c r="DL230" i="1"/>
  <c r="DL231" i="1"/>
  <c r="DL232" i="1"/>
  <c r="DL233" i="1"/>
  <c r="DL234" i="1"/>
  <c r="DL235" i="1"/>
  <c r="DL236" i="1"/>
  <c r="DL237" i="1"/>
  <c r="DL238" i="1"/>
  <c r="DL239" i="1"/>
  <c r="DL240" i="1"/>
  <c r="DL241" i="1"/>
  <c r="DL242" i="1"/>
  <c r="DL243" i="1"/>
  <c r="DL244" i="1"/>
  <c r="DL245" i="1"/>
  <c r="DL246" i="1"/>
  <c r="DL247" i="1"/>
  <c r="DL248" i="1"/>
  <c r="DL249" i="1"/>
  <c r="DL250" i="1"/>
  <c r="DL251" i="1"/>
  <c r="DL252" i="1"/>
  <c r="DL253" i="1"/>
  <c r="DL254" i="1"/>
  <c r="DL255" i="1"/>
  <c r="DL256" i="1"/>
  <c r="DL257" i="1"/>
  <c r="DL258" i="1"/>
  <c r="DL259" i="1"/>
  <c r="DL260" i="1"/>
  <c r="DL261" i="1"/>
  <c r="DL262" i="1"/>
  <c r="DL263" i="1"/>
  <c r="DL264" i="1"/>
  <c r="DL265" i="1"/>
  <c r="DL266" i="1"/>
  <c r="DL267" i="1"/>
  <c r="DL268" i="1"/>
  <c r="DL269" i="1"/>
  <c r="DL270" i="1"/>
  <c r="DM137" i="1"/>
  <c r="DM138" i="1"/>
  <c r="DM139" i="1"/>
  <c r="DM140" i="1"/>
  <c r="DM141" i="1"/>
  <c r="DM142" i="1"/>
  <c r="DM143" i="1"/>
  <c r="DM144" i="1"/>
  <c r="DM145" i="1"/>
  <c r="DM146" i="1"/>
  <c r="DM147" i="1"/>
  <c r="DM148" i="1"/>
  <c r="DM149" i="1"/>
  <c r="DM150" i="1"/>
  <c r="DM151" i="1"/>
  <c r="DM152" i="1"/>
  <c r="DM153" i="1"/>
  <c r="DM154" i="1"/>
  <c r="DM155" i="1"/>
  <c r="DM156" i="1"/>
  <c r="DM157" i="1"/>
  <c r="DM158" i="1"/>
  <c r="DM159" i="1"/>
  <c r="DM160" i="1"/>
  <c r="DM161" i="1"/>
  <c r="DM162" i="1"/>
  <c r="DM163" i="1"/>
  <c r="DM164" i="1"/>
  <c r="DM165" i="1"/>
  <c r="DM166" i="1"/>
  <c r="DM167" i="1"/>
  <c r="DM168" i="1"/>
  <c r="DM169" i="1"/>
  <c r="DM170" i="1"/>
  <c r="DM171" i="1"/>
  <c r="DM172" i="1"/>
  <c r="DM173" i="1"/>
  <c r="DM174" i="1"/>
  <c r="DM175" i="1"/>
  <c r="DM176" i="1"/>
  <c r="DM177" i="1"/>
  <c r="DM178" i="1"/>
  <c r="DM179" i="1"/>
  <c r="DM180" i="1"/>
  <c r="DM181" i="1"/>
  <c r="DM182" i="1"/>
  <c r="DM183" i="1"/>
  <c r="DM184" i="1"/>
  <c r="DM185" i="1"/>
  <c r="DM186" i="1"/>
  <c r="DM187" i="1"/>
  <c r="DM188" i="1"/>
  <c r="DM189" i="1"/>
  <c r="DM190" i="1"/>
  <c r="DM191" i="1"/>
  <c r="DM192" i="1"/>
  <c r="DM193" i="1"/>
  <c r="DM194" i="1"/>
  <c r="DM195" i="1"/>
  <c r="DM196" i="1"/>
  <c r="DM197" i="1"/>
  <c r="DM198" i="1"/>
  <c r="DM199" i="1"/>
  <c r="DM200" i="1"/>
  <c r="DM201" i="1"/>
  <c r="DM202" i="1"/>
  <c r="DM203" i="1"/>
  <c r="DM204" i="1"/>
  <c r="DM205" i="1"/>
  <c r="DM206" i="1"/>
  <c r="DM207" i="1"/>
  <c r="DM208" i="1"/>
  <c r="DM209" i="1"/>
  <c r="DM210" i="1"/>
  <c r="DM211" i="1"/>
  <c r="DM212" i="1"/>
  <c r="DM213" i="1"/>
  <c r="DM214" i="1"/>
  <c r="DM215" i="1"/>
  <c r="DM216" i="1"/>
  <c r="DM217" i="1"/>
  <c r="DM218" i="1"/>
  <c r="DM219" i="1"/>
  <c r="DM220" i="1"/>
  <c r="DM221" i="1"/>
  <c r="DM222" i="1"/>
  <c r="DM223" i="1"/>
  <c r="DM224" i="1"/>
  <c r="DM225" i="1"/>
  <c r="DM226" i="1"/>
  <c r="DM227" i="1"/>
  <c r="DM228" i="1"/>
  <c r="DM229" i="1"/>
  <c r="DM230" i="1"/>
  <c r="DM231" i="1"/>
  <c r="DM232" i="1"/>
  <c r="DM233" i="1"/>
  <c r="DM234" i="1"/>
  <c r="DM235" i="1"/>
  <c r="DM236" i="1"/>
  <c r="DM237" i="1"/>
  <c r="DM238" i="1"/>
  <c r="DM239" i="1"/>
  <c r="DM240" i="1"/>
  <c r="DM241" i="1"/>
  <c r="DM242" i="1"/>
  <c r="DM243" i="1"/>
  <c r="DM244" i="1"/>
  <c r="DM245" i="1"/>
  <c r="DM246" i="1"/>
  <c r="DM247" i="1"/>
  <c r="DM248" i="1"/>
  <c r="DM249" i="1"/>
  <c r="DM250" i="1"/>
  <c r="DM251" i="1"/>
  <c r="DM252" i="1"/>
  <c r="DM253" i="1"/>
  <c r="DM254" i="1"/>
  <c r="DM255" i="1"/>
  <c r="DM256" i="1"/>
  <c r="DM257" i="1"/>
  <c r="DM258" i="1"/>
  <c r="DM259" i="1"/>
  <c r="DM260" i="1"/>
  <c r="DM261" i="1"/>
  <c r="DM262" i="1"/>
  <c r="DM263" i="1"/>
  <c r="DM264" i="1"/>
  <c r="DM265" i="1"/>
  <c r="DM266" i="1"/>
  <c r="DM267" i="1"/>
  <c r="DM268" i="1"/>
  <c r="DM269" i="1"/>
  <c r="DM270" i="1"/>
  <c r="DN137" i="1"/>
  <c r="DN138" i="1"/>
  <c r="DN139" i="1"/>
  <c r="DN140" i="1"/>
  <c r="DN141" i="1"/>
  <c r="DN142" i="1"/>
  <c r="DN143" i="1"/>
  <c r="DN144" i="1"/>
  <c r="DN145" i="1"/>
  <c r="DN146" i="1"/>
  <c r="DN147" i="1"/>
  <c r="DN148" i="1"/>
  <c r="DN149" i="1"/>
  <c r="DN150" i="1"/>
  <c r="DN151" i="1"/>
  <c r="DN152" i="1"/>
  <c r="DN153" i="1"/>
  <c r="DN154" i="1"/>
  <c r="DN155" i="1"/>
  <c r="DN156" i="1"/>
  <c r="DN157" i="1"/>
  <c r="DN158" i="1"/>
  <c r="DN159" i="1"/>
  <c r="DN160" i="1"/>
  <c r="DN161" i="1"/>
  <c r="DN162" i="1"/>
  <c r="DN163" i="1"/>
  <c r="DN164" i="1"/>
  <c r="DN165" i="1"/>
  <c r="DN166" i="1"/>
  <c r="DN167" i="1"/>
  <c r="DN168" i="1"/>
  <c r="DN169" i="1"/>
  <c r="DN170" i="1"/>
  <c r="DN171" i="1"/>
  <c r="DN172" i="1"/>
  <c r="DN173" i="1"/>
  <c r="DN174" i="1"/>
  <c r="DN175" i="1"/>
  <c r="DN176" i="1"/>
  <c r="DN177" i="1"/>
  <c r="DN178" i="1"/>
  <c r="DN179" i="1"/>
  <c r="DN180" i="1"/>
  <c r="DN181" i="1"/>
  <c r="DN182" i="1"/>
  <c r="DN183" i="1"/>
  <c r="DN184" i="1"/>
  <c r="DN185" i="1"/>
  <c r="DN186" i="1"/>
  <c r="DN187" i="1"/>
  <c r="DN188" i="1"/>
  <c r="DN189" i="1"/>
  <c r="DN190" i="1"/>
  <c r="DN191" i="1"/>
  <c r="DN192" i="1"/>
  <c r="DN193" i="1"/>
  <c r="DN194" i="1"/>
  <c r="DN195" i="1"/>
  <c r="DN196" i="1"/>
  <c r="DN197" i="1"/>
  <c r="DN198" i="1"/>
  <c r="DN199" i="1"/>
  <c r="DN200" i="1"/>
  <c r="DN201" i="1"/>
  <c r="DN202" i="1"/>
  <c r="DN203" i="1"/>
  <c r="DN204" i="1"/>
  <c r="DN205" i="1"/>
  <c r="DN206" i="1"/>
  <c r="DN207" i="1"/>
  <c r="DN208" i="1"/>
  <c r="DN209" i="1"/>
  <c r="DN210" i="1"/>
  <c r="DN211" i="1"/>
  <c r="DN212" i="1"/>
  <c r="DN213" i="1"/>
  <c r="DN214" i="1"/>
  <c r="DN215" i="1"/>
  <c r="DN216" i="1"/>
  <c r="DN217" i="1"/>
  <c r="DN218" i="1"/>
  <c r="DN219" i="1"/>
  <c r="DN220" i="1"/>
  <c r="DN221" i="1"/>
  <c r="DN222" i="1"/>
  <c r="DN223" i="1"/>
  <c r="DN224" i="1"/>
  <c r="DN225" i="1"/>
  <c r="DN226" i="1"/>
  <c r="DN227" i="1"/>
  <c r="DN228" i="1"/>
  <c r="DN229" i="1"/>
  <c r="DN230" i="1"/>
  <c r="DN231" i="1"/>
  <c r="DN232" i="1"/>
  <c r="DN233" i="1"/>
  <c r="DN234" i="1"/>
  <c r="DN235" i="1"/>
  <c r="DN236" i="1"/>
  <c r="DN237" i="1"/>
  <c r="DN238" i="1"/>
  <c r="DN239" i="1"/>
  <c r="DN240" i="1"/>
  <c r="DN241" i="1"/>
  <c r="DN242" i="1"/>
  <c r="DN243" i="1"/>
  <c r="DN244" i="1"/>
  <c r="DN245" i="1"/>
  <c r="DN246" i="1"/>
  <c r="DN247" i="1"/>
  <c r="DN248" i="1"/>
  <c r="DN249" i="1"/>
  <c r="DN250" i="1"/>
  <c r="DN251" i="1"/>
  <c r="DN252" i="1"/>
  <c r="DN253" i="1"/>
  <c r="DN254" i="1"/>
  <c r="DN255" i="1"/>
  <c r="DN256" i="1"/>
  <c r="DN257" i="1"/>
  <c r="DN258" i="1"/>
  <c r="DN259" i="1"/>
  <c r="DN260" i="1"/>
  <c r="DN261" i="1"/>
  <c r="DN262" i="1"/>
  <c r="DN263" i="1"/>
  <c r="DN264" i="1"/>
  <c r="DN265" i="1"/>
  <c r="DN266" i="1"/>
  <c r="DN267" i="1"/>
  <c r="DN268" i="1"/>
  <c r="DN269" i="1"/>
  <c r="DN270" i="1"/>
  <c r="DP137" i="1"/>
  <c r="DP138" i="1"/>
  <c r="DP139" i="1"/>
  <c r="DP140" i="1"/>
  <c r="DP141" i="1"/>
  <c r="DP142" i="1"/>
  <c r="DP143" i="1"/>
  <c r="DP144" i="1"/>
  <c r="DP145" i="1"/>
  <c r="DP146" i="1"/>
  <c r="DP147" i="1"/>
  <c r="DP148" i="1"/>
  <c r="DP149" i="1"/>
  <c r="DP150" i="1"/>
  <c r="DP151" i="1"/>
  <c r="DP152" i="1"/>
  <c r="DP153" i="1"/>
  <c r="DP154" i="1"/>
  <c r="DP155" i="1"/>
  <c r="DP156" i="1"/>
  <c r="DP157" i="1"/>
  <c r="DP158" i="1"/>
  <c r="DP159" i="1"/>
  <c r="DP160" i="1"/>
  <c r="DP161" i="1"/>
  <c r="DP162" i="1"/>
  <c r="DP163" i="1"/>
  <c r="DP164" i="1"/>
  <c r="DP165" i="1"/>
  <c r="DP166" i="1"/>
  <c r="DP167" i="1"/>
  <c r="DP168" i="1"/>
  <c r="DP169" i="1"/>
  <c r="DP170" i="1"/>
  <c r="DP171" i="1"/>
  <c r="DP172" i="1"/>
  <c r="DP173" i="1"/>
  <c r="DP174" i="1"/>
  <c r="DP175" i="1"/>
  <c r="DP176" i="1"/>
  <c r="DP177" i="1"/>
  <c r="DP178" i="1"/>
  <c r="DP179" i="1"/>
  <c r="DP180" i="1"/>
  <c r="DP181" i="1"/>
  <c r="DP182" i="1"/>
  <c r="DP183" i="1"/>
  <c r="DP184" i="1"/>
  <c r="DP185" i="1"/>
  <c r="DP186" i="1"/>
  <c r="DP187" i="1"/>
  <c r="DP188" i="1"/>
  <c r="DP189" i="1"/>
  <c r="DP190" i="1"/>
  <c r="DP191" i="1"/>
  <c r="DP192" i="1"/>
  <c r="DP193" i="1"/>
  <c r="DP194" i="1"/>
  <c r="DP195" i="1"/>
  <c r="DP196" i="1"/>
  <c r="DP197" i="1"/>
  <c r="DP198" i="1"/>
  <c r="DP199" i="1"/>
  <c r="DP200" i="1"/>
  <c r="DP201" i="1"/>
  <c r="DP202" i="1"/>
  <c r="DP203" i="1"/>
  <c r="DP204" i="1"/>
  <c r="DP205" i="1"/>
  <c r="DP206" i="1"/>
  <c r="DP207" i="1"/>
  <c r="DP208" i="1"/>
  <c r="DP209" i="1"/>
  <c r="DP210" i="1"/>
  <c r="DP211" i="1"/>
  <c r="DP212" i="1"/>
  <c r="DP213" i="1"/>
  <c r="DP214" i="1"/>
  <c r="DP215" i="1"/>
  <c r="DP216" i="1"/>
  <c r="DP217" i="1"/>
  <c r="DP218" i="1"/>
  <c r="DP219" i="1"/>
  <c r="DP220" i="1"/>
  <c r="DP221" i="1"/>
  <c r="DP222" i="1"/>
  <c r="DP223" i="1"/>
  <c r="DP224" i="1"/>
  <c r="DP225" i="1"/>
  <c r="DP226" i="1"/>
  <c r="DP227" i="1"/>
  <c r="DP228" i="1"/>
  <c r="DP229" i="1"/>
  <c r="DP230" i="1"/>
  <c r="DP231" i="1"/>
  <c r="DP232" i="1"/>
  <c r="DP233" i="1"/>
  <c r="DP234" i="1"/>
  <c r="DP235" i="1"/>
  <c r="DP236" i="1"/>
  <c r="DP237" i="1"/>
  <c r="DP238" i="1"/>
  <c r="DP239" i="1"/>
  <c r="DP240" i="1"/>
  <c r="DP241" i="1"/>
  <c r="DP242" i="1"/>
  <c r="DP243" i="1"/>
  <c r="DP244" i="1"/>
  <c r="DP245" i="1"/>
  <c r="DP246" i="1"/>
  <c r="DP247" i="1"/>
  <c r="DP248" i="1"/>
  <c r="DP249" i="1"/>
  <c r="DP250" i="1"/>
  <c r="DP251" i="1"/>
  <c r="DP252" i="1"/>
  <c r="DP253" i="1"/>
  <c r="DP254" i="1"/>
  <c r="DP255" i="1"/>
  <c r="DP256" i="1"/>
  <c r="DP257" i="1"/>
  <c r="DP258" i="1"/>
  <c r="DP259" i="1"/>
  <c r="DP260" i="1"/>
  <c r="DP261" i="1"/>
  <c r="DP262" i="1"/>
  <c r="DP263" i="1"/>
  <c r="DP264" i="1"/>
  <c r="DP265" i="1"/>
  <c r="DP266" i="1"/>
  <c r="DP267" i="1"/>
  <c r="DP268" i="1"/>
  <c r="DP269" i="1"/>
  <c r="DP270" i="1"/>
  <c r="DR137" i="1"/>
  <c r="DR138" i="1"/>
  <c r="DR139" i="1"/>
  <c r="DR140" i="1"/>
  <c r="DR141" i="1"/>
  <c r="DR142" i="1"/>
  <c r="DR143" i="1"/>
  <c r="DR144" i="1"/>
  <c r="DR145" i="1"/>
  <c r="DR146" i="1"/>
  <c r="DR147" i="1"/>
  <c r="DR148" i="1"/>
  <c r="DR149" i="1"/>
  <c r="DR150" i="1"/>
  <c r="DR151" i="1"/>
  <c r="DR152" i="1"/>
  <c r="DR153" i="1"/>
  <c r="DR154" i="1"/>
  <c r="DR155" i="1"/>
  <c r="DR156" i="1"/>
  <c r="DR157" i="1"/>
  <c r="DR158" i="1"/>
  <c r="DR159" i="1"/>
  <c r="DR160" i="1"/>
  <c r="DR161" i="1"/>
  <c r="DR162" i="1"/>
  <c r="DR163" i="1"/>
  <c r="DR164" i="1"/>
  <c r="DR165" i="1"/>
  <c r="DR166" i="1"/>
  <c r="DR167" i="1"/>
  <c r="DR168" i="1"/>
  <c r="DR169" i="1"/>
  <c r="DR170" i="1"/>
  <c r="DR171" i="1"/>
  <c r="DR172" i="1"/>
  <c r="DR173" i="1"/>
  <c r="DR174" i="1"/>
  <c r="DR175" i="1"/>
  <c r="DR176" i="1"/>
  <c r="DR177" i="1"/>
  <c r="DR178" i="1"/>
  <c r="DR179" i="1"/>
  <c r="DR180" i="1"/>
  <c r="DR181" i="1"/>
  <c r="DR182" i="1"/>
  <c r="DR183" i="1"/>
  <c r="DR184" i="1"/>
  <c r="DR185" i="1"/>
  <c r="DR186" i="1"/>
  <c r="DR187" i="1"/>
  <c r="DR188" i="1"/>
  <c r="DR189" i="1"/>
  <c r="DR190" i="1"/>
  <c r="DR191" i="1"/>
  <c r="DR192" i="1"/>
  <c r="DR193" i="1"/>
  <c r="DR194" i="1"/>
  <c r="DR195" i="1"/>
  <c r="DR196" i="1"/>
  <c r="DR197" i="1"/>
  <c r="DR198" i="1"/>
  <c r="DR199" i="1"/>
  <c r="DR200" i="1"/>
  <c r="DR201" i="1"/>
  <c r="DR202" i="1"/>
  <c r="DR203" i="1"/>
  <c r="DR204" i="1"/>
  <c r="DR205" i="1"/>
  <c r="DR206" i="1"/>
  <c r="DR207" i="1"/>
  <c r="DR208" i="1"/>
  <c r="DR209" i="1"/>
  <c r="DR210" i="1"/>
  <c r="DR211" i="1"/>
  <c r="DR212" i="1"/>
  <c r="DR213" i="1"/>
  <c r="DR214" i="1"/>
  <c r="DR215" i="1"/>
  <c r="DR216" i="1"/>
  <c r="DR217" i="1"/>
  <c r="DR218" i="1"/>
  <c r="DR219" i="1"/>
  <c r="DR220" i="1"/>
  <c r="DR221" i="1"/>
  <c r="DR222" i="1"/>
  <c r="DR223" i="1"/>
  <c r="DR224" i="1"/>
  <c r="DR225" i="1"/>
  <c r="DR226" i="1"/>
  <c r="DR227" i="1"/>
  <c r="DR228" i="1"/>
  <c r="DR229" i="1"/>
  <c r="DR230" i="1"/>
  <c r="DR231" i="1"/>
  <c r="DR232" i="1"/>
  <c r="DR233" i="1"/>
  <c r="DR234" i="1"/>
  <c r="DR235" i="1"/>
  <c r="DR236" i="1"/>
  <c r="DR237" i="1"/>
  <c r="DR238" i="1"/>
  <c r="DR239" i="1"/>
  <c r="DR240" i="1"/>
  <c r="DR241" i="1"/>
  <c r="DR242" i="1"/>
  <c r="DR243" i="1"/>
  <c r="DR244" i="1"/>
  <c r="DR245" i="1"/>
  <c r="DR246" i="1"/>
  <c r="DR247" i="1"/>
  <c r="DR248" i="1"/>
  <c r="DR249" i="1"/>
  <c r="DR250" i="1"/>
  <c r="DR251" i="1"/>
  <c r="DR252" i="1"/>
  <c r="DR253" i="1"/>
  <c r="DR254" i="1"/>
  <c r="DR255" i="1"/>
  <c r="DR256" i="1"/>
  <c r="DR257" i="1"/>
  <c r="DR258" i="1"/>
  <c r="DR259" i="1"/>
  <c r="DR260" i="1"/>
  <c r="DR261" i="1"/>
  <c r="DR262" i="1"/>
  <c r="DR263" i="1"/>
  <c r="DR264" i="1"/>
  <c r="DR265" i="1"/>
  <c r="DR266" i="1"/>
  <c r="DR267" i="1"/>
  <c r="DR268" i="1"/>
  <c r="DR269" i="1"/>
  <c r="DR270" i="1"/>
  <c r="B136" i="1"/>
  <c r="AA136" i="1"/>
  <c r="BX136" i="1"/>
  <c r="BY136" i="1"/>
  <c r="BZ136" i="1"/>
  <c r="CA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H136" i="1"/>
  <c r="DI136" i="1"/>
  <c r="DJ136" i="1"/>
  <c r="DK136" i="1"/>
  <c r="DL136" i="1"/>
  <c r="DM136" i="1"/>
  <c r="DN136" i="1"/>
  <c r="DP136" i="1"/>
  <c r="DR136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R119" i="1"/>
  <c r="CR120" i="1"/>
  <c r="CR121" i="1"/>
  <c r="CR122" i="1"/>
  <c r="CR123" i="1"/>
  <c r="CR124" i="1"/>
  <c r="CR125" i="1"/>
  <c r="CR126" i="1"/>
  <c r="CR127" i="1"/>
  <c r="CR128" i="1"/>
  <c r="CR129" i="1"/>
  <c r="CR130" i="1"/>
  <c r="CR131" i="1"/>
  <c r="CR132" i="1"/>
  <c r="CR133" i="1"/>
  <c r="CR134" i="1"/>
  <c r="CR135" i="1"/>
  <c r="CS119" i="1"/>
  <c r="CS120" i="1"/>
  <c r="CS121" i="1"/>
  <c r="CS122" i="1"/>
  <c r="CS123" i="1"/>
  <c r="CS124" i="1"/>
  <c r="CS125" i="1"/>
  <c r="CS126" i="1"/>
  <c r="CS127" i="1"/>
  <c r="CS128" i="1"/>
  <c r="CS129" i="1"/>
  <c r="CS130" i="1"/>
  <c r="CS131" i="1"/>
  <c r="CS132" i="1"/>
  <c r="CS133" i="1"/>
  <c r="CS134" i="1"/>
  <c r="CS135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U119" i="1"/>
  <c r="CU120" i="1"/>
  <c r="CU121" i="1"/>
  <c r="CU122" i="1"/>
  <c r="CU123" i="1"/>
  <c r="CU124" i="1"/>
  <c r="CU125" i="1"/>
  <c r="CU126" i="1"/>
  <c r="CU127" i="1"/>
  <c r="CU128" i="1"/>
  <c r="CU129" i="1"/>
  <c r="CU130" i="1"/>
  <c r="CU131" i="1"/>
  <c r="CU132" i="1"/>
  <c r="CU133" i="1"/>
  <c r="CU134" i="1"/>
  <c r="CU135" i="1"/>
  <c r="CV119" i="1"/>
  <c r="CV120" i="1"/>
  <c r="CV121" i="1"/>
  <c r="CV122" i="1"/>
  <c r="CV123" i="1"/>
  <c r="CV124" i="1"/>
  <c r="CV125" i="1"/>
  <c r="CV126" i="1"/>
  <c r="CV127" i="1"/>
  <c r="CV128" i="1"/>
  <c r="CV129" i="1"/>
  <c r="CV130" i="1"/>
  <c r="CV131" i="1"/>
  <c r="CV132" i="1"/>
  <c r="CV133" i="1"/>
  <c r="CV134" i="1"/>
  <c r="CV135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Z119" i="1"/>
  <c r="CZ120" i="1"/>
  <c r="CZ121" i="1"/>
  <c r="CZ122" i="1"/>
  <c r="CZ123" i="1"/>
  <c r="CZ124" i="1"/>
  <c r="CZ125" i="1"/>
  <c r="CZ126" i="1"/>
  <c r="CZ127" i="1"/>
  <c r="CZ128" i="1"/>
  <c r="CZ129" i="1"/>
  <c r="CZ130" i="1"/>
  <c r="CZ131" i="1"/>
  <c r="CZ132" i="1"/>
  <c r="CZ133" i="1"/>
  <c r="CZ134" i="1"/>
  <c r="CZ135" i="1"/>
  <c r="DA119" i="1"/>
  <c r="DA120" i="1"/>
  <c r="DA121" i="1"/>
  <c r="DA122" i="1"/>
  <c r="DA123" i="1"/>
  <c r="DA124" i="1"/>
  <c r="DA125" i="1"/>
  <c r="DA126" i="1"/>
  <c r="DA127" i="1"/>
  <c r="DA128" i="1"/>
  <c r="DA129" i="1"/>
  <c r="DA130" i="1"/>
  <c r="DA131" i="1"/>
  <c r="DA132" i="1"/>
  <c r="DA133" i="1"/>
  <c r="DA134" i="1"/>
  <c r="DA135" i="1"/>
  <c r="DB119" i="1"/>
  <c r="DB120" i="1"/>
  <c r="DB121" i="1"/>
  <c r="DB122" i="1"/>
  <c r="DB123" i="1"/>
  <c r="DB124" i="1"/>
  <c r="DB125" i="1"/>
  <c r="DB126" i="1"/>
  <c r="DB127" i="1"/>
  <c r="DB128" i="1"/>
  <c r="DB129" i="1"/>
  <c r="DB130" i="1"/>
  <c r="DB131" i="1"/>
  <c r="DB132" i="1"/>
  <c r="DB133" i="1"/>
  <c r="DB134" i="1"/>
  <c r="DB135" i="1"/>
  <c r="DC119" i="1"/>
  <c r="DC120" i="1"/>
  <c r="DC121" i="1"/>
  <c r="DC122" i="1"/>
  <c r="DC123" i="1"/>
  <c r="DC124" i="1"/>
  <c r="DC125" i="1"/>
  <c r="DC126" i="1"/>
  <c r="DC127" i="1"/>
  <c r="DC128" i="1"/>
  <c r="DC129" i="1"/>
  <c r="DC130" i="1"/>
  <c r="DC131" i="1"/>
  <c r="DC132" i="1"/>
  <c r="DC133" i="1"/>
  <c r="DC134" i="1"/>
  <c r="DC135" i="1"/>
  <c r="DD119" i="1"/>
  <c r="DD120" i="1"/>
  <c r="DD121" i="1"/>
  <c r="DD122" i="1"/>
  <c r="DD123" i="1"/>
  <c r="DD124" i="1"/>
  <c r="DD125" i="1"/>
  <c r="DD126" i="1"/>
  <c r="DD127" i="1"/>
  <c r="DD128" i="1"/>
  <c r="DD129" i="1"/>
  <c r="DD130" i="1"/>
  <c r="DD131" i="1"/>
  <c r="DD132" i="1"/>
  <c r="DD133" i="1"/>
  <c r="DD134" i="1"/>
  <c r="DD135" i="1"/>
  <c r="DE119" i="1"/>
  <c r="DE120" i="1"/>
  <c r="DE121" i="1"/>
  <c r="DE122" i="1"/>
  <c r="DE123" i="1"/>
  <c r="DE124" i="1"/>
  <c r="DE125" i="1"/>
  <c r="DE126" i="1"/>
  <c r="DE127" i="1"/>
  <c r="DE128" i="1"/>
  <c r="DE129" i="1"/>
  <c r="DE130" i="1"/>
  <c r="DE131" i="1"/>
  <c r="DE132" i="1"/>
  <c r="DE133" i="1"/>
  <c r="DE134" i="1"/>
  <c r="DE135" i="1"/>
  <c r="DF119" i="1"/>
  <c r="DF120" i="1"/>
  <c r="DF121" i="1"/>
  <c r="DF122" i="1"/>
  <c r="DF123" i="1"/>
  <c r="DF124" i="1"/>
  <c r="DF125" i="1"/>
  <c r="DF126" i="1"/>
  <c r="DF127" i="1"/>
  <c r="DF128" i="1"/>
  <c r="DF129" i="1"/>
  <c r="DF130" i="1"/>
  <c r="DF131" i="1"/>
  <c r="DF132" i="1"/>
  <c r="DF133" i="1"/>
  <c r="DF134" i="1"/>
  <c r="DF135" i="1"/>
  <c r="DH119" i="1"/>
  <c r="DH120" i="1"/>
  <c r="DH121" i="1"/>
  <c r="DH122" i="1"/>
  <c r="DH123" i="1"/>
  <c r="DH124" i="1"/>
  <c r="DH125" i="1"/>
  <c r="DH126" i="1"/>
  <c r="DH127" i="1"/>
  <c r="DH128" i="1"/>
  <c r="DH129" i="1"/>
  <c r="DH130" i="1"/>
  <c r="DH131" i="1"/>
  <c r="DH132" i="1"/>
  <c r="DH133" i="1"/>
  <c r="DH134" i="1"/>
  <c r="DH135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J119" i="1"/>
  <c r="DJ120" i="1"/>
  <c r="DJ121" i="1"/>
  <c r="DJ122" i="1"/>
  <c r="DJ123" i="1"/>
  <c r="DJ124" i="1"/>
  <c r="DJ125" i="1"/>
  <c r="DJ126" i="1"/>
  <c r="DJ127" i="1"/>
  <c r="DJ128" i="1"/>
  <c r="DJ129" i="1"/>
  <c r="DJ130" i="1"/>
  <c r="DJ131" i="1"/>
  <c r="DJ132" i="1"/>
  <c r="DJ133" i="1"/>
  <c r="DJ134" i="1"/>
  <c r="DJ135" i="1"/>
  <c r="DK119" i="1"/>
  <c r="DK120" i="1"/>
  <c r="DK121" i="1"/>
  <c r="DK122" i="1"/>
  <c r="DK123" i="1"/>
  <c r="DK124" i="1"/>
  <c r="DK125" i="1"/>
  <c r="DK126" i="1"/>
  <c r="DK127" i="1"/>
  <c r="DK128" i="1"/>
  <c r="DK129" i="1"/>
  <c r="DK130" i="1"/>
  <c r="DK131" i="1"/>
  <c r="DK132" i="1"/>
  <c r="DK133" i="1"/>
  <c r="DK134" i="1"/>
  <c r="DK135" i="1"/>
  <c r="DL119" i="1"/>
  <c r="DL120" i="1"/>
  <c r="DL121" i="1"/>
  <c r="DL122" i="1"/>
  <c r="DL123" i="1"/>
  <c r="DL124" i="1"/>
  <c r="DL125" i="1"/>
  <c r="DL126" i="1"/>
  <c r="DL127" i="1"/>
  <c r="DL128" i="1"/>
  <c r="DL129" i="1"/>
  <c r="DL130" i="1"/>
  <c r="DL131" i="1"/>
  <c r="DL132" i="1"/>
  <c r="DL133" i="1"/>
  <c r="DL134" i="1"/>
  <c r="DL135" i="1"/>
  <c r="DM119" i="1"/>
  <c r="DM120" i="1"/>
  <c r="DM121" i="1"/>
  <c r="DM122" i="1"/>
  <c r="DM123" i="1"/>
  <c r="DM124" i="1"/>
  <c r="DM125" i="1"/>
  <c r="DM126" i="1"/>
  <c r="DM127" i="1"/>
  <c r="DM128" i="1"/>
  <c r="DM129" i="1"/>
  <c r="DM130" i="1"/>
  <c r="DM131" i="1"/>
  <c r="DM132" i="1"/>
  <c r="DM133" i="1"/>
  <c r="DM134" i="1"/>
  <c r="DM135" i="1"/>
  <c r="DN119" i="1"/>
  <c r="DN120" i="1"/>
  <c r="DN121" i="1"/>
  <c r="DN122" i="1"/>
  <c r="DN123" i="1"/>
  <c r="DN124" i="1"/>
  <c r="DN125" i="1"/>
  <c r="DN126" i="1"/>
  <c r="DN127" i="1"/>
  <c r="DN128" i="1"/>
  <c r="DN129" i="1"/>
  <c r="DN130" i="1"/>
  <c r="DN131" i="1"/>
  <c r="DN132" i="1"/>
  <c r="DN133" i="1"/>
  <c r="DN134" i="1"/>
  <c r="DN135" i="1"/>
  <c r="DP119" i="1"/>
  <c r="DP120" i="1"/>
  <c r="DP121" i="1"/>
  <c r="DP122" i="1"/>
  <c r="DP123" i="1"/>
  <c r="DP124" i="1"/>
  <c r="DP125" i="1"/>
  <c r="DP126" i="1"/>
  <c r="DP127" i="1"/>
  <c r="DP128" i="1"/>
  <c r="DP129" i="1"/>
  <c r="DP130" i="1"/>
  <c r="DP131" i="1"/>
  <c r="DP132" i="1"/>
  <c r="DP133" i="1"/>
  <c r="DP134" i="1"/>
  <c r="DP135" i="1"/>
  <c r="DR119" i="1"/>
  <c r="DR120" i="1"/>
  <c r="DR121" i="1"/>
  <c r="DR122" i="1"/>
  <c r="DR123" i="1"/>
  <c r="DR124" i="1"/>
  <c r="DR125" i="1"/>
  <c r="DR126" i="1"/>
  <c r="DR127" i="1"/>
  <c r="DR128" i="1"/>
  <c r="DR129" i="1"/>
  <c r="DR130" i="1"/>
  <c r="DR131" i="1"/>
  <c r="DR132" i="1"/>
  <c r="DR133" i="1"/>
  <c r="DR134" i="1"/>
  <c r="DR135" i="1"/>
  <c r="B118" i="1"/>
  <c r="AA118" i="1"/>
  <c r="BX118" i="1"/>
  <c r="BY118" i="1"/>
  <c r="BZ118" i="1"/>
  <c r="CA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H118" i="1"/>
  <c r="DI118" i="1"/>
  <c r="DJ118" i="1"/>
  <c r="DK118" i="1"/>
  <c r="DL118" i="1"/>
  <c r="DM118" i="1"/>
  <c r="DN118" i="1"/>
  <c r="DP118" i="1"/>
  <c r="DR118" i="1"/>
  <c r="B113" i="1"/>
  <c r="B114" i="1"/>
  <c r="B115" i="1"/>
  <c r="B116" i="1"/>
  <c r="B117" i="1"/>
  <c r="AA113" i="1"/>
  <c r="AA114" i="1"/>
  <c r="AA115" i="1"/>
  <c r="AA116" i="1"/>
  <c r="AA117" i="1"/>
  <c r="BX113" i="1"/>
  <c r="BX114" i="1"/>
  <c r="BX115" i="1"/>
  <c r="BX116" i="1"/>
  <c r="BX117" i="1"/>
  <c r="BY113" i="1"/>
  <c r="BY114" i="1"/>
  <c r="BY115" i="1"/>
  <c r="BY116" i="1"/>
  <c r="BY117" i="1"/>
  <c r="BZ113" i="1"/>
  <c r="BZ114" i="1"/>
  <c r="BZ115" i="1"/>
  <c r="BZ116" i="1"/>
  <c r="BZ117" i="1"/>
  <c r="CA113" i="1"/>
  <c r="CA114" i="1"/>
  <c r="CA115" i="1"/>
  <c r="CA116" i="1"/>
  <c r="CA117" i="1"/>
  <c r="CC113" i="1"/>
  <c r="CC114" i="1"/>
  <c r="CC115" i="1"/>
  <c r="CC116" i="1"/>
  <c r="CC117" i="1"/>
  <c r="CD113" i="1"/>
  <c r="CD114" i="1"/>
  <c r="CD115" i="1"/>
  <c r="CD116" i="1"/>
  <c r="CD117" i="1"/>
  <c r="CE113" i="1"/>
  <c r="CE114" i="1"/>
  <c r="CE115" i="1"/>
  <c r="CE116" i="1"/>
  <c r="CE117" i="1"/>
  <c r="CF113" i="1"/>
  <c r="CF114" i="1"/>
  <c r="CF115" i="1"/>
  <c r="CF116" i="1"/>
  <c r="CF117" i="1"/>
  <c r="CG113" i="1"/>
  <c r="CG114" i="1"/>
  <c r="CG115" i="1"/>
  <c r="CG116" i="1"/>
  <c r="CG117" i="1"/>
  <c r="CH113" i="1"/>
  <c r="CH114" i="1"/>
  <c r="CH115" i="1"/>
  <c r="CH116" i="1"/>
  <c r="CH117" i="1"/>
  <c r="CI113" i="1"/>
  <c r="CI114" i="1"/>
  <c r="CI115" i="1"/>
  <c r="CI116" i="1"/>
  <c r="CI117" i="1"/>
  <c r="CJ113" i="1"/>
  <c r="CJ114" i="1"/>
  <c r="CJ115" i="1"/>
  <c r="CJ116" i="1"/>
  <c r="CJ117" i="1"/>
  <c r="CK113" i="1"/>
  <c r="CK114" i="1"/>
  <c r="CK115" i="1"/>
  <c r="CK116" i="1"/>
  <c r="CK117" i="1"/>
  <c r="CL113" i="1"/>
  <c r="CL114" i="1"/>
  <c r="CL115" i="1"/>
  <c r="CL116" i="1"/>
  <c r="CL117" i="1"/>
  <c r="CM113" i="1"/>
  <c r="CM114" i="1"/>
  <c r="CM115" i="1"/>
  <c r="CM116" i="1"/>
  <c r="CM117" i="1"/>
  <c r="CN113" i="1"/>
  <c r="CN114" i="1"/>
  <c r="CN115" i="1"/>
  <c r="CN116" i="1"/>
  <c r="CN117" i="1"/>
  <c r="CO113" i="1"/>
  <c r="CO114" i="1"/>
  <c r="CO115" i="1"/>
  <c r="CO116" i="1"/>
  <c r="CO117" i="1"/>
  <c r="CP113" i="1"/>
  <c r="CP114" i="1"/>
  <c r="CP115" i="1"/>
  <c r="CP116" i="1"/>
  <c r="CP117" i="1"/>
  <c r="CQ113" i="1"/>
  <c r="CQ114" i="1"/>
  <c r="CQ115" i="1"/>
  <c r="CQ116" i="1"/>
  <c r="CQ117" i="1"/>
  <c r="CR113" i="1"/>
  <c r="CR114" i="1"/>
  <c r="CR115" i="1"/>
  <c r="CR116" i="1"/>
  <c r="CR117" i="1"/>
  <c r="CS113" i="1"/>
  <c r="CS114" i="1"/>
  <c r="CS115" i="1"/>
  <c r="CS116" i="1"/>
  <c r="CS117" i="1"/>
  <c r="CT113" i="1"/>
  <c r="CT114" i="1"/>
  <c r="CT115" i="1"/>
  <c r="CT116" i="1"/>
  <c r="CT117" i="1"/>
  <c r="CU113" i="1"/>
  <c r="CU114" i="1"/>
  <c r="CU115" i="1"/>
  <c r="CU116" i="1"/>
  <c r="CU117" i="1"/>
  <c r="CV113" i="1"/>
  <c r="CV114" i="1"/>
  <c r="CV115" i="1"/>
  <c r="CV116" i="1"/>
  <c r="CV117" i="1"/>
  <c r="CW113" i="1"/>
  <c r="CW114" i="1"/>
  <c r="CW115" i="1"/>
  <c r="CW116" i="1"/>
  <c r="CW117" i="1"/>
  <c r="CX113" i="1"/>
  <c r="CX114" i="1"/>
  <c r="CX115" i="1"/>
  <c r="CX116" i="1"/>
  <c r="CX117" i="1"/>
  <c r="CY113" i="1"/>
  <c r="CY114" i="1"/>
  <c r="CY115" i="1"/>
  <c r="CY116" i="1"/>
  <c r="CY117" i="1"/>
  <c r="CZ113" i="1"/>
  <c r="CZ114" i="1"/>
  <c r="CZ115" i="1"/>
  <c r="CZ116" i="1"/>
  <c r="CZ117" i="1"/>
  <c r="DA113" i="1"/>
  <c r="DA114" i="1"/>
  <c r="DA115" i="1"/>
  <c r="DA116" i="1"/>
  <c r="DA117" i="1"/>
  <c r="DB113" i="1"/>
  <c r="DB114" i="1"/>
  <c r="DB115" i="1"/>
  <c r="DB116" i="1"/>
  <c r="DB117" i="1"/>
  <c r="DC113" i="1"/>
  <c r="DC114" i="1"/>
  <c r="DC115" i="1"/>
  <c r="DC116" i="1"/>
  <c r="DC117" i="1"/>
  <c r="DD113" i="1"/>
  <c r="DD114" i="1"/>
  <c r="DD115" i="1"/>
  <c r="DD116" i="1"/>
  <c r="DD117" i="1"/>
  <c r="DE113" i="1"/>
  <c r="DE114" i="1"/>
  <c r="DE115" i="1"/>
  <c r="DE116" i="1"/>
  <c r="DE117" i="1"/>
  <c r="DF113" i="1"/>
  <c r="DF114" i="1"/>
  <c r="DF115" i="1"/>
  <c r="DF116" i="1"/>
  <c r="DF117" i="1"/>
  <c r="DH113" i="1"/>
  <c r="DH114" i="1"/>
  <c r="DH115" i="1"/>
  <c r="DH116" i="1"/>
  <c r="DH117" i="1"/>
  <c r="DI113" i="1"/>
  <c r="DI114" i="1"/>
  <c r="DI115" i="1"/>
  <c r="DI116" i="1"/>
  <c r="DI117" i="1"/>
  <c r="DJ113" i="1"/>
  <c r="DJ114" i="1"/>
  <c r="DJ115" i="1"/>
  <c r="DJ116" i="1"/>
  <c r="DJ117" i="1"/>
  <c r="DK113" i="1"/>
  <c r="DK114" i="1"/>
  <c r="DK115" i="1"/>
  <c r="DK116" i="1"/>
  <c r="DK117" i="1"/>
  <c r="DL113" i="1"/>
  <c r="DL114" i="1"/>
  <c r="DL115" i="1"/>
  <c r="DL116" i="1"/>
  <c r="DL117" i="1"/>
  <c r="DM113" i="1"/>
  <c r="DM114" i="1"/>
  <c r="DM115" i="1"/>
  <c r="DM116" i="1"/>
  <c r="DM117" i="1"/>
  <c r="DN113" i="1"/>
  <c r="DN114" i="1"/>
  <c r="DN115" i="1"/>
  <c r="DN116" i="1"/>
  <c r="DN117" i="1"/>
  <c r="DP113" i="1"/>
  <c r="DP114" i="1"/>
  <c r="DP115" i="1"/>
  <c r="DP116" i="1"/>
  <c r="DP117" i="1"/>
  <c r="DR113" i="1"/>
  <c r="DR114" i="1"/>
  <c r="DR115" i="1"/>
  <c r="DR116" i="1"/>
  <c r="DR117" i="1"/>
  <c r="B112" i="1"/>
  <c r="AA112" i="1"/>
  <c r="BX112" i="1"/>
  <c r="BY112" i="1"/>
  <c r="BZ112" i="1"/>
  <c r="CA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H112" i="1"/>
  <c r="DI112" i="1"/>
  <c r="DJ112" i="1"/>
  <c r="DK112" i="1"/>
  <c r="DL112" i="1"/>
  <c r="DM112" i="1"/>
  <c r="DN112" i="1"/>
  <c r="DP112" i="1"/>
  <c r="DR112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L106" i="1"/>
  <c r="CL107" i="1"/>
  <c r="CL108" i="1"/>
  <c r="CL109" i="1"/>
  <c r="CL110" i="1"/>
  <c r="CL111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M106" i="1"/>
  <c r="CM107" i="1"/>
  <c r="CM108" i="1"/>
  <c r="CM109" i="1"/>
  <c r="CM110" i="1"/>
  <c r="CM111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CR110" i="1"/>
  <c r="CR111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102" i="1"/>
  <c r="CS103" i="1"/>
  <c r="CS104" i="1"/>
  <c r="CS105" i="1"/>
  <c r="CS106" i="1"/>
  <c r="CS107" i="1"/>
  <c r="CS108" i="1"/>
  <c r="CS109" i="1"/>
  <c r="CS110" i="1"/>
  <c r="CS111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85" i="1"/>
  <c r="CU86" i="1"/>
  <c r="CU87" i="1"/>
  <c r="CU88" i="1"/>
  <c r="CU89" i="1"/>
  <c r="CU90" i="1"/>
  <c r="CU91" i="1"/>
  <c r="CU92" i="1"/>
  <c r="CU93" i="1"/>
  <c r="CU94" i="1"/>
  <c r="CU95" i="1"/>
  <c r="CU96" i="1"/>
  <c r="CU97" i="1"/>
  <c r="CU98" i="1"/>
  <c r="CU99" i="1"/>
  <c r="CU100" i="1"/>
  <c r="CU101" i="1"/>
  <c r="CU102" i="1"/>
  <c r="CU103" i="1"/>
  <c r="CU104" i="1"/>
  <c r="CU105" i="1"/>
  <c r="CU106" i="1"/>
  <c r="CU107" i="1"/>
  <c r="CU108" i="1"/>
  <c r="CU109" i="1"/>
  <c r="CU110" i="1"/>
  <c r="CU111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4" i="1"/>
  <c r="CV105" i="1"/>
  <c r="CV106" i="1"/>
  <c r="CV107" i="1"/>
  <c r="CV108" i="1"/>
  <c r="CV109" i="1"/>
  <c r="CV110" i="1"/>
  <c r="CV111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4" i="1"/>
  <c r="CZ35" i="1"/>
  <c r="CZ36" i="1"/>
  <c r="CZ37" i="1"/>
  <c r="CZ38" i="1"/>
  <c r="CZ39" i="1"/>
  <c r="CZ40" i="1"/>
  <c r="CZ41" i="1"/>
  <c r="CZ42" i="1"/>
  <c r="CZ43" i="1"/>
  <c r="CZ44" i="1"/>
  <c r="CZ45" i="1"/>
  <c r="CZ46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62" i="1"/>
  <c r="CZ63" i="1"/>
  <c r="CZ64" i="1"/>
  <c r="CZ65" i="1"/>
  <c r="CZ66" i="1"/>
  <c r="CZ67" i="1"/>
  <c r="CZ68" i="1"/>
  <c r="CZ69" i="1"/>
  <c r="CZ70" i="1"/>
  <c r="CZ71" i="1"/>
  <c r="CZ72" i="1"/>
  <c r="CZ73" i="1"/>
  <c r="CZ74" i="1"/>
  <c r="CZ75" i="1"/>
  <c r="CZ76" i="1"/>
  <c r="CZ77" i="1"/>
  <c r="CZ78" i="1"/>
  <c r="CZ79" i="1"/>
  <c r="CZ80" i="1"/>
  <c r="CZ81" i="1"/>
  <c r="CZ82" i="1"/>
  <c r="CZ83" i="1"/>
  <c r="CZ84" i="1"/>
  <c r="CZ85" i="1"/>
  <c r="CZ86" i="1"/>
  <c r="CZ87" i="1"/>
  <c r="CZ88" i="1"/>
  <c r="CZ89" i="1"/>
  <c r="CZ90" i="1"/>
  <c r="CZ91" i="1"/>
  <c r="CZ92" i="1"/>
  <c r="CZ93" i="1"/>
  <c r="CZ94" i="1"/>
  <c r="CZ95" i="1"/>
  <c r="CZ96" i="1"/>
  <c r="CZ97" i="1"/>
  <c r="CZ98" i="1"/>
  <c r="CZ99" i="1"/>
  <c r="CZ100" i="1"/>
  <c r="CZ101" i="1"/>
  <c r="CZ102" i="1"/>
  <c r="CZ103" i="1"/>
  <c r="CZ104" i="1"/>
  <c r="CZ105" i="1"/>
  <c r="CZ106" i="1"/>
  <c r="CZ107" i="1"/>
  <c r="CZ108" i="1"/>
  <c r="CZ109" i="1"/>
  <c r="CZ110" i="1"/>
  <c r="CZ111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34" i="1"/>
  <c r="DA35" i="1"/>
  <c r="DA36" i="1"/>
  <c r="DA37" i="1"/>
  <c r="DA38" i="1"/>
  <c r="DA39" i="1"/>
  <c r="DA40" i="1"/>
  <c r="DA41" i="1"/>
  <c r="DA42" i="1"/>
  <c r="DA43" i="1"/>
  <c r="DA44" i="1"/>
  <c r="DA45" i="1"/>
  <c r="DA46" i="1"/>
  <c r="DA47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63" i="1"/>
  <c r="DA64" i="1"/>
  <c r="DA65" i="1"/>
  <c r="DA66" i="1"/>
  <c r="DA67" i="1"/>
  <c r="DA68" i="1"/>
  <c r="DA69" i="1"/>
  <c r="DA70" i="1"/>
  <c r="DA71" i="1"/>
  <c r="DA72" i="1"/>
  <c r="DA73" i="1"/>
  <c r="DA74" i="1"/>
  <c r="DA75" i="1"/>
  <c r="DA76" i="1"/>
  <c r="DA77" i="1"/>
  <c r="DA78" i="1"/>
  <c r="DA79" i="1"/>
  <c r="DA80" i="1"/>
  <c r="DA81" i="1"/>
  <c r="DA82" i="1"/>
  <c r="DA83" i="1"/>
  <c r="DA84" i="1"/>
  <c r="DA85" i="1"/>
  <c r="DA86" i="1"/>
  <c r="DA87" i="1"/>
  <c r="DA88" i="1"/>
  <c r="DA89" i="1"/>
  <c r="DA90" i="1"/>
  <c r="DA91" i="1"/>
  <c r="DA92" i="1"/>
  <c r="DA93" i="1"/>
  <c r="DA94" i="1"/>
  <c r="DA95" i="1"/>
  <c r="DA96" i="1"/>
  <c r="DA97" i="1"/>
  <c r="DA98" i="1"/>
  <c r="DA99" i="1"/>
  <c r="DA100" i="1"/>
  <c r="DA101" i="1"/>
  <c r="DA102" i="1"/>
  <c r="DA103" i="1"/>
  <c r="DA104" i="1"/>
  <c r="DA105" i="1"/>
  <c r="DA106" i="1"/>
  <c r="DA107" i="1"/>
  <c r="DA108" i="1"/>
  <c r="DA109" i="1"/>
  <c r="DA110" i="1"/>
  <c r="DA111" i="1"/>
  <c r="DB14" i="1"/>
  <c r="DB15" i="1"/>
  <c r="DB16" i="1"/>
  <c r="DB17" i="1"/>
  <c r="DB18" i="1"/>
  <c r="DB19" i="1"/>
  <c r="DB20" i="1"/>
  <c r="DB21" i="1"/>
  <c r="DB22" i="1"/>
  <c r="DB23" i="1"/>
  <c r="DB24" i="1"/>
  <c r="DB25" i="1"/>
  <c r="DB26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62" i="1"/>
  <c r="DB63" i="1"/>
  <c r="DB64" i="1"/>
  <c r="DB65" i="1"/>
  <c r="DB66" i="1"/>
  <c r="DB67" i="1"/>
  <c r="DB68" i="1"/>
  <c r="DB69" i="1"/>
  <c r="DB70" i="1"/>
  <c r="DB71" i="1"/>
  <c r="DB72" i="1"/>
  <c r="DB73" i="1"/>
  <c r="DB74" i="1"/>
  <c r="DB75" i="1"/>
  <c r="DB76" i="1"/>
  <c r="DB77" i="1"/>
  <c r="DB78" i="1"/>
  <c r="DB79" i="1"/>
  <c r="DB80" i="1"/>
  <c r="DB81" i="1"/>
  <c r="DB82" i="1"/>
  <c r="DB83" i="1"/>
  <c r="DB84" i="1"/>
  <c r="DB85" i="1"/>
  <c r="DB86" i="1"/>
  <c r="DB87" i="1"/>
  <c r="DB88" i="1"/>
  <c r="DB89" i="1"/>
  <c r="DB90" i="1"/>
  <c r="DB91" i="1"/>
  <c r="DB92" i="1"/>
  <c r="DB93" i="1"/>
  <c r="DB94" i="1"/>
  <c r="DB95" i="1"/>
  <c r="DB96" i="1"/>
  <c r="DB97" i="1"/>
  <c r="DB98" i="1"/>
  <c r="DB99" i="1"/>
  <c r="DB100" i="1"/>
  <c r="DB101" i="1"/>
  <c r="DB102" i="1"/>
  <c r="DB103" i="1"/>
  <c r="DB104" i="1"/>
  <c r="DB105" i="1"/>
  <c r="DB106" i="1"/>
  <c r="DB107" i="1"/>
  <c r="DB108" i="1"/>
  <c r="DB109" i="1"/>
  <c r="DB110" i="1"/>
  <c r="DB111" i="1"/>
  <c r="DC14" i="1"/>
  <c r="DC15" i="1"/>
  <c r="DC16" i="1"/>
  <c r="DC17" i="1"/>
  <c r="DC18" i="1"/>
  <c r="DC19" i="1"/>
  <c r="DC20" i="1"/>
  <c r="DC21" i="1"/>
  <c r="DC22" i="1"/>
  <c r="DC23" i="1"/>
  <c r="DC24" i="1"/>
  <c r="DC25" i="1"/>
  <c r="DC26" i="1"/>
  <c r="DC27" i="1"/>
  <c r="DC28" i="1"/>
  <c r="DC29" i="1"/>
  <c r="DC30" i="1"/>
  <c r="DC31" i="1"/>
  <c r="DC32" i="1"/>
  <c r="DC33" i="1"/>
  <c r="DC34" i="1"/>
  <c r="DC35" i="1"/>
  <c r="DC36" i="1"/>
  <c r="DC37" i="1"/>
  <c r="DC38" i="1"/>
  <c r="DC39" i="1"/>
  <c r="DC40" i="1"/>
  <c r="DC41" i="1"/>
  <c r="DC42" i="1"/>
  <c r="DC43" i="1"/>
  <c r="DC44" i="1"/>
  <c r="DC45" i="1"/>
  <c r="DC46" i="1"/>
  <c r="DC47" i="1"/>
  <c r="DC48" i="1"/>
  <c r="DC49" i="1"/>
  <c r="DC50" i="1"/>
  <c r="DC51" i="1"/>
  <c r="DC52" i="1"/>
  <c r="DC53" i="1"/>
  <c r="DC54" i="1"/>
  <c r="DC55" i="1"/>
  <c r="DC56" i="1"/>
  <c r="DC57" i="1"/>
  <c r="DC58" i="1"/>
  <c r="DC59" i="1"/>
  <c r="DC60" i="1"/>
  <c r="DC61" i="1"/>
  <c r="DC62" i="1"/>
  <c r="DC63" i="1"/>
  <c r="DC64" i="1"/>
  <c r="DC65" i="1"/>
  <c r="DC66" i="1"/>
  <c r="DC67" i="1"/>
  <c r="DC68" i="1"/>
  <c r="DC69" i="1"/>
  <c r="DC70" i="1"/>
  <c r="DC71" i="1"/>
  <c r="DC72" i="1"/>
  <c r="DC73" i="1"/>
  <c r="DC74" i="1"/>
  <c r="DC75" i="1"/>
  <c r="DC76" i="1"/>
  <c r="DC77" i="1"/>
  <c r="DC78" i="1"/>
  <c r="DC79" i="1"/>
  <c r="DC80" i="1"/>
  <c r="DC81" i="1"/>
  <c r="DC82" i="1"/>
  <c r="DC83" i="1"/>
  <c r="DC84" i="1"/>
  <c r="DC85" i="1"/>
  <c r="DC86" i="1"/>
  <c r="DC87" i="1"/>
  <c r="DC88" i="1"/>
  <c r="DC89" i="1"/>
  <c r="DC90" i="1"/>
  <c r="DC91" i="1"/>
  <c r="DC92" i="1"/>
  <c r="DC93" i="1"/>
  <c r="DC94" i="1"/>
  <c r="DC95" i="1"/>
  <c r="DC96" i="1"/>
  <c r="DC97" i="1"/>
  <c r="DC98" i="1"/>
  <c r="DC99" i="1"/>
  <c r="DC100" i="1"/>
  <c r="DC101" i="1"/>
  <c r="DC102" i="1"/>
  <c r="DC103" i="1"/>
  <c r="DC104" i="1"/>
  <c r="DC105" i="1"/>
  <c r="DC106" i="1"/>
  <c r="DC107" i="1"/>
  <c r="DC108" i="1"/>
  <c r="DC109" i="1"/>
  <c r="DC110" i="1"/>
  <c r="DC111" i="1"/>
  <c r="DD14" i="1"/>
  <c r="DD15" i="1"/>
  <c r="DD16" i="1"/>
  <c r="DD17" i="1"/>
  <c r="DD18" i="1"/>
  <c r="DD19" i="1"/>
  <c r="DD20" i="1"/>
  <c r="DD21" i="1"/>
  <c r="DD22" i="1"/>
  <c r="DD23" i="1"/>
  <c r="DD24" i="1"/>
  <c r="DD25" i="1"/>
  <c r="DD26" i="1"/>
  <c r="DD27" i="1"/>
  <c r="DD28" i="1"/>
  <c r="DD29" i="1"/>
  <c r="DD30" i="1"/>
  <c r="DD31" i="1"/>
  <c r="DD32" i="1"/>
  <c r="DD33" i="1"/>
  <c r="DD34" i="1"/>
  <c r="DD35" i="1"/>
  <c r="DD36" i="1"/>
  <c r="DD37" i="1"/>
  <c r="DD38" i="1"/>
  <c r="DD39" i="1"/>
  <c r="DD40" i="1"/>
  <c r="DD41" i="1"/>
  <c r="DD42" i="1"/>
  <c r="DD43" i="1"/>
  <c r="DD44" i="1"/>
  <c r="DD45" i="1"/>
  <c r="DD46" i="1"/>
  <c r="DD47" i="1"/>
  <c r="DD48" i="1"/>
  <c r="DD49" i="1"/>
  <c r="DD50" i="1"/>
  <c r="DD51" i="1"/>
  <c r="DD52" i="1"/>
  <c r="DD53" i="1"/>
  <c r="DD54" i="1"/>
  <c r="DD55" i="1"/>
  <c r="DD56" i="1"/>
  <c r="DD57" i="1"/>
  <c r="DD58" i="1"/>
  <c r="DD59" i="1"/>
  <c r="DD60" i="1"/>
  <c r="DD61" i="1"/>
  <c r="DD62" i="1"/>
  <c r="DD63" i="1"/>
  <c r="DD64" i="1"/>
  <c r="DD65" i="1"/>
  <c r="DD66" i="1"/>
  <c r="DD67" i="1"/>
  <c r="DD68" i="1"/>
  <c r="DD69" i="1"/>
  <c r="DD70" i="1"/>
  <c r="DD71" i="1"/>
  <c r="DD72" i="1"/>
  <c r="DD73" i="1"/>
  <c r="DD74" i="1"/>
  <c r="DD75" i="1"/>
  <c r="DD76" i="1"/>
  <c r="DD77" i="1"/>
  <c r="DD78" i="1"/>
  <c r="DD79" i="1"/>
  <c r="DD80" i="1"/>
  <c r="DD81" i="1"/>
  <c r="DD82" i="1"/>
  <c r="DD83" i="1"/>
  <c r="DD84" i="1"/>
  <c r="DD85" i="1"/>
  <c r="DD86" i="1"/>
  <c r="DD87" i="1"/>
  <c r="DD88" i="1"/>
  <c r="DD89" i="1"/>
  <c r="DD90" i="1"/>
  <c r="DD91" i="1"/>
  <c r="DD92" i="1"/>
  <c r="DD93" i="1"/>
  <c r="DD94" i="1"/>
  <c r="DD95" i="1"/>
  <c r="DD96" i="1"/>
  <c r="DD97" i="1"/>
  <c r="DD98" i="1"/>
  <c r="DD99" i="1"/>
  <c r="DD100" i="1"/>
  <c r="DD101" i="1"/>
  <c r="DD102" i="1"/>
  <c r="DD103" i="1"/>
  <c r="DD104" i="1"/>
  <c r="DD105" i="1"/>
  <c r="DD106" i="1"/>
  <c r="DD107" i="1"/>
  <c r="DD108" i="1"/>
  <c r="DD109" i="1"/>
  <c r="DD110" i="1"/>
  <c r="DD111" i="1"/>
  <c r="DE14" i="1"/>
  <c r="DE15" i="1"/>
  <c r="DE16" i="1"/>
  <c r="DE17" i="1"/>
  <c r="DE18" i="1"/>
  <c r="DE19" i="1"/>
  <c r="DE20" i="1"/>
  <c r="DE21" i="1"/>
  <c r="DE22" i="1"/>
  <c r="DE23" i="1"/>
  <c r="DE24" i="1"/>
  <c r="DE25" i="1"/>
  <c r="DE26" i="1"/>
  <c r="DE27" i="1"/>
  <c r="DE28" i="1"/>
  <c r="DE29" i="1"/>
  <c r="DE30" i="1"/>
  <c r="DE31" i="1"/>
  <c r="DE32" i="1"/>
  <c r="DE33" i="1"/>
  <c r="DE34" i="1"/>
  <c r="DE35" i="1"/>
  <c r="DE36" i="1"/>
  <c r="DE37" i="1"/>
  <c r="DE38" i="1"/>
  <c r="DE39" i="1"/>
  <c r="DE40" i="1"/>
  <c r="DE41" i="1"/>
  <c r="DE42" i="1"/>
  <c r="DE43" i="1"/>
  <c r="DE44" i="1"/>
  <c r="DE45" i="1"/>
  <c r="DE46" i="1"/>
  <c r="DE47" i="1"/>
  <c r="DE48" i="1"/>
  <c r="DE49" i="1"/>
  <c r="DE50" i="1"/>
  <c r="DE51" i="1"/>
  <c r="DE52" i="1"/>
  <c r="DE53" i="1"/>
  <c r="DE54" i="1"/>
  <c r="DE55" i="1"/>
  <c r="DE56" i="1"/>
  <c r="DE57" i="1"/>
  <c r="DE58" i="1"/>
  <c r="DE59" i="1"/>
  <c r="DE60" i="1"/>
  <c r="DE61" i="1"/>
  <c r="DE62" i="1"/>
  <c r="DE63" i="1"/>
  <c r="DE64" i="1"/>
  <c r="DE65" i="1"/>
  <c r="DE66" i="1"/>
  <c r="DE67" i="1"/>
  <c r="DE68" i="1"/>
  <c r="DE69" i="1"/>
  <c r="DE70" i="1"/>
  <c r="DE71" i="1"/>
  <c r="DE72" i="1"/>
  <c r="DE73" i="1"/>
  <c r="DE74" i="1"/>
  <c r="DE75" i="1"/>
  <c r="DE76" i="1"/>
  <c r="DE77" i="1"/>
  <c r="DE78" i="1"/>
  <c r="DE79" i="1"/>
  <c r="DE80" i="1"/>
  <c r="DE81" i="1"/>
  <c r="DE82" i="1"/>
  <c r="DE83" i="1"/>
  <c r="DE84" i="1"/>
  <c r="DE85" i="1"/>
  <c r="DE86" i="1"/>
  <c r="DE87" i="1"/>
  <c r="DE88" i="1"/>
  <c r="DE89" i="1"/>
  <c r="DE90" i="1"/>
  <c r="DE91" i="1"/>
  <c r="DE92" i="1"/>
  <c r="DE93" i="1"/>
  <c r="DE94" i="1"/>
  <c r="DE95" i="1"/>
  <c r="DE96" i="1"/>
  <c r="DE97" i="1"/>
  <c r="DE98" i="1"/>
  <c r="DE99" i="1"/>
  <c r="DE100" i="1"/>
  <c r="DE101" i="1"/>
  <c r="DE102" i="1"/>
  <c r="DE103" i="1"/>
  <c r="DE104" i="1"/>
  <c r="DE105" i="1"/>
  <c r="DE106" i="1"/>
  <c r="DE107" i="1"/>
  <c r="DE108" i="1"/>
  <c r="DE109" i="1"/>
  <c r="DE110" i="1"/>
  <c r="DE111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DF32" i="1"/>
  <c r="DF33" i="1"/>
  <c r="DF34" i="1"/>
  <c r="DF35" i="1"/>
  <c r="DF36" i="1"/>
  <c r="DF37" i="1"/>
  <c r="DF38" i="1"/>
  <c r="DF39" i="1"/>
  <c r="DF40" i="1"/>
  <c r="DF41" i="1"/>
  <c r="DF42" i="1"/>
  <c r="DF43" i="1"/>
  <c r="DF44" i="1"/>
  <c r="DF45" i="1"/>
  <c r="DF46" i="1"/>
  <c r="DF47" i="1"/>
  <c r="DF48" i="1"/>
  <c r="DF49" i="1"/>
  <c r="DF50" i="1"/>
  <c r="DF51" i="1"/>
  <c r="DF52" i="1"/>
  <c r="DF53" i="1"/>
  <c r="DF54" i="1"/>
  <c r="DF55" i="1"/>
  <c r="DF56" i="1"/>
  <c r="DF57" i="1"/>
  <c r="DF58" i="1"/>
  <c r="DF59" i="1"/>
  <c r="DF60" i="1"/>
  <c r="DF61" i="1"/>
  <c r="DF62" i="1"/>
  <c r="DF63" i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F79" i="1"/>
  <c r="DF80" i="1"/>
  <c r="DF81" i="1"/>
  <c r="DF82" i="1"/>
  <c r="DF83" i="1"/>
  <c r="DF84" i="1"/>
  <c r="DF85" i="1"/>
  <c r="DF86" i="1"/>
  <c r="DF87" i="1"/>
  <c r="DF88" i="1"/>
  <c r="DF89" i="1"/>
  <c r="DF90" i="1"/>
  <c r="DF91" i="1"/>
  <c r="DF92" i="1"/>
  <c r="DF93" i="1"/>
  <c r="DF94" i="1"/>
  <c r="DF95" i="1"/>
  <c r="DF96" i="1"/>
  <c r="DF97" i="1"/>
  <c r="DF98" i="1"/>
  <c r="DF99" i="1"/>
  <c r="DF100" i="1"/>
  <c r="DF101" i="1"/>
  <c r="DF102" i="1"/>
  <c r="DF103" i="1"/>
  <c r="DF104" i="1"/>
  <c r="DF105" i="1"/>
  <c r="DF106" i="1"/>
  <c r="DF107" i="1"/>
  <c r="DF108" i="1"/>
  <c r="DF109" i="1"/>
  <c r="DF110" i="1"/>
  <c r="DF111" i="1"/>
  <c r="DH14" i="1"/>
  <c r="DH15" i="1"/>
  <c r="DH16" i="1"/>
  <c r="DH17" i="1"/>
  <c r="DH18" i="1"/>
  <c r="DH19" i="1"/>
  <c r="DH20" i="1"/>
  <c r="DH21" i="1"/>
  <c r="DH22" i="1"/>
  <c r="DH23" i="1"/>
  <c r="DH24" i="1"/>
  <c r="DH25" i="1"/>
  <c r="DH26" i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0" i="1"/>
  <c r="DH41" i="1"/>
  <c r="DH42" i="1"/>
  <c r="DH43" i="1"/>
  <c r="DH44" i="1"/>
  <c r="DH45" i="1"/>
  <c r="DH46" i="1"/>
  <c r="DH47" i="1"/>
  <c r="DH48" i="1"/>
  <c r="DH49" i="1"/>
  <c r="DH50" i="1"/>
  <c r="DH51" i="1"/>
  <c r="DH52" i="1"/>
  <c r="DH53" i="1"/>
  <c r="DH54" i="1"/>
  <c r="DH55" i="1"/>
  <c r="DH56" i="1"/>
  <c r="DH57" i="1"/>
  <c r="DH58" i="1"/>
  <c r="DH59" i="1"/>
  <c r="DH60" i="1"/>
  <c r="DH61" i="1"/>
  <c r="DH62" i="1"/>
  <c r="DH63" i="1"/>
  <c r="DH64" i="1"/>
  <c r="DH65" i="1"/>
  <c r="DH66" i="1"/>
  <c r="DH67" i="1"/>
  <c r="DH68" i="1"/>
  <c r="DH69" i="1"/>
  <c r="DH70" i="1"/>
  <c r="DH71" i="1"/>
  <c r="DH72" i="1"/>
  <c r="DH73" i="1"/>
  <c r="DH74" i="1"/>
  <c r="DH75" i="1"/>
  <c r="DH76" i="1"/>
  <c r="DH77" i="1"/>
  <c r="DH78" i="1"/>
  <c r="DH79" i="1"/>
  <c r="DH80" i="1"/>
  <c r="DH81" i="1"/>
  <c r="DH82" i="1"/>
  <c r="DH83" i="1"/>
  <c r="DH84" i="1"/>
  <c r="DH85" i="1"/>
  <c r="DH86" i="1"/>
  <c r="DH87" i="1"/>
  <c r="DH88" i="1"/>
  <c r="DH89" i="1"/>
  <c r="DH90" i="1"/>
  <c r="DH91" i="1"/>
  <c r="DH92" i="1"/>
  <c r="DH93" i="1"/>
  <c r="DH94" i="1"/>
  <c r="DH95" i="1"/>
  <c r="DH96" i="1"/>
  <c r="DH97" i="1"/>
  <c r="DH98" i="1"/>
  <c r="DH99" i="1"/>
  <c r="DH100" i="1"/>
  <c r="DH101" i="1"/>
  <c r="DH102" i="1"/>
  <c r="DH103" i="1"/>
  <c r="DH104" i="1"/>
  <c r="DH105" i="1"/>
  <c r="DH106" i="1"/>
  <c r="DH107" i="1"/>
  <c r="DH108" i="1"/>
  <c r="DH109" i="1"/>
  <c r="DH110" i="1"/>
  <c r="DH111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  <c r="DJ102" i="1"/>
  <c r="DJ103" i="1"/>
  <c r="DJ104" i="1"/>
  <c r="DJ105" i="1"/>
  <c r="DJ106" i="1"/>
  <c r="DJ107" i="1"/>
  <c r="DJ108" i="1"/>
  <c r="DJ109" i="1"/>
  <c r="DJ110" i="1"/>
  <c r="DJ111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4" i="1"/>
  <c r="DK35" i="1"/>
  <c r="DK36" i="1"/>
  <c r="DK37" i="1"/>
  <c r="DK38" i="1"/>
  <c r="DK39" i="1"/>
  <c r="DK40" i="1"/>
  <c r="DK41" i="1"/>
  <c r="DK42" i="1"/>
  <c r="DK43" i="1"/>
  <c r="DK44" i="1"/>
  <c r="DK45" i="1"/>
  <c r="DK46" i="1"/>
  <c r="DK47" i="1"/>
  <c r="DK48" i="1"/>
  <c r="DK49" i="1"/>
  <c r="DK50" i="1"/>
  <c r="DK51" i="1"/>
  <c r="DK52" i="1"/>
  <c r="DK53" i="1"/>
  <c r="DK54" i="1"/>
  <c r="DK55" i="1"/>
  <c r="DK56" i="1"/>
  <c r="DK57" i="1"/>
  <c r="DK58" i="1"/>
  <c r="DK59" i="1"/>
  <c r="DK60" i="1"/>
  <c r="DK61" i="1"/>
  <c r="DK62" i="1"/>
  <c r="DK63" i="1"/>
  <c r="DK64" i="1"/>
  <c r="DK65" i="1"/>
  <c r="DK66" i="1"/>
  <c r="DK67" i="1"/>
  <c r="DK68" i="1"/>
  <c r="DK69" i="1"/>
  <c r="DK70" i="1"/>
  <c r="DK71" i="1"/>
  <c r="DK72" i="1"/>
  <c r="DK73" i="1"/>
  <c r="DK74" i="1"/>
  <c r="DK75" i="1"/>
  <c r="DK76" i="1"/>
  <c r="DK77" i="1"/>
  <c r="DK78" i="1"/>
  <c r="DK79" i="1"/>
  <c r="DK80" i="1"/>
  <c r="DK81" i="1"/>
  <c r="DK82" i="1"/>
  <c r="DK83" i="1"/>
  <c r="DK84" i="1"/>
  <c r="DK85" i="1"/>
  <c r="DK86" i="1"/>
  <c r="DK87" i="1"/>
  <c r="DK88" i="1"/>
  <c r="DK89" i="1"/>
  <c r="DK90" i="1"/>
  <c r="DK91" i="1"/>
  <c r="DK92" i="1"/>
  <c r="DK93" i="1"/>
  <c r="DK94" i="1"/>
  <c r="DK95" i="1"/>
  <c r="DK96" i="1"/>
  <c r="DK97" i="1"/>
  <c r="DK98" i="1"/>
  <c r="DK99" i="1"/>
  <c r="DK100" i="1"/>
  <c r="DK101" i="1"/>
  <c r="DK102" i="1"/>
  <c r="DK103" i="1"/>
  <c r="DK104" i="1"/>
  <c r="DK105" i="1"/>
  <c r="DK106" i="1"/>
  <c r="DK107" i="1"/>
  <c r="DK108" i="1"/>
  <c r="DK109" i="1"/>
  <c r="DK110" i="1"/>
  <c r="DK111" i="1"/>
  <c r="DL14" i="1"/>
  <c r="DL15" i="1"/>
  <c r="DL16" i="1"/>
  <c r="DL17" i="1"/>
  <c r="DL18" i="1"/>
  <c r="DL19" i="1"/>
  <c r="DL20" i="1"/>
  <c r="DL21" i="1"/>
  <c r="DL22" i="1"/>
  <c r="DL23" i="1"/>
  <c r="DL24" i="1"/>
  <c r="DL25" i="1"/>
  <c r="DL26" i="1"/>
  <c r="DL27" i="1"/>
  <c r="DL28" i="1"/>
  <c r="DL29" i="1"/>
  <c r="DL30" i="1"/>
  <c r="DL31" i="1"/>
  <c r="DL32" i="1"/>
  <c r="DL33" i="1"/>
  <c r="DL34" i="1"/>
  <c r="DL35" i="1"/>
  <c r="DL36" i="1"/>
  <c r="DL37" i="1"/>
  <c r="DL38" i="1"/>
  <c r="DL39" i="1"/>
  <c r="DL40" i="1"/>
  <c r="DL41" i="1"/>
  <c r="DL42" i="1"/>
  <c r="DL43" i="1"/>
  <c r="DL44" i="1"/>
  <c r="DL45" i="1"/>
  <c r="DL46" i="1"/>
  <c r="DL47" i="1"/>
  <c r="DL48" i="1"/>
  <c r="DL49" i="1"/>
  <c r="DL50" i="1"/>
  <c r="DL51" i="1"/>
  <c r="DL52" i="1"/>
  <c r="DL53" i="1"/>
  <c r="DL54" i="1"/>
  <c r="DL55" i="1"/>
  <c r="DL56" i="1"/>
  <c r="DL57" i="1"/>
  <c r="DL58" i="1"/>
  <c r="DL59" i="1"/>
  <c r="DL60" i="1"/>
  <c r="DL61" i="1"/>
  <c r="DL62" i="1"/>
  <c r="DL63" i="1"/>
  <c r="DL64" i="1"/>
  <c r="DL65" i="1"/>
  <c r="DL66" i="1"/>
  <c r="DL67" i="1"/>
  <c r="DL68" i="1"/>
  <c r="DL69" i="1"/>
  <c r="DL70" i="1"/>
  <c r="DL71" i="1"/>
  <c r="DL72" i="1"/>
  <c r="DL73" i="1"/>
  <c r="DL74" i="1"/>
  <c r="DL75" i="1"/>
  <c r="DL76" i="1"/>
  <c r="DL77" i="1"/>
  <c r="DL78" i="1"/>
  <c r="DL79" i="1"/>
  <c r="DL80" i="1"/>
  <c r="DL81" i="1"/>
  <c r="DL82" i="1"/>
  <c r="DL83" i="1"/>
  <c r="DL84" i="1"/>
  <c r="DL85" i="1"/>
  <c r="DL86" i="1"/>
  <c r="DL87" i="1"/>
  <c r="DL88" i="1"/>
  <c r="DL89" i="1"/>
  <c r="DL90" i="1"/>
  <c r="DL91" i="1"/>
  <c r="DL92" i="1"/>
  <c r="DL93" i="1"/>
  <c r="DL94" i="1"/>
  <c r="DL95" i="1"/>
  <c r="DL96" i="1"/>
  <c r="DL97" i="1"/>
  <c r="DL98" i="1"/>
  <c r="DL99" i="1"/>
  <c r="DL100" i="1"/>
  <c r="DL101" i="1"/>
  <c r="DL102" i="1"/>
  <c r="DL103" i="1"/>
  <c r="DL104" i="1"/>
  <c r="DL105" i="1"/>
  <c r="DL106" i="1"/>
  <c r="DL107" i="1"/>
  <c r="DL108" i="1"/>
  <c r="DL109" i="1"/>
  <c r="DL110" i="1"/>
  <c r="DL111" i="1"/>
  <c r="DM14" i="1"/>
  <c r="DM15" i="1"/>
  <c r="DM16" i="1"/>
  <c r="DM17" i="1"/>
  <c r="DM18" i="1"/>
  <c r="DM19" i="1"/>
  <c r="DM20" i="1"/>
  <c r="DM21" i="1"/>
  <c r="DM22" i="1"/>
  <c r="DM23" i="1"/>
  <c r="DM24" i="1"/>
  <c r="DM25" i="1"/>
  <c r="DM26" i="1"/>
  <c r="DM27" i="1"/>
  <c r="DM28" i="1"/>
  <c r="DM29" i="1"/>
  <c r="DM30" i="1"/>
  <c r="DM31" i="1"/>
  <c r="DM32" i="1"/>
  <c r="DM33" i="1"/>
  <c r="DM34" i="1"/>
  <c r="DM35" i="1"/>
  <c r="DM36" i="1"/>
  <c r="DM37" i="1"/>
  <c r="DM38" i="1"/>
  <c r="DM39" i="1"/>
  <c r="DM40" i="1"/>
  <c r="DM41" i="1"/>
  <c r="DM42" i="1"/>
  <c r="DM43" i="1"/>
  <c r="DM44" i="1"/>
  <c r="DM45" i="1"/>
  <c r="DM46" i="1"/>
  <c r="DM47" i="1"/>
  <c r="DM48" i="1"/>
  <c r="DM49" i="1"/>
  <c r="DM50" i="1"/>
  <c r="DM51" i="1"/>
  <c r="DM52" i="1"/>
  <c r="DM53" i="1"/>
  <c r="DM54" i="1"/>
  <c r="DM55" i="1"/>
  <c r="DM56" i="1"/>
  <c r="DM57" i="1"/>
  <c r="DM58" i="1"/>
  <c r="DM59" i="1"/>
  <c r="DM60" i="1"/>
  <c r="DM61" i="1"/>
  <c r="DM62" i="1"/>
  <c r="DM63" i="1"/>
  <c r="DM64" i="1"/>
  <c r="DM65" i="1"/>
  <c r="DM66" i="1"/>
  <c r="DM67" i="1"/>
  <c r="DM68" i="1"/>
  <c r="DM69" i="1"/>
  <c r="DM70" i="1"/>
  <c r="DM71" i="1"/>
  <c r="DM72" i="1"/>
  <c r="DM73" i="1"/>
  <c r="DM74" i="1"/>
  <c r="DM75" i="1"/>
  <c r="DM76" i="1"/>
  <c r="DM77" i="1"/>
  <c r="DM78" i="1"/>
  <c r="DM79" i="1"/>
  <c r="DM80" i="1"/>
  <c r="DM81" i="1"/>
  <c r="DM82" i="1"/>
  <c r="DM83" i="1"/>
  <c r="DM84" i="1"/>
  <c r="DM85" i="1"/>
  <c r="DM86" i="1"/>
  <c r="DM87" i="1"/>
  <c r="DM88" i="1"/>
  <c r="DM89" i="1"/>
  <c r="DM90" i="1"/>
  <c r="DM91" i="1"/>
  <c r="DM92" i="1"/>
  <c r="DM93" i="1"/>
  <c r="DM94" i="1"/>
  <c r="DM95" i="1"/>
  <c r="DM96" i="1"/>
  <c r="DM97" i="1"/>
  <c r="DM98" i="1"/>
  <c r="DM99" i="1"/>
  <c r="DM100" i="1"/>
  <c r="DM101" i="1"/>
  <c r="DM102" i="1"/>
  <c r="DM103" i="1"/>
  <c r="DM104" i="1"/>
  <c r="DM105" i="1"/>
  <c r="DM106" i="1"/>
  <c r="DM107" i="1"/>
  <c r="DM108" i="1"/>
  <c r="DM109" i="1"/>
  <c r="DM110" i="1"/>
  <c r="DM111" i="1"/>
  <c r="DN14" i="1"/>
  <c r="DN15" i="1"/>
  <c r="DN16" i="1"/>
  <c r="DN17" i="1"/>
  <c r="DN18" i="1"/>
  <c r="DN19" i="1"/>
  <c r="DN20" i="1"/>
  <c r="DN21" i="1"/>
  <c r="DN22" i="1"/>
  <c r="DN23" i="1"/>
  <c r="DN24" i="1"/>
  <c r="DN25" i="1"/>
  <c r="DN26" i="1"/>
  <c r="DN27" i="1"/>
  <c r="DN28" i="1"/>
  <c r="DN29" i="1"/>
  <c r="DN30" i="1"/>
  <c r="DN31" i="1"/>
  <c r="DN32" i="1"/>
  <c r="DN33" i="1"/>
  <c r="DN34" i="1"/>
  <c r="DN35" i="1"/>
  <c r="DN36" i="1"/>
  <c r="DN37" i="1"/>
  <c r="DN38" i="1"/>
  <c r="DN39" i="1"/>
  <c r="DN40" i="1"/>
  <c r="DN41" i="1"/>
  <c r="DN42" i="1"/>
  <c r="DN43" i="1"/>
  <c r="DN44" i="1"/>
  <c r="DN45" i="1"/>
  <c r="DN46" i="1"/>
  <c r="DN47" i="1"/>
  <c r="DN48" i="1"/>
  <c r="DN49" i="1"/>
  <c r="DN50" i="1"/>
  <c r="DN51" i="1"/>
  <c r="DN52" i="1"/>
  <c r="DN53" i="1"/>
  <c r="DN54" i="1"/>
  <c r="DN55" i="1"/>
  <c r="DN56" i="1"/>
  <c r="DN57" i="1"/>
  <c r="DN58" i="1"/>
  <c r="DN59" i="1"/>
  <c r="DN60" i="1"/>
  <c r="DN61" i="1"/>
  <c r="DN62" i="1"/>
  <c r="DN63" i="1"/>
  <c r="DN64" i="1"/>
  <c r="DN65" i="1"/>
  <c r="DN66" i="1"/>
  <c r="DN67" i="1"/>
  <c r="DN68" i="1"/>
  <c r="DN69" i="1"/>
  <c r="DN70" i="1"/>
  <c r="DN71" i="1"/>
  <c r="DN72" i="1"/>
  <c r="DN73" i="1"/>
  <c r="DN74" i="1"/>
  <c r="DN75" i="1"/>
  <c r="DN76" i="1"/>
  <c r="DN77" i="1"/>
  <c r="DN78" i="1"/>
  <c r="DN79" i="1"/>
  <c r="DN80" i="1"/>
  <c r="DN81" i="1"/>
  <c r="DN82" i="1"/>
  <c r="DN83" i="1"/>
  <c r="DN84" i="1"/>
  <c r="DN85" i="1"/>
  <c r="DN86" i="1"/>
  <c r="DN87" i="1"/>
  <c r="DN88" i="1"/>
  <c r="DN89" i="1"/>
  <c r="DN90" i="1"/>
  <c r="DN91" i="1"/>
  <c r="DN92" i="1"/>
  <c r="DN93" i="1"/>
  <c r="DN94" i="1"/>
  <c r="DN95" i="1"/>
  <c r="DN96" i="1"/>
  <c r="DN97" i="1"/>
  <c r="DN98" i="1"/>
  <c r="DN99" i="1"/>
  <c r="DN100" i="1"/>
  <c r="DN101" i="1"/>
  <c r="DN102" i="1"/>
  <c r="DN103" i="1"/>
  <c r="DN104" i="1"/>
  <c r="DN105" i="1"/>
  <c r="DN106" i="1"/>
  <c r="DN107" i="1"/>
  <c r="DN108" i="1"/>
  <c r="DN109" i="1"/>
  <c r="DN110" i="1"/>
  <c r="DN111" i="1"/>
  <c r="DP14" i="1"/>
  <c r="DP15" i="1"/>
  <c r="DP16" i="1"/>
  <c r="DP17" i="1"/>
  <c r="DP18" i="1"/>
  <c r="DP19" i="1"/>
  <c r="DP20" i="1"/>
  <c r="DP21" i="1"/>
  <c r="DP22" i="1"/>
  <c r="DP23" i="1"/>
  <c r="DP24" i="1"/>
  <c r="DP25" i="1"/>
  <c r="DP26" i="1"/>
  <c r="DP27" i="1"/>
  <c r="DP28" i="1"/>
  <c r="DP29" i="1"/>
  <c r="DP30" i="1"/>
  <c r="DP31" i="1"/>
  <c r="DP32" i="1"/>
  <c r="DP33" i="1"/>
  <c r="DP34" i="1"/>
  <c r="DP35" i="1"/>
  <c r="DP36" i="1"/>
  <c r="DP37" i="1"/>
  <c r="DP38" i="1"/>
  <c r="DP39" i="1"/>
  <c r="DP40" i="1"/>
  <c r="DP41" i="1"/>
  <c r="DP42" i="1"/>
  <c r="DP43" i="1"/>
  <c r="DP44" i="1"/>
  <c r="DP45" i="1"/>
  <c r="DP46" i="1"/>
  <c r="DP47" i="1"/>
  <c r="DP48" i="1"/>
  <c r="DP49" i="1"/>
  <c r="DP50" i="1"/>
  <c r="DP51" i="1"/>
  <c r="DP52" i="1"/>
  <c r="DP53" i="1"/>
  <c r="DP54" i="1"/>
  <c r="DP55" i="1"/>
  <c r="DP56" i="1"/>
  <c r="DP57" i="1"/>
  <c r="DP58" i="1"/>
  <c r="DP59" i="1"/>
  <c r="DP60" i="1"/>
  <c r="DP61" i="1"/>
  <c r="DP62" i="1"/>
  <c r="DP63" i="1"/>
  <c r="DP64" i="1"/>
  <c r="DP65" i="1"/>
  <c r="DP66" i="1"/>
  <c r="DP67" i="1"/>
  <c r="DP68" i="1"/>
  <c r="DP69" i="1"/>
  <c r="DP70" i="1"/>
  <c r="DP71" i="1"/>
  <c r="DP72" i="1"/>
  <c r="DP73" i="1"/>
  <c r="DP74" i="1"/>
  <c r="DP75" i="1"/>
  <c r="DP76" i="1"/>
  <c r="DP77" i="1"/>
  <c r="DP78" i="1"/>
  <c r="DP79" i="1"/>
  <c r="DP80" i="1"/>
  <c r="DP81" i="1"/>
  <c r="DP82" i="1"/>
  <c r="DP83" i="1"/>
  <c r="DP84" i="1"/>
  <c r="DP85" i="1"/>
  <c r="DP86" i="1"/>
  <c r="DP87" i="1"/>
  <c r="DP88" i="1"/>
  <c r="DP89" i="1"/>
  <c r="DP90" i="1"/>
  <c r="DP91" i="1"/>
  <c r="DP92" i="1"/>
  <c r="DP93" i="1"/>
  <c r="DP94" i="1"/>
  <c r="DP95" i="1"/>
  <c r="DP96" i="1"/>
  <c r="DP97" i="1"/>
  <c r="DP98" i="1"/>
  <c r="DP99" i="1"/>
  <c r="DP100" i="1"/>
  <c r="DP101" i="1"/>
  <c r="DP102" i="1"/>
  <c r="DP103" i="1"/>
  <c r="DP104" i="1"/>
  <c r="DP105" i="1"/>
  <c r="DP106" i="1"/>
  <c r="DP107" i="1"/>
  <c r="DP108" i="1"/>
  <c r="DP109" i="1"/>
  <c r="DP110" i="1"/>
  <c r="DP111" i="1"/>
  <c r="DR14" i="1"/>
  <c r="DR15" i="1"/>
  <c r="DR16" i="1"/>
  <c r="DR17" i="1"/>
  <c r="DR18" i="1"/>
  <c r="DR19" i="1"/>
  <c r="DR20" i="1"/>
  <c r="DR21" i="1"/>
  <c r="DR22" i="1"/>
  <c r="DR23" i="1"/>
  <c r="DR24" i="1"/>
  <c r="DR25" i="1"/>
  <c r="DR26" i="1"/>
  <c r="DR27" i="1"/>
  <c r="DR28" i="1"/>
  <c r="DR29" i="1"/>
  <c r="DR30" i="1"/>
  <c r="DR31" i="1"/>
  <c r="DR32" i="1"/>
  <c r="DR33" i="1"/>
  <c r="DR34" i="1"/>
  <c r="DR35" i="1"/>
  <c r="DR36" i="1"/>
  <c r="DR37" i="1"/>
  <c r="DR38" i="1"/>
  <c r="DR39" i="1"/>
  <c r="DR40" i="1"/>
  <c r="DR41" i="1"/>
  <c r="DR42" i="1"/>
  <c r="DR43" i="1"/>
  <c r="DR44" i="1"/>
  <c r="DR45" i="1"/>
  <c r="DR46" i="1"/>
  <c r="DR47" i="1"/>
  <c r="DR48" i="1"/>
  <c r="DR49" i="1"/>
  <c r="DR50" i="1"/>
  <c r="DR51" i="1"/>
  <c r="DR52" i="1"/>
  <c r="DR53" i="1"/>
  <c r="DR54" i="1"/>
  <c r="DR55" i="1"/>
  <c r="DR56" i="1"/>
  <c r="DR57" i="1"/>
  <c r="DR58" i="1"/>
  <c r="DR59" i="1"/>
  <c r="DR60" i="1"/>
  <c r="DR61" i="1"/>
  <c r="DR62" i="1"/>
  <c r="DR63" i="1"/>
  <c r="DR64" i="1"/>
  <c r="DR65" i="1"/>
  <c r="DR66" i="1"/>
  <c r="DR67" i="1"/>
  <c r="DR68" i="1"/>
  <c r="DR69" i="1"/>
  <c r="DR70" i="1"/>
  <c r="DR71" i="1"/>
  <c r="DR72" i="1"/>
  <c r="DR73" i="1"/>
  <c r="DR74" i="1"/>
  <c r="DR75" i="1"/>
  <c r="DR76" i="1"/>
  <c r="DR77" i="1"/>
  <c r="DR78" i="1"/>
  <c r="DR79" i="1"/>
  <c r="DR80" i="1"/>
  <c r="DR81" i="1"/>
  <c r="DR82" i="1"/>
  <c r="DR83" i="1"/>
  <c r="DR84" i="1"/>
  <c r="DR85" i="1"/>
  <c r="DR86" i="1"/>
  <c r="DR87" i="1"/>
  <c r="DR88" i="1"/>
  <c r="DR89" i="1"/>
  <c r="DR90" i="1"/>
  <c r="DR91" i="1"/>
  <c r="DR92" i="1"/>
  <c r="DR93" i="1"/>
  <c r="DR94" i="1"/>
  <c r="DR95" i="1"/>
  <c r="DR96" i="1"/>
  <c r="DR97" i="1"/>
  <c r="DR98" i="1"/>
  <c r="DR99" i="1"/>
  <c r="DR100" i="1"/>
  <c r="DR101" i="1"/>
  <c r="DR102" i="1"/>
  <c r="DR103" i="1"/>
  <c r="DR104" i="1"/>
  <c r="DR105" i="1"/>
  <c r="DR106" i="1"/>
  <c r="DR107" i="1"/>
  <c r="DR108" i="1"/>
  <c r="DR109" i="1"/>
  <c r="DR110" i="1"/>
  <c r="DR111" i="1"/>
  <c r="B13" i="1"/>
  <c r="AA13" i="1"/>
  <c r="BX13" i="1"/>
  <c r="BY13" i="1"/>
  <c r="BZ13" i="1"/>
  <c r="CA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H13" i="1"/>
  <c r="DI13" i="1"/>
  <c r="DJ13" i="1"/>
  <c r="DK13" i="1"/>
  <c r="DL13" i="1"/>
  <c r="DM13" i="1"/>
  <c r="DN13" i="1"/>
  <c r="DP13" i="1"/>
  <c r="DR13" i="1"/>
  <c r="DV110" i="1" l="1"/>
  <c r="DV40" i="1"/>
  <c r="DV123" i="1"/>
  <c r="DV49" i="1"/>
  <c r="DV89" i="1"/>
  <c r="DV75" i="1"/>
  <c r="DV35" i="1"/>
  <c r="DV96" i="1"/>
  <c r="DV243" i="1"/>
  <c r="DV201" i="1"/>
  <c r="DV107" i="1"/>
  <c r="DV93" i="1"/>
  <c r="DV79" i="1"/>
  <c r="DV65" i="1"/>
  <c r="DV51" i="1"/>
  <c r="DV37" i="1"/>
  <c r="DV23" i="1"/>
  <c r="DV117" i="1"/>
  <c r="DV131" i="1"/>
  <c r="DV173" i="1"/>
  <c r="DV68" i="1"/>
  <c r="DV120" i="1"/>
  <c r="DV215" i="1"/>
  <c r="DV159" i="1"/>
  <c r="DV106" i="1"/>
  <c r="DV92" i="1"/>
  <c r="DV105" i="1"/>
  <c r="DV91" i="1"/>
  <c r="DV77" i="1"/>
  <c r="DV63" i="1"/>
  <c r="DV21" i="1"/>
  <c r="DV115" i="1"/>
  <c r="DV145" i="1"/>
  <c r="DV82" i="1"/>
  <c r="DV26" i="1"/>
  <c r="DV134" i="1"/>
  <c r="DV257" i="1"/>
  <c r="DV229" i="1"/>
  <c r="DV187" i="1"/>
  <c r="DV19" i="1"/>
  <c r="DV59" i="1"/>
  <c r="DV54" i="1"/>
  <c r="DV78" i="1"/>
  <c r="DV64" i="1"/>
  <c r="DV50" i="1"/>
  <c r="DV36" i="1"/>
  <c r="DV22" i="1"/>
  <c r="DV103" i="1"/>
  <c r="DV61" i="1"/>
  <c r="DV47" i="1"/>
  <c r="DV33" i="1"/>
  <c r="DV261" i="1"/>
  <c r="DV247" i="1"/>
  <c r="DV233" i="1"/>
  <c r="DV219" i="1"/>
  <c r="DV205" i="1"/>
  <c r="DV191" i="1"/>
  <c r="DV177" i="1"/>
  <c r="DV163" i="1"/>
  <c r="DV149" i="1"/>
  <c r="DV109" i="1"/>
  <c r="DV95" i="1"/>
  <c r="DV81" i="1"/>
  <c r="DV67" i="1"/>
  <c r="DV53" i="1"/>
  <c r="DV39" i="1"/>
  <c r="DV25" i="1"/>
  <c r="DV112" i="1"/>
  <c r="DV125" i="1"/>
  <c r="DV266" i="1"/>
  <c r="DV252" i="1"/>
  <c r="DV238" i="1"/>
  <c r="DV224" i="1"/>
  <c r="DV210" i="1"/>
  <c r="DV196" i="1"/>
  <c r="DV182" i="1"/>
  <c r="DV168" i="1"/>
  <c r="DV154" i="1"/>
  <c r="DV140" i="1"/>
  <c r="DV108" i="1"/>
  <c r="DV94" i="1"/>
  <c r="DV80" i="1"/>
  <c r="DV66" i="1"/>
  <c r="DV52" i="1"/>
  <c r="DV38" i="1"/>
  <c r="DV24" i="1"/>
  <c r="DV116" i="1"/>
  <c r="DV124" i="1"/>
  <c r="DV136" i="1"/>
  <c r="DV265" i="1"/>
  <c r="DV251" i="1"/>
  <c r="DV237" i="1"/>
  <c r="DV223" i="1"/>
  <c r="DV209" i="1"/>
  <c r="DV195" i="1"/>
  <c r="DV181" i="1"/>
  <c r="DV167" i="1"/>
  <c r="DV153" i="1"/>
  <c r="DV139" i="1"/>
  <c r="DV263" i="1"/>
  <c r="DV249" i="1"/>
  <c r="DV235" i="1"/>
  <c r="DV221" i="1"/>
  <c r="DV207" i="1"/>
  <c r="DV193" i="1"/>
  <c r="DV179" i="1"/>
  <c r="DV165" i="1"/>
  <c r="DV151" i="1"/>
  <c r="DV137" i="1"/>
  <c r="DV128" i="1"/>
  <c r="DV118" i="1"/>
  <c r="DV133" i="1"/>
  <c r="DV119" i="1"/>
  <c r="DV264" i="1"/>
  <c r="DV250" i="1"/>
  <c r="DV236" i="1"/>
  <c r="DV222" i="1"/>
  <c r="DV208" i="1"/>
  <c r="DV194" i="1"/>
  <c r="DV180" i="1"/>
  <c r="DV166" i="1"/>
  <c r="DV152" i="1"/>
  <c r="DV138" i="1"/>
  <c r="DV258" i="1"/>
  <c r="DV244" i="1"/>
  <c r="DV230" i="1"/>
  <c r="DV216" i="1"/>
  <c r="DV202" i="1"/>
  <c r="DV188" i="1"/>
  <c r="DV174" i="1"/>
  <c r="DV160" i="1"/>
  <c r="DV146" i="1"/>
  <c r="DV260" i="1"/>
  <c r="DV246" i="1"/>
  <c r="DV232" i="1"/>
  <c r="DV218" i="1"/>
  <c r="DV204" i="1"/>
  <c r="DV190" i="1"/>
  <c r="DV176" i="1"/>
  <c r="DV162" i="1"/>
  <c r="DV148" i="1"/>
  <c r="DV90" i="1"/>
  <c r="DV48" i="1"/>
  <c r="DV74" i="1"/>
  <c r="DV18" i="1"/>
  <c r="DV267" i="1"/>
  <c r="DV211" i="1"/>
  <c r="DV169" i="1"/>
  <c r="DV245" i="1"/>
  <c r="DV175" i="1"/>
  <c r="DV34" i="1"/>
  <c r="DV102" i="1"/>
  <c r="DV32" i="1"/>
  <c r="DV114" i="1"/>
  <c r="DV253" i="1"/>
  <c r="DV197" i="1"/>
  <c r="DV141" i="1"/>
  <c r="DV231" i="1"/>
  <c r="DV203" i="1"/>
  <c r="DV147" i="1"/>
  <c r="DV73" i="1"/>
  <c r="DV31" i="1"/>
  <c r="DV113" i="1"/>
  <c r="DV122" i="1"/>
  <c r="DV262" i="1"/>
  <c r="DV248" i="1"/>
  <c r="DV234" i="1"/>
  <c r="DV220" i="1"/>
  <c r="DV206" i="1"/>
  <c r="DV192" i="1"/>
  <c r="DV178" i="1"/>
  <c r="DV164" i="1"/>
  <c r="DV150" i="1"/>
  <c r="DV72" i="1"/>
  <c r="DV16" i="1"/>
  <c r="DV135" i="1"/>
  <c r="DV121" i="1"/>
  <c r="DV130" i="1"/>
  <c r="DV104" i="1"/>
  <c r="DV62" i="1"/>
  <c r="DV60" i="1"/>
  <c r="DV225" i="1"/>
  <c r="DV155" i="1"/>
  <c r="DV101" i="1"/>
  <c r="DV45" i="1"/>
  <c r="DV17" i="1"/>
  <c r="DV100" i="1"/>
  <c r="DV86" i="1"/>
  <c r="DV58" i="1"/>
  <c r="DV44" i="1"/>
  <c r="DV30" i="1"/>
  <c r="DV99" i="1"/>
  <c r="DV85" i="1"/>
  <c r="DV71" i="1"/>
  <c r="DV57" i="1"/>
  <c r="DV43" i="1"/>
  <c r="DV29" i="1"/>
  <c r="DV15" i="1"/>
  <c r="DV129" i="1"/>
  <c r="DV270" i="1"/>
  <c r="DV256" i="1"/>
  <c r="DV242" i="1"/>
  <c r="DV228" i="1"/>
  <c r="DV214" i="1"/>
  <c r="DV200" i="1"/>
  <c r="DV186" i="1"/>
  <c r="DV172" i="1"/>
  <c r="DV158" i="1"/>
  <c r="DV144" i="1"/>
  <c r="DV98" i="1"/>
  <c r="DV70" i="1"/>
  <c r="DV28" i="1"/>
  <c r="DV269" i="1"/>
  <c r="DV255" i="1"/>
  <c r="DV241" i="1"/>
  <c r="DV227" i="1"/>
  <c r="DV213" i="1"/>
  <c r="DV199" i="1"/>
  <c r="DV185" i="1"/>
  <c r="DV171" i="1"/>
  <c r="DV157" i="1"/>
  <c r="DV143" i="1"/>
  <c r="DV76" i="1"/>
  <c r="DV20" i="1"/>
  <c r="DV88" i="1"/>
  <c r="DV46" i="1"/>
  <c r="DV239" i="1"/>
  <c r="DV183" i="1"/>
  <c r="DV259" i="1"/>
  <c r="DV217" i="1"/>
  <c r="DV189" i="1"/>
  <c r="DV161" i="1"/>
  <c r="DV87" i="1"/>
  <c r="DV84" i="1"/>
  <c r="DV56" i="1"/>
  <c r="DV42" i="1"/>
  <c r="DV14" i="1"/>
  <c r="DV111" i="1"/>
  <c r="DV97" i="1"/>
  <c r="DV83" i="1"/>
  <c r="DV69" i="1"/>
  <c r="DV55" i="1"/>
  <c r="DV41" i="1"/>
  <c r="DV27" i="1"/>
  <c r="DV127" i="1"/>
  <c r="DV268" i="1"/>
  <c r="DV254" i="1"/>
  <c r="DV240" i="1"/>
  <c r="DV226" i="1"/>
  <c r="DV212" i="1"/>
  <c r="DV198" i="1"/>
  <c r="DV184" i="1"/>
  <c r="DV170" i="1"/>
  <c r="DV156" i="1"/>
  <c r="DV142" i="1"/>
  <c r="DV13" i="1"/>
  <c r="DV126" i="1"/>
  <c r="DV132" i="1"/>
  <c r="A12" i="1"/>
  <c r="AB12" i="1" s="1"/>
  <c r="AA10" i="1"/>
  <c r="AA11" i="1"/>
  <c r="AA12" i="1"/>
  <c r="DM12" i="1"/>
  <c r="DM11" i="1"/>
  <c r="DM10" i="1"/>
  <c r="A13" i="1" l="1"/>
  <c r="A14" i="1" l="1"/>
  <c r="B10" i="1"/>
  <c r="B11" i="1"/>
  <c r="B12" i="1"/>
  <c r="A15" i="1" l="1"/>
  <c r="AB14" i="1"/>
  <c r="CJ10" i="1"/>
  <c r="CZ10" i="1"/>
  <c r="DB10" i="1"/>
  <c r="DC10" i="1"/>
  <c r="DD10" i="1"/>
  <c r="DE10" i="1"/>
  <c r="DR10" i="1"/>
  <c r="BY10" i="1"/>
  <c r="DF10" i="1"/>
  <c r="BZ10" i="1"/>
  <c r="CR10" i="1"/>
  <c r="DI10" i="1"/>
  <c r="CK10" i="1"/>
  <c r="DA10" i="1"/>
  <c r="DP10" i="1"/>
  <c r="CL10" i="1"/>
  <c r="CM10" i="1"/>
  <c r="CN10" i="1"/>
  <c r="CO10" i="1"/>
  <c r="CP10" i="1"/>
  <c r="CQ10" i="1"/>
  <c r="DH10" i="1"/>
  <c r="CA10" i="1"/>
  <c r="CS10" i="1"/>
  <c r="CT10" i="1"/>
  <c r="CU10" i="1"/>
  <c r="CV10" i="1"/>
  <c r="CW10" i="1"/>
  <c r="CX10" i="1"/>
  <c r="CY10" i="1"/>
  <c r="DJ10" i="1"/>
  <c r="DK10" i="1"/>
  <c r="CC10" i="1"/>
  <c r="DL10" i="1"/>
  <c r="CE10" i="1"/>
  <c r="CF10" i="1"/>
  <c r="CG10" i="1"/>
  <c r="CH10" i="1"/>
  <c r="CI10" i="1"/>
  <c r="DN10" i="1"/>
  <c r="BX10" i="1"/>
  <c r="CD10" i="1"/>
  <c r="DK11" i="1"/>
  <c r="CT11" i="1"/>
  <c r="CD11" i="1"/>
  <c r="CR11" i="1"/>
  <c r="DH11" i="1"/>
  <c r="BZ11" i="1"/>
  <c r="BY11" i="1"/>
  <c r="DE11" i="1"/>
  <c r="BX11" i="1"/>
  <c r="DD11" i="1"/>
  <c r="CN11" i="1"/>
  <c r="DB11" i="1"/>
  <c r="CL11" i="1"/>
  <c r="DP11" i="1"/>
  <c r="DJ11" i="1"/>
  <c r="CS11" i="1"/>
  <c r="CC11" i="1"/>
  <c r="DI11" i="1"/>
  <c r="CA11" i="1"/>
  <c r="CQ11" i="1"/>
  <c r="DF11" i="1"/>
  <c r="CP11" i="1"/>
  <c r="DR11" i="1"/>
  <c r="CO11" i="1"/>
  <c r="DC11" i="1"/>
  <c r="CM11" i="1"/>
  <c r="CV11" i="1"/>
  <c r="CU11" i="1"/>
  <c r="CK11" i="1"/>
  <c r="CJ11" i="1"/>
  <c r="CI11" i="1"/>
  <c r="CH11" i="1"/>
  <c r="CG11" i="1"/>
  <c r="CF11" i="1"/>
  <c r="DN11" i="1"/>
  <c r="CE11" i="1"/>
  <c r="DL11" i="1"/>
  <c r="DA11" i="1"/>
  <c r="CZ11" i="1"/>
  <c r="CY11" i="1"/>
  <c r="CX11" i="1"/>
  <c r="CW11" i="1"/>
  <c r="DP12" i="1"/>
  <c r="DA12" i="1"/>
  <c r="CK12" i="1"/>
  <c r="CJ12" i="1"/>
  <c r="CX12" i="1"/>
  <c r="DR12" i="1"/>
  <c r="CG12" i="1"/>
  <c r="CV12" i="1"/>
  <c r="CU12" i="1"/>
  <c r="CE12" i="1"/>
  <c r="DJ12" i="1"/>
  <c r="CS12" i="1"/>
  <c r="CZ12" i="1"/>
  <c r="CY12" i="1"/>
  <c r="CI12" i="1"/>
  <c r="CH12" i="1"/>
  <c r="DN12" i="1"/>
  <c r="CW12" i="1"/>
  <c r="CF12" i="1"/>
  <c r="DL12" i="1"/>
  <c r="DK12" i="1"/>
  <c r="CT12" i="1"/>
  <c r="CD12" i="1"/>
  <c r="CC12" i="1"/>
  <c r="CO12" i="1"/>
  <c r="CN12" i="1"/>
  <c r="CM12" i="1"/>
  <c r="CL12" i="1"/>
  <c r="CA12" i="1"/>
  <c r="BZ12" i="1"/>
  <c r="DI12" i="1"/>
  <c r="BY12" i="1"/>
  <c r="DH12" i="1"/>
  <c r="BX12" i="1"/>
  <c r="DF12" i="1"/>
  <c r="DE12" i="1"/>
  <c r="DD12" i="1"/>
  <c r="DC12" i="1"/>
  <c r="DB12" i="1"/>
  <c r="CR12" i="1"/>
  <c r="CQ12" i="1"/>
  <c r="CP12" i="1"/>
  <c r="DV11" i="1" l="1"/>
  <c r="DV12" i="1"/>
  <c r="DV10" i="1"/>
  <c r="AB15" i="1"/>
  <c r="A16" i="1"/>
  <c r="A17" i="1" l="1"/>
  <c r="A18" i="1" l="1"/>
  <c r="AB17" i="1"/>
  <c r="AB18" i="1" l="1"/>
  <c r="A19" i="1"/>
  <c r="A20" i="1" l="1"/>
  <c r="A21" i="1" l="1"/>
  <c r="AB20" i="1"/>
  <c r="AB21" i="1" l="1"/>
  <c r="A22" i="1"/>
  <c r="A23" i="1" l="1"/>
  <c r="AB23" i="1" l="1"/>
  <c r="A24" i="1"/>
  <c r="A25" i="1" l="1"/>
  <c r="AB24" i="1"/>
  <c r="A26" i="1" l="1"/>
  <c r="AB26" i="1" l="1"/>
  <c r="A27" i="1"/>
  <c r="AB27" i="1" l="1"/>
  <c r="A28" i="1"/>
  <c r="A29" i="1" l="1"/>
  <c r="AB29" i="1" l="1"/>
  <c r="A30" i="1"/>
  <c r="A31" i="1" l="1"/>
  <c r="AB30" i="1"/>
  <c r="A32" i="1" l="1"/>
  <c r="AB32" i="1" l="1"/>
  <c r="A33" i="1"/>
  <c r="AB33" i="1" l="1"/>
  <c r="A34" i="1"/>
  <c r="A35" i="1" l="1"/>
  <c r="AB35" i="1" l="1"/>
  <c r="A36" i="1"/>
  <c r="AB36" i="1" l="1"/>
  <c r="A37" i="1"/>
  <c r="A38" i="1" l="1"/>
  <c r="AB38" i="1" l="1"/>
  <c r="A39" i="1"/>
  <c r="AB39" i="1" l="1"/>
  <c r="A40" i="1"/>
  <c r="A41" i="1" l="1"/>
  <c r="AB41" i="1" l="1"/>
  <c r="A42" i="1"/>
  <c r="A43" i="1" s="1"/>
  <c r="A44" i="1" l="1"/>
  <c r="AB42" i="1"/>
  <c r="AB44" i="1" l="1"/>
  <c r="A45" i="1"/>
  <c r="AB45" i="1" l="1"/>
  <c r="A46" i="1"/>
  <c r="A47" i="1" l="1"/>
  <c r="AB47" i="1" l="1"/>
  <c r="A48" i="1"/>
  <c r="AB48" i="1" l="1"/>
  <c r="A49" i="1"/>
  <c r="A50" i="1" l="1"/>
  <c r="AB50" i="1" l="1"/>
  <c r="A51" i="1"/>
  <c r="AB51" i="1" l="1"/>
  <c r="A52" i="1"/>
  <c r="A53" i="1" l="1"/>
  <c r="AB53" i="1" l="1"/>
  <c r="A54" i="1"/>
  <c r="AB54" i="1" l="1"/>
  <c r="A55" i="1"/>
  <c r="AB55" i="1" l="1"/>
  <c r="A56" i="1"/>
  <c r="AB56" i="1" l="1"/>
  <c r="A57" i="1"/>
  <c r="AB57" i="1" l="1"/>
  <c r="A58" i="1"/>
  <c r="A59" i="1" l="1"/>
  <c r="AB59" i="1" l="1"/>
  <c r="A60" i="1"/>
  <c r="AB60" i="1" l="1"/>
  <c r="A61" i="1"/>
  <c r="A62" i="1" l="1"/>
  <c r="AB62" i="1" l="1"/>
  <c r="A63" i="1"/>
  <c r="AB63" i="1" l="1"/>
  <c r="A64" i="1"/>
  <c r="A65" i="1" l="1"/>
  <c r="AB65" i="1" l="1"/>
  <c r="A66" i="1"/>
  <c r="AB66" i="1" l="1"/>
  <c r="A67" i="1"/>
  <c r="A68" i="1" l="1"/>
  <c r="AB68" i="1" l="1"/>
  <c r="A69" i="1"/>
  <c r="AB69" i="1" l="1"/>
  <c r="A70" i="1"/>
  <c r="A71" i="1" l="1"/>
  <c r="AB71" i="1" l="1"/>
  <c r="A72" i="1"/>
  <c r="AB72" i="1" l="1"/>
  <c r="A73" i="1"/>
  <c r="A74" i="1" l="1"/>
  <c r="AB74" i="1" l="1"/>
  <c r="A75" i="1"/>
  <c r="AB75" i="1" l="1"/>
  <c r="A76" i="1"/>
  <c r="A77" i="1" l="1"/>
  <c r="AB77" i="1" l="1"/>
  <c r="A78" i="1"/>
  <c r="AB78" i="1" l="1"/>
  <c r="A79" i="1"/>
  <c r="A80" i="1" l="1"/>
  <c r="AB80" i="1" l="1"/>
  <c r="A81" i="1"/>
  <c r="AB81" i="1" l="1"/>
  <c r="A82" i="1"/>
  <c r="A83" i="1" l="1"/>
  <c r="AB83" i="1" l="1"/>
  <c r="A84" i="1"/>
  <c r="AB84" i="1" l="1"/>
  <c r="A85" i="1"/>
  <c r="A86" i="1" l="1"/>
  <c r="AB86" i="1" l="1"/>
  <c r="A87" i="1"/>
  <c r="AB87" i="1" l="1"/>
  <c r="A88" i="1"/>
  <c r="A89" i="1" l="1"/>
  <c r="AB89" i="1" l="1"/>
  <c r="A90" i="1"/>
  <c r="AB90" i="1" l="1"/>
  <c r="A91" i="1"/>
  <c r="A92" i="1" l="1"/>
  <c r="AB92" i="1" l="1"/>
  <c r="A93" i="1"/>
  <c r="AB93" i="1" l="1"/>
  <c r="A94" i="1"/>
  <c r="A95" i="1" l="1"/>
  <c r="AB95" i="1" l="1"/>
  <c r="A96" i="1"/>
  <c r="AB96" i="1" l="1"/>
  <c r="A97" i="1"/>
  <c r="A98" i="1" l="1"/>
  <c r="AB98" i="1" l="1"/>
  <c r="A99" i="1"/>
  <c r="AB99" i="1" l="1"/>
  <c r="A100" i="1"/>
  <c r="A101" i="1" l="1"/>
  <c r="AB101" i="1" l="1"/>
  <c r="A102" i="1"/>
  <c r="AB102" i="1" l="1"/>
  <c r="A103" i="1"/>
  <c r="A104" i="1" l="1"/>
  <c r="AB104" i="1" l="1"/>
  <c r="A105" i="1"/>
  <c r="AB105" i="1" l="1"/>
  <c r="A106" i="1"/>
  <c r="A107" i="1" l="1"/>
  <c r="AB107" i="1" l="1"/>
  <c r="A108" i="1"/>
  <c r="AB108" i="1" l="1"/>
  <c r="A109" i="1"/>
  <c r="A110" i="1" l="1"/>
  <c r="AB110" i="1" l="1"/>
  <c r="A111" i="1"/>
  <c r="A112" i="1" l="1"/>
  <c r="AB111" i="1"/>
  <c r="A113" i="1" l="1"/>
  <c r="AB113" i="1" l="1"/>
  <c r="A114" i="1"/>
  <c r="AB114" i="1" l="1"/>
  <c r="A115" i="1"/>
  <c r="A116" i="1" l="1"/>
  <c r="AB116" i="1" l="1"/>
  <c r="A117" i="1"/>
  <c r="A118" i="1" l="1"/>
  <c r="AB117" i="1"/>
  <c r="A119" i="1" l="1"/>
  <c r="AB119" i="1" l="1"/>
  <c r="A120" i="1"/>
  <c r="AB120" i="1" l="1"/>
  <c r="A121" i="1"/>
  <c r="A122" i="1" l="1"/>
  <c r="AB122" i="1" l="1"/>
  <c r="A123" i="1"/>
  <c r="AB123" i="1" l="1"/>
  <c r="A124" i="1"/>
  <c r="A125" i="1" l="1"/>
  <c r="AB125" i="1" l="1"/>
  <c r="A126" i="1"/>
  <c r="AB126" i="1" l="1"/>
  <c r="A127" i="1"/>
  <c r="A128" i="1" l="1"/>
  <c r="AB128" i="1" l="1"/>
  <c r="A129" i="1"/>
  <c r="AB129" i="1" l="1"/>
  <c r="A130" i="1"/>
  <c r="A131" i="1" l="1"/>
  <c r="A132" i="1" l="1"/>
  <c r="AB131" i="1"/>
  <c r="AB132" i="1" l="1"/>
  <c r="A133" i="1"/>
  <c r="A134" i="1" l="1"/>
  <c r="AB134" i="1" l="1"/>
  <c r="A135" i="1"/>
  <c r="AB135" i="1" l="1"/>
  <c r="A136" i="1"/>
  <c r="A137" i="1" l="1"/>
  <c r="AB137" i="1" l="1"/>
  <c r="A138" i="1"/>
  <c r="AB138" i="1" l="1"/>
  <c r="A139" i="1"/>
  <c r="A140" i="1" l="1"/>
  <c r="AB140" i="1" l="1"/>
  <c r="A141" i="1"/>
  <c r="AB141" i="1" l="1"/>
  <c r="A142" i="1"/>
  <c r="A143" i="1" l="1"/>
  <c r="AB143" i="1" l="1"/>
  <c r="A144" i="1"/>
  <c r="AB144" i="1" l="1"/>
  <c r="A145" i="1"/>
  <c r="A146" i="1" l="1"/>
  <c r="AB146" i="1" l="1"/>
  <c r="A147" i="1"/>
  <c r="AB147" i="1" l="1"/>
  <c r="A148" i="1"/>
  <c r="A149" i="1" l="1"/>
  <c r="AB149" i="1" l="1"/>
  <c r="A150" i="1"/>
  <c r="AB150" i="1" l="1"/>
  <c r="A151" i="1"/>
  <c r="A152" i="1" l="1"/>
  <c r="AB152" i="1" l="1"/>
  <c r="A153" i="1"/>
  <c r="AB153" i="1" l="1"/>
  <c r="A154" i="1"/>
  <c r="A155" i="1" l="1"/>
  <c r="AB155" i="1" l="1"/>
  <c r="A156" i="1"/>
  <c r="AB156" i="1" l="1"/>
  <c r="A157" i="1"/>
  <c r="A158" i="1" l="1"/>
  <c r="AB158" i="1" l="1"/>
  <c r="A159" i="1"/>
  <c r="AB159" i="1" l="1"/>
  <c r="A160" i="1"/>
  <c r="A161" i="1" l="1"/>
  <c r="AB161" i="1" l="1"/>
  <c r="A162" i="1"/>
  <c r="AB162" i="1" l="1"/>
  <c r="A163" i="1"/>
  <c r="A164" i="1" l="1"/>
  <c r="AB164" i="1" l="1"/>
  <c r="A165" i="1"/>
  <c r="AB165" i="1" l="1"/>
  <c r="A166" i="1"/>
  <c r="A167" i="1" l="1"/>
  <c r="AB167" i="1" l="1"/>
  <c r="A168" i="1"/>
  <c r="AB168" i="1" l="1"/>
  <c r="A169" i="1"/>
  <c r="A170" i="1" l="1"/>
  <c r="AB170" i="1" l="1"/>
  <c r="A171" i="1"/>
  <c r="AB171" i="1" l="1"/>
  <c r="A172" i="1"/>
  <c r="A173" i="1" l="1"/>
  <c r="AB173" i="1" l="1"/>
  <c r="A174" i="1"/>
  <c r="AB174" i="1" l="1"/>
  <c r="A175" i="1"/>
  <c r="A176" i="1" l="1"/>
  <c r="AB176" i="1" l="1"/>
  <c r="A177" i="1"/>
  <c r="AB177" i="1" l="1"/>
  <c r="A178" i="1"/>
  <c r="A179" i="1" l="1"/>
  <c r="AB179" i="1" l="1"/>
  <c r="A180" i="1"/>
  <c r="AB180" i="1" l="1"/>
  <c r="A181" i="1"/>
  <c r="A182" i="1" l="1"/>
  <c r="AB182" i="1" l="1"/>
  <c r="A183" i="1"/>
  <c r="AB183" i="1" l="1"/>
  <c r="A184" i="1"/>
  <c r="A185" i="1" l="1"/>
  <c r="AB185" i="1" l="1"/>
  <c r="A186" i="1"/>
  <c r="AB186" i="1" l="1"/>
  <c r="A187" i="1"/>
  <c r="A188" i="1" l="1"/>
  <c r="AB188" i="1" l="1"/>
  <c r="A189" i="1"/>
  <c r="AB189" i="1" l="1"/>
  <c r="A190" i="1"/>
  <c r="A191" i="1" l="1"/>
  <c r="AB191" i="1" l="1"/>
  <c r="A192" i="1"/>
  <c r="AB192" i="1" l="1"/>
  <c r="A193" i="1"/>
  <c r="A194" i="1" l="1"/>
  <c r="AB194" i="1" l="1"/>
  <c r="A195" i="1"/>
  <c r="AB195" i="1" l="1"/>
  <c r="A196" i="1"/>
  <c r="A197" i="1" l="1"/>
  <c r="AB197" i="1" l="1"/>
  <c r="A198" i="1"/>
  <c r="AB198" i="1" l="1"/>
  <c r="A199" i="1"/>
  <c r="A200" i="1" l="1"/>
  <c r="AB200" i="1" l="1"/>
  <c r="A201" i="1"/>
  <c r="AB201" i="1" l="1"/>
  <c r="A202" i="1"/>
  <c r="A203" i="1" l="1"/>
  <c r="AB203" i="1" l="1"/>
  <c r="A204" i="1"/>
  <c r="AB204" i="1" l="1"/>
  <c r="A205" i="1"/>
  <c r="A206" i="1" l="1"/>
  <c r="AB206" i="1" l="1"/>
  <c r="A207" i="1"/>
  <c r="AB207" i="1" l="1"/>
  <c r="A208" i="1"/>
  <c r="A209" i="1" l="1"/>
  <c r="AB209" i="1" l="1"/>
  <c r="A210" i="1"/>
  <c r="AB210" i="1" l="1"/>
  <c r="A211" i="1"/>
  <c r="A212" i="1" l="1"/>
  <c r="AB212" i="1" l="1"/>
  <c r="A213" i="1"/>
  <c r="AB213" i="1" l="1"/>
  <c r="A214" i="1"/>
  <c r="A215" i="1" l="1"/>
  <c r="AB215" i="1" l="1"/>
  <c r="A216" i="1"/>
  <c r="AB216" i="1" l="1"/>
  <c r="A217" i="1"/>
  <c r="A218" i="1" l="1"/>
  <c r="AB218" i="1" l="1"/>
  <c r="A219" i="1"/>
  <c r="AB219" i="1" l="1"/>
  <c r="A220" i="1"/>
  <c r="A221" i="1" l="1"/>
  <c r="AB221" i="1" l="1"/>
  <c r="A222" i="1"/>
  <c r="AB222" i="1" l="1"/>
  <c r="A223" i="1"/>
  <c r="A224" i="1" l="1"/>
  <c r="AB224" i="1" l="1"/>
  <c r="A225" i="1"/>
  <c r="AB225" i="1" l="1"/>
  <c r="A226" i="1"/>
  <c r="A227" i="1" l="1"/>
  <c r="AB227" i="1" l="1"/>
  <c r="A228" i="1"/>
  <c r="AB228" i="1" l="1"/>
  <c r="A229" i="1"/>
  <c r="A230" i="1" l="1"/>
  <c r="AB230" i="1" l="1"/>
  <c r="A231" i="1"/>
  <c r="AB231" i="1" l="1"/>
  <c r="A232" i="1"/>
  <c r="A233" i="1" l="1"/>
  <c r="AB233" i="1" l="1"/>
  <c r="A234" i="1"/>
  <c r="AB234" i="1" l="1"/>
  <c r="A235" i="1"/>
  <c r="A236" i="1" l="1"/>
  <c r="AB236" i="1" l="1"/>
  <c r="A237" i="1"/>
  <c r="AB237" i="1" l="1"/>
  <c r="A238" i="1"/>
  <c r="A239" i="1" l="1"/>
  <c r="AB239" i="1" l="1"/>
  <c r="A240" i="1"/>
  <c r="AB240" i="1" l="1"/>
  <c r="A241" i="1"/>
  <c r="A242" i="1" l="1"/>
  <c r="AB242" i="1" l="1"/>
  <c r="A243" i="1"/>
  <c r="AB243" i="1" l="1"/>
  <c r="A244" i="1"/>
  <c r="A245" i="1" l="1"/>
  <c r="AB245" i="1" l="1"/>
  <c r="A246" i="1"/>
  <c r="AB246" i="1" l="1"/>
  <c r="A247" i="1"/>
  <c r="A248" i="1" l="1"/>
  <c r="AB248" i="1" l="1"/>
  <c r="A249" i="1"/>
  <c r="AB249" i="1" l="1"/>
  <c r="A250" i="1"/>
  <c r="A251" i="1" l="1"/>
  <c r="AB251" i="1" l="1"/>
  <c r="A252" i="1"/>
  <c r="AB252" i="1" l="1"/>
  <c r="A253" i="1"/>
  <c r="A254" i="1" l="1"/>
  <c r="AB254" i="1" l="1"/>
  <c r="A255" i="1"/>
  <c r="AB255" i="1" l="1"/>
  <c r="A256" i="1"/>
  <c r="A257" i="1" l="1"/>
  <c r="AB257" i="1" l="1"/>
  <c r="A258" i="1"/>
  <c r="AB258" i="1" l="1"/>
  <c r="A259" i="1"/>
  <c r="A260" i="1" l="1"/>
  <c r="AB260" i="1" l="1"/>
  <c r="A261" i="1"/>
  <c r="AB261" i="1" l="1"/>
  <c r="A262" i="1"/>
  <c r="A263" i="1" l="1"/>
  <c r="AB263" i="1" l="1"/>
  <c r="A264" i="1"/>
  <c r="AB264" i="1" l="1"/>
  <c r="A265" i="1"/>
  <c r="A266" i="1" l="1"/>
  <c r="AB266" i="1" l="1"/>
  <c r="A267" i="1"/>
  <c r="AB267" i="1" l="1"/>
  <c r="A268" i="1"/>
  <c r="A269" i="1" l="1"/>
  <c r="AB269" i="1" l="1"/>
  <c r="A270" i="1"/>
  <c r="AB265" i="1"/>
  <c r="AB270" i="1" l="1"/>
  <c r="AB13" i="1"/>
  <c r="AB16" i="1"/>
  <c r="AB19" i="1"/>
  <c r="AB22" i="1"/>
  <c r="AB25" i="1"/>
  <c r="AB28" i="1"/>
  <c r="AB31" i="1"/>
  <c r="AB34" i="1"/>
  <c r="AB37" i="1"/>
  <c r="AB43" i="1"/>
  <c r="AB40" i="1"/>
  <c r="AB46" i="1"/>
  <c r="AB49" i="1"/>
  <c r="AB52" i="1"/>
  <c r="AB58" i="1"/>
  <c r="AB61" i="1"/>
  <c r="AB64" i="1"/>
  <c r="AB67" i="1"/>
  <c r="AB70" i="1"/>
  <c r="AB73" i="1"/>
  <c r="AB76" i="1"/>
  <c r="AB79" i="1"/>
  <c r="AB82" i="1"/>
  <c r="AB88" i="1"/>
  <c r="AB85" i="1"/>
  <c r="AB91" i="1"/>
  <c r="AB94" i="1"/>
  <c r="AB97" i="1"/>
  <c r="AB100" i="1"/>
  <c r="AB103" i="1"/>
  <c r="AB106" i="1"/>
  <c r="AB109" i="1"/>
  <c r="AB112" i="1"/>
  <c r="AB115" i="1"/>
  <c r="AB118" i="1"/>
  <c r="AB121" i="1"/>
  <c r="AB124" i="1"/>
  <c r="AB127" i="1"/>
  <c r="AB130" i="1"/>
  <c r="AB133" i="1"/>
  <c r="AB136" i="1"/>
  <c r="AB139" i="1"/>
  <c r="AB142" i="1"/>
  <c r="AB145" i="1"/>
  <c r="AB148" i="1"/>
  <c r="AB151" i="1"/>
  <c r="AB154" i="1"/>
  <c r="AB157" i="1"/>
  <c r="AB160" i="1"/>
  <c r="AB163" i="1"/>
  <c r="AB166" i="1"/>
  <c r="AB169" i="1"/>
  <c r="AB172" i="1"/>
  <c r="AB175" i="1"/>
  <c r="AB178" i="1"/>
  <c r="AB181" i="1"/>
  <c r="AB184" i="1"/>
  <c r="AB187" i="1"/>
  <c r="AB190" i="1"/>
  <c r="AB193" i="1"/>
  <c r="AB196" i="1"/>
  <c r="AB199" i="1"/>
  <c r="AB202" i="1"/>
  <c r="AB205" i="1"/>
  <c r="AB211" i="1"/>
  <c r="AB208" i="1"/>
  <c r="AB214" i="1"/>
  <c r="AB217" i="1"/>
  <c r="AB220" i="1"/>
  <c r="AB223" i="1"/>
  <c r="AB226" i="1"/>
  <c r="AB229" i="1"/>
  <c r="AB232" i="1"/>
  <c r="AB238" i="1"/>
  <c r="AB235" i="1"/>
  <c r="AB10" i="1"/>
  <c r="AB241" i="1"/>
  <c r="AB244" i="1"/>
  <c r="AB247" i="1"/>
  <c r="AB250" i="1"/>
  <c r="AB253" i="1"/>
  <c r="AB256" i="1"/>
  <c r="AB259" i="1"/>
  <c r="AB268" i="1"/>
  <c r="AB2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tc={6495B617-DBFA-43EF-AAF0-CDD1CF6EB558}</author>
    <author>tc={F06FDF12-18D2-45FD-9E58-1AB448ADB84A}</author>
    <author>tc={099C23B4-68A9-444A-8EE9-86A2F6458C39}</author>
  </authors>
  <commentList>
    <comment ref="DP9" authorId="0" shapeId="0" xr:uid="{6495B617-DBFA-43EF-AAF0-CDD1CF6EB55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Emanacion de jugos, partiduras, magulladuras, heridas huemdas, no cicatrizadas</t>
        </r>
      </text>
    </comment>
    <comment ref="DY9" authorId="1" shapeId="0" xr:uid="{F06FDF12-18D2-45FD-9E58-1AB448ADB84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Flor en corola, tallo adherido, racimos, hojas y materia extraña</t>
        </r>
      </text>
    </comment>
    <comment ref="DZ9" authorId="2" shapeId="0" xr:uid="{099C23B4-68A9-444A-8EE9-86A2F6458C3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Color rojo, color verde, ausencia de bloom, residuos de aplicación, cicatrices, daño por ave, partiduras secas</t>
        </r>
      </text>
    </comment>
  </commentList>
</comments>
</file>

<file path=xl/sharedStrings.xml><?xml version="1.0" encoding="utf-8"?>
<sst xmlns="http://schemas.openxmlformats.org/spreadsheetml/2006/main" count="3857" uniqueCount="369">
  <si>
    <t>DEFECTO DE CONDICIÓN (CANT.)</t>
  </si>
  <si>
    <t>DEFECTOS DE CALIDAD (CANT.)</t>
  </si>
  <si>
    <t>DEFECTOS DE CONDICIÓN (CANT.)</t>
  </si>
  <si>
    <t>SEMANA</t>
  </si>
  <si>
    <t>VARIEDAD</t>
  </si>
  <si>
    <t>DNI
INSPECTOR CALIDAD</t>
  </si>
  <si>
    <t>APELLIDOS Y NOMBRE
INSPECTOR CALIDAD</t>
  </si>
  <si>
    <t>NOTA</t>
  </si>
  <si>
    <t>N° BAYAS EVALUADAS</t>
  </si>
  <si>
    <t>DESGARRO LEVE SECO</t>
  </si>
  <si>
    <t>PRESENCIA DE COROLA</t>
  </si>
  <si>
    <t>PRESENCIA DE RESTO FLORAL VERDE</t>
  </si>
  <si>
    <t>PRESENCIA DE PEDÚNCULO</t>
  </si>
  <si>
    <t>POCA PRESENCIA DE BLOOM</t>
  </si>
  <si>
    <t>ROJO GRADO 1</t>
  </si>
  <si>
    <t>ARO PEDICELAR VERDE LEVE</t>
  </si>
  <si>
    <t>DAÑO DE TRIPS LEVE</t>
  </si>
  <si>
    <t>INSERCIÓN DE PEDÚNCULO LEVE</t>
  </si>
  <si>
    <t>POLVO LEVE</t>
  </si>
  <si>
    <t>DEFORME</t>
  </si>
  <si>
    <t>CERA DE ABEJA</t>
  </si>
  <si>
    <t>DESHIDRATADO LEVE</t>
  </si>
  <si>
    <t>DESHIDRATADO EXTREMO</t>
  </si>
  <si>
    <t>DESHIDRATADO INMADURO</t>
  </si>
  <si>
    <t>DESGARRO LEVE MOJADO</t>
  </si>
  <si>
    <t>PULPA EXPUESTA</t>
  </si>
  <si>
    <t>PARTIDOS/RAJADOS</t>
  </si>
  <si>
    <t>INSERCIÓN DE PEDÚNCULO EXTREMO</t>
  </si>
  <si>
    <t>EXUDADOS</t>
  </si>
  <si>
    <t>APLASTADOS</t>
  </si>
  <si>
    <t>DESGARRO GRADO 2 A MÁS</t>
  </si>
  <si>
    <t>BLANDO</t>
  </si>
  <si>
    <t>COLAPSADO</t>
  </si>
  <si>
    <t>PICADO DE AVE</t>
  </si>
  <si>
    <t>PICADO DE AVE CON PUDRICIÓN</t>
  </si>
  <si>
    <t>PODRIDO</t>
  </si>
  <si>
    <t>HONGO</t>
  </si>
  <si>
    <t>FUMAGINA</t>
  </si>
  <si>
    <t>PRESENCIA DE LARVA</t>
  </si>
  <si>
    <t>VESTIGIOS</t>
  </si>
  <si>
    <t>CHANCHITO BLANCO</t>
  </si>
  <si>
    <t>EXCRETA DE AVE</t>
  </si>
  <si>
    <t>PICADO DE INSECTOS</t>
  </si>
  <si>
    <t>ROJO GRADO 2 A MÁS</t>
  </si>
  <si>
    <t>DESORDEN POR MADURACIÓN</t>
  </si>
  <si>
    <t>POLVO EXTREMO</t>
  </si>
  <si>
    <t>ARO PEDICELAR VERDE EXTREMO</t>
  </si>
  <si>
    <t>DAÑO DE TRIPS EXTREMO</t>
  </si>
  <si>
    <t>DAÑO MECÁNICO</t>
  </si>
  <si>
    <t>SIN BLOOM</t>
  </si>
  <si>
    <t>OBSERVACIONES</t>
  </si>
  <si>
    <t>DEFECTOS DE CONDICIÓN (%)</t>
  </si>
  <si>
    <t>DEFECTOS DE CALIDAD (%)</t>
  </si>
  <si>
    <t>01</t>
  </si>
  <si>
    <t>Control de Cambios</t>
  </si>
  <si>
    <t>Versión</t>
  </si>
  <si>
    <t>Fecha</t>
  </si>
  <si>
    <t>Descripción del Cambio</t>
  </si>
  <si>
    <t>Responsable</t>
  </si>
  <si>
    <t>Coordinador de Calidad
Betsy Crisanto Valdiviezo</t>
  </si>
  <si>
    <t>Primera emisión del documento</t>
  </si>
  <si>
    <t>31/07/2026</t>
  </si>
  <si>
    <t>BASE DE DATOS
INSPECCIÓN DE LA CALIDAD EN PT - LÍNEA DE EMPAQUE</t>
  </si>
  <si>
    <t>FECHA DE COSECHA</t>
  </si>
  <si>
    <t>FECHA DE EMPAQUE</t>
  </si>
  <si>
    <t>N° PLANTA DE EMPAQUE</t>
  </si>
  <si>
    <t>TURNO DE EMPAQUE</t>
  </si>
  <si>
    <t>SUPERVISOR DE PRODUCCIÓN</t>
  </si>
  <si>
    <t>DNI EMPACADOR</t>
  </si>
  <si>
    <t>APELLIDOS Y NOMBRE
EMPACADOR</t>
  </si>
  <si>
    <t>CLIENTE</t>
  </si>
  <si>
    <t>DESTINO</t>
  </si>
  <si>
    <t>FORMATO</t>
  </si>
  <si>
    <t>CALIBRE</t>
  </si>
  <si>
    <t>DEFECTOS DESCARTE</t>
  </si>
  <si>
    <t>DEFECTOS DESCARTE (%)</t>
  </si>
  <si>
    <t xml:space="preserve">DEFECTOS APROVECHABLES </t>
  </si>
  <si>
    <t>DÍA</t>
  </si>
  <si>
    <t>EUROPA</t>
  </si>
  <si>
    <t>DEFECTO DE CONDICIÓN (%)</t>
  </si>
  <si>
    <t>DESGARRO LEVE SECO (%)</t>
  </si>
  <si>
    <t>PRESENCIA DE COROLA (%)</t>
  </si>
  <si>
    <t>PRESENCIA DE RESTO FLORAL VERDE (%)</t>
  </si>
  <si>
    <t>PRESENCIA DE PEDÚNCULO (%)</t>
  </si>
  <si>
    <t>POCA PRESENCIA DE BLOOM (%)</t>
  </si>
  <si>
    <t>ROJO GRADO (%)</t>
  </si>
  <si>
    <t>ARO PEDICELAR VERDE LEVE (%)</t>
  </si>
  <si>
    <t>DAÑO DE TRIPS LEVE (%)</t>
  </si>
  <si>
    <t>INSERCIÓN DE PEDÚNCULO LEVE (%)</t>
  </si>
  <si>
    <t>POLVO LEVE (%)</t>
  </si>
  <si>
    <t>DEFORME (%)</t>
  </si>
  <si>
    <t>CERA DE ABEJA (%)</t>
  </si>
  <si>
    <t>DESHIDRATADO LEVE (%)</t>
  </si>
  <si>
    <t>DESHIDRATADO EXTREMO (%)</t>
  </si>
  <si>
    <t>DESHIDRATADO INMADURO (%)</t>
  </si>
  <si>
    <t>DESGARRO LEVE MOJADO (%)</t>
  </si>
  <si>
    <t>PULPA EXPUESTA (%)</t>
  </si>
  <si>
    <t>PARTIDOS/RAJADOS (%)</t>
  </si>
  <si>
    <t>INSERCIÓN DE PEDÚNCULO EXTREMO (%)</t>
  </si>
  <si>
    <t>EXUDADOS (%)</t>
  </si>
  <si>
    <t>APLASTADOS (%)</t>
  </si>
  <si>
    <t>DESGARRO GRADO 2 A MÁS (%)</t>
  </si>
  <si>
    <t>BLANDO (%)</t>
  </si>
  <si>
    <t>COLAPSADO (%)</t>
  </si>
  <si>
    <t>PICADO DE AVE (%)</t>
  </si>
  <si>
    <t>PICADO DE AVE CON PUDRICIÓN (%)</t>
  </si>
  <si>
    <t>PODRIDO (%)</t>
  </si>
  <si>
    <t>HONGO (%)</t>
  </si>
  <si>
    <t>FUMAGINA (%)</t>
  </si>
  <si>
    <t>PRESENCIA DE LARVA (%)</t>
  </si>
  <si>
    <t>VESTIGIOS (%)</t>
  </si>
  <si>
    <t>CHANCHITO BLANCO (%)</t>
  </si>
  <si>
    <t>PICADO DE INSECTOS (%)</t>
  </si>
  <si>
    <t>ROJO GRADO 2 A MÁS (%)</t>
  </si>
  <si>
    <t>DESORDEN POR MADURACIÓN (%)</t>
  </si>
  <si>
    <t>POLVO EXTREMO (%)</t>
  </si>
  <si>
    <t>ARO PEDICELAR VERDE EXTREMO (%)</t>
  </si>
  <si>
    <t>DAÑO DE TRIPS EXTREMO (%)</t>
  </si>
  <si>
    <t>DAÑO MECÁNICO (%)</t>
  </si>
  <si>
    <t>SIN BLOOM (%)</t>
  </si>
  <si>
    <t>PUDRICION/HONGO</t>
  </si>
  <si>
    <t>EXUDACION</t>
  </si>
  <si>
    <t>DESHIDRATADO</t>
  </si>
  <si>
    <t>RESIDUOS DE COSECHA</t>
  </si>
  <si>
    <t xml:space="preserve">BLANDO </t>
  </si>
  <si>
    <t>INSECTOS</t>
  </si>
  <si>
    <t>DEFECTOS APROVECHABLES (%)</t>
  </si>
  <si>
    <t>EXCRETA DE AVES (%)</t>
  </si>
  <si>
    <t>ID</t>
  </si>
  <si>
    <t>ESTANDAR DE CALIDAD /CLAMSHELL</t>
  </si>
  <si>
    <t>ESTANDAR DE CALIDAD /EMPACADOR</t>
  </si>
  <si>
    <t>4.4 oz</t>
  </si>
  <si>
    <t>EMBALAJE CAJA</t>
  </si>
  <si>
    <t>INTERVALO DE COSECHA</t>
  </si>
  <si>
    <t>BERRIES PRIDE BV</t>
  </si>
  <si>
    <t>CHINA</t>
  </si>
  <si>
    <t>14 MM+</t>
  </si>
  <si>
    <t>BERRY TASTY ROJA</t>
  </si>
  <si>
    <t>MARTINEZ PEREZ VILMA</t>
  </si>
  <si>
    <t>MEDIDA CORRECTIVA APLICADA</t>
  </si>
  <si>
    <t>SI</t>
  </si>
  <si>
    <t>IMMADURO VERDE</t>
  </si>
  <si>
    <t>PRODUCTOR</t>
  </si>
  <si>
    <t>BERRY HARVEST</t>
  </si>
  <si>
    <t>CAO</t>
  </si>
  <si>
    <t>18 MM+</t>
  </si>
  <si>
    <t>EB9-2</t>
  </si>
  <si>
    <t>PATRICIA MIO</t>
  </si>
  <si>
    <t>CAJUSOL GARCÍA JESUS</t>
  </si>
  <si>
    <t xml:space="preserve">BARRIOS RODRÍGUEZ DIEGO </t>
  </si>
  <si>
    <t>NO</t>
  </si>
  <si>
    <t>16 MM+</t>
  </si>
  <si>
    <t>EATME</t>
  </si>
  <si>
    <t>MEGACRISP</t>
  </si>
  <si>
    <t>DE LA CRUZ TORRES EDEN</t>
  </si>
  <si>
    <t xml:space="preserve">CAVERO SUCLUPE RAQUEL </t>
  </si>
  <si>
    <t>CAVERO SUCLUPE ANA</t>
  </si>
  <si>
    <t>ROJAS ESPINOZA LUIS</t>
  </si>
  <si>
    <t>GAMARRA MANRIQUE DANTE JORGE</t>
  </si>
  <si>
    <t xml:space="preserve">TINEO VÁSQUEZ ALEXANDRA </t>
  </si>
  <si>
    <t>CORONADO SUÁREZ ENOC</t>
  </si>
  <si>
    <t>BAILA GONZÁLEZ BRUNO</t>
  </si>
  <si>
    <t>VALENCIA RODRIGUEZ PRISCILA ABIGAIL</t>
  </si>
  <si>
    <t xml:space="preserve">RAMOS BARRERA JORGE LUIS </t>
  </si>
  <si>
    <t>SÁNCHEZ MANAYAY JOSE</t>
  </si>
  <si>
    <t>SIESQUEN ESPINOZA ELMER</t>
  </si>
  <si>
    <t xml:space="preserve">CHUMBES HUAMANI ADRIÁN </t>
  </si>
  <si>
    <t>BAZAN CASIANO JIMMY</t>
  </si>
  <si>
    <t xml:space="preserve">CAMPOS MOZO STHEFANY </t>
  </si>
  <si>
    <t>YPANAQUE SAAVEDRA ROSSY</t>
  </si>
  <si>
    <t>PASCO VÁSQUEZ ANITA</t>
  </si>
  <si>
    <t xml:space="preserve">PAIVA VALLEJOS ELIZABETH </t>
  </si>
  <si>
    <t>SÁNCHEZ MORALES BRISEIDA</t>
  </si>
  <si>
    <t>ESCOBAR PACHECO LUCY</t>
  </si>
  <si>
    <t xml:space="preserve">CHAPOÑAN ZAPATA VIRGINIA </t>
  </si>
  <si>
    <t>DAMIÁN CHINCHAY CHISTIAN</t>
  </si>
  <si>
    <t>DAMIÁN CHINCHAY ALEJANDRA</t>
  </si>
  <si>
    <t>RAMÓN CHAQUILA FLOR</t>
  </si>
  <si>
    <t xml:space="preserve">JUÁREZ INOÑAN MERLY </t>
  </si>
  <si>
    <t>PERALTA TANTARICO DAVID</t>
  </si>
  <si>
    <t>ACOSTA VENTURA NANCY</t>
  </si>
  <si>
    <t xml:space="preserve">SANTIESTEBAN LLONTOP JOSE MANUEL </t>
  </si>
  <si>
    <t>CAJUSOL VALDERA JORGE LUIS</t>
  </si>
  <si>
    <t>CHAMAMÉ FERNÁNDEZ LOIDA</t>
  </si>
  <si>
    <t>RAMÍREZ COBEÑAS ANAI</t>
  </si>
  <si>
    <t>BERMEJO SILUPU  JAIRO</t>
  </si>
  <si>
    <t xml:space="preserve">SOPLAPUCO MOZO JUAN FRANCISCO </t>
  </si>
  <si>
    <t xml:space="preserve">ZAPATA LLONTOP ANDERSON </t>
  </si>
  <si>
    <t>PENGSHENG</t>
  </si>
  <si>
    <t>JIBAJA HUANCAS KAREN</t>
  </si>
  <si>
    <t xml:space="preserve">VALLADOLID SIALER NATALY </t>
  </si>
  <si>
    <t>SANCHEZ CESPEDES MARIBEL</t>
  </si>
  <si>
    <t>SANTOS CHAPA FIORELA</t>
  </si>
  <si>
    <t xml:space="preserve">RINZA VALLADOLID XAVIER </t>
  </si>
  <si>
    <t xml:space="preserve">DIAZ ROJAS LUCILA </t>
  </si>
  <si>
    <t>DELIGHT BERRY VERDE</t>
  </si>
  <si>
    <t>IBUGA 002(ABRIL BLUE)</t>
  </si>
  <si>
    <t>TINEL VÁSQUEZ NICOL</t>
  </si>
  <si>
    <t xml:space="preserve">DÍAZ CALDERÓN MARÍA ESTHER </t>
  </si>
  <si>
    <t>RÍOS CHÁVEZ DILMER_x000D_</t>
  </si>
  <si>
    <t>CASTAÑEDA PONTENCIANO ARLET</t>
  </si>
  <si>
    <t xml:space="preserve">SAAVEDRA MECHAN ELMER </t>
  </si>
  <si>
    <t>AGUILAR PUPUCHE ANA</t>
  </si>
  <si>
    <t>YAMUNAQUE  JIMÉNEZ DIANA</t>
  </si>
  <si>
    <t>DÍAZ JULCA MARIA_x000D_</t>
  </si>
  <si>
    <t xml:space="preserve">PANTA CHERRE LUIS </t>
  </si>
  <si>
    <t>INOÑAN MIO KAREN</t>
  </si>
  <si>
    <t>NEYRA AYALA JOSE</t>
  </si>
  <si>
    <t>VERA SÁNCHEZ CESAR</t>
  </si>
  <si>
    <t>BENITES SIESQUEN JHON</t>
  </si>
  <si>
    <t>SANTISTEBAN SANTISTEBAN DEYSI</t>
  </si>
  <si>
    <t xml:space="preserve">CAJUSOL CHAPOÑAN MERCEDES </t>
  </si>
  <si>
    <t xml:space="preserve">CHUSON HEREDIA JENNIFER </t>
  </si>
  <si>
    <t xml:space="preserve">HUIMAN SIADEN LIZETH </t>
  </si>
  <si>
    <t>HERNÁNDEZ SANDOVAL KEILA</t>
  </si>
  <si>
    <t xml:space="preserve">ASALDE CHIROQUE FERNANDO </t>
  </si>
  <si>
    <t>CABRERA DAMIÁN KEYLA</t>
  </si>
  <si>
    <t xml:space="preserve">PISCOYA JURUPE MARIA </t>
  </si>
  <si>
    <t>SANTAMARÍA TAPIA LUZ</t>
  </si>
  <si>
    <t>ROJAS PASTOR JOSE</t>
  </si>
  <si>
    <t xml:space="preserve">CHAQUILA BUCANEGRA LETICIA </t>
  </si>
  <si>
    <t>LÓPEZ FERNÁNDEZ KAREN</t>
  </si>
  <si>
    <t>RAMOS PURISZACA GRABIEL</t>
  </si>
  <si>
    <t xml:space="preserve">TANTA REYES DANNY </t>
  </si>
  <si>
    <t>PISCOYA JURUPE JESUS</t>
  </si>
  <si>
    <t>CASAS BARRERA YESICA</t>
  </si>
  <si>
    <t>COBEÑAS ROQUE YAQUELINE</t>
  </si>
  <si>
    <t>FLORES LIZANA AYRELY</t>
  </si>
  <si>
    <t>LLAGUENTO FARRO AGUSTIN</t>
  </si>
  <si>
    <t>PINTADO CALDERON VALERIA</t>
  </si>
  <si>
    <t>RÍOS CHAVES MARÍA DIANA</t>
  </si>
  <si>
    <t xml:space="preserve">LLAGUENTO YESQUEN ESTEFANÍA </t>
  </si>
  <si>
    <t>ACARO CALLE MARIA JENY</t>
  </si>
  <si>
    <t>TINEO ZEÑA ANGGY ZADITH</t>
  </si>
  <si>
    <t>INOÑAN CAJUSOL DANITZA ONELIA</t>
  </si>
  <si>
    <t>HORA DE EVALUACIÓN</t>
  </si>
  <si>
    <t>N° DE CLAMSHELL EVALUADO</t>
  </si>
  <si>
    <t>ESPECIFICACIONES DE EVALUACIÓN</t>
  </si>
  <si>
    <t>TIPO DE EMPAQUE</t>
  </si>
  <si>
    <t>CONVENCIONAL</t>
  </si>
  <si>
    <t>JUMBO</t>
  </si>
  <si>
    <t>DELIGHT BERRY</t>
  </si>
  <si>
    <t>ETIQUETA CLAMSHELL</t>
  </si>
  <si>
    <t>BERRY TASTY</t>
  </si>
  <si>
    <t>FRESH BLUEBERRY</t>
  </si>
  <si>
    <t>BAJO CALIBRE</t>
  </si>
  <si>
    <t>MANCHAS EXTRAÑAS</t>
  </si>
  <si>
    <t>MANCHA EXTRAÑAS (%)</t>
  </si>
  <si>
    <t>BAJO CALIBRE  (%)</t>
  </si>
  <si>
    <t>IMMADURO VERDE (%)</t>
  </si>
  <si>
    <t>TIPO DE DEFECTO</t>
  </si>
  <si>
    <t>CLASIFICACIÓN</t>
  </si>
  <si>
    <t>DEFECTO</t>
  </si>
  <si>
    <t>DAÑO POR AVE</t>
  </si>
  <si>
    <t>TAMAÑO</t>
  </si>
  <si>
    <t>OTROS DEFECTOS CRÍTICOS</t>
  </si>
  <si>
    <t>DEFECTOS DE CONDICIÓN</t>
  </si>
  <si>
    <t>DEFECTOS DE CALIDAD</t>
  </si>
  <si>
    <t>DEFECTOS DESCARTE ( 0% TOLERANCIA)</t>
  </si>
  <si>
    <t>IMMADUREZ SEVERA</t>
  </si>
  <si>
    <t>OTROS DEFECTOS LEVES</t>
  </si>
  <si>
    <t>IMMADUREZ LEVE</t>
  </si>
  <si>
    <t>PUDRICIÓN/HONGO</t>
  </si>
  <si>
    <t>EXUDACIÓN</t>
  </si>
  <si>
    <t>CATEGORIA</t>
  </si>
  <si>
    <t>PESO BRUTO ESTBALECIDO</t>
  </si>
  <si>
    <t>N° LÍNEA</t>
  </si>
  <si>
    <t>NOMBRE Y APELLIDOS</t>
  </si>
  <si>
    <t>VALORES</t>
  </si>
  <si>
    <t>MEDIDA CORRECTIVA</t>
  </si>
  <si>
    <t>VALOR 2</t>
  </si>
  <si>
    <t>12 MM+</t>
  </si>
  <si>
    <t>ALWAYS FRESH</t>
  </si>
  <si>
    <t>SE</t>
  </si>
  <si>
    <t>141.5 - 142.0</t>
  </si>
  <si>
    <t>70215616</t>
  </si>
  <si>
    <t>ROQUE ZAVALA PAULINO ROBERT</t>
  </si>
  <si>
    <t xml:space="preserve">ACOSTA CALLACNA MANUEL </t>
  </si>
  <si>
    <t>OZBLUE</t>
  </si>
  <si>
    <t>USA</t>
  </si>
  <si>
    <t>6 oz</t>
  </si>
  <si>
    <t>BERRY BOOM</t>
  </si>
  <si>
    <t>ROSITA</t>
  </si>
  <si>
    <t>588.5 - 589</t>
  </si>
  <si>
    <t>72368175</t>
  </si>
  <si>
    <t>BARANDIARAN ESTEVES VICTORIA</t>
  </si>
  <si>
    <t xml:space="preserve">ACOSTA SANCHEZ JOSE </t>
  </si>
  <si>
    <t>DRISCOLL´S</t>
  </si>
  <si>
    <t>11 oz</t>
  </si>
  <si>
    <t>BIANCA BLUE</t>
  </si>
  <si>
    <t>43102924</t>
  </si>
  <si>
    <t>CAHUAZA MENESES HORISON</t>
  </si>
  <si>
    <t xml:space="preserve">BANCES SANTIESTEBAN MELISSA </t>
  </si>
  <si>
    <t>18 oz</t>
  </si>
  <si>
    <t>BERRY PRINCESS</t>
  </si>
  <si>
    <t>75459229</t>
  </si>
  <si>
    <t xml:space="preserve">CHAPOÑAN ZAPATA JESUS </t>
  </si>
  <si>
    <t>20 MM+</t>
  </si>
  <si>
    <t>BERRY VALLEY</t>
  </si>
  <si>
    <t>61123652</t>
  </si>
  <si>
    <t>PADILLA MANCHAY ELICIA</t>
  </si>
  <si>
    <t xml:space="preserve">CHAPOÑAN ZAPATA MARIELA </t>
  </si>
  <si>
    <t>BLUE BERRY</t>
  </si>
  <si>
    <t>MEGAGRAND</t>
  </si>
  <si>
    <t>FARROÑAN SANDOVAL MANUEL</t>
  </si>
  <si>
    <t>MEGAEARLY</t>
  </si>
  <si>
    <t>75790001</t>
  </si>
  <si>
    <t>SANTISTEBAN ALAMO JAIR MICHAEL</t>
  </si>
  <si>
    <t>LLONTOP PINGO LUCINDA</t>
  </si>
  <si>
    <t>DRISCOLL´S SWEETEST BATCH</t>
  </si>
  <si>
    <t>MEGAONE</t>
  </si>
  <si>
    <t>40655735</t>
  </si>
  <si>
    <t>SUCLUPE SANDOVAL MARCIAL</t>
  </si>
  <si>
    <t>LLONTOP PINGO VIOLETA</t>
  </si>
  <si>
    <t>MEGACROP</t>
  </si>
  <si>
    <t>60447916</t>
  </si>
  <si>
    <t>TAPIA RUBIO JAHAIRA GUISCEL</t>
  </si>
  <si>
    <t>LLONTOP SANTAMARÍA ESPERANZA</t>
  </si>
  <si>
    <t>DELIGHT BERRY CELESTE</t>
  </si>
  <si>
    <t>OZBLU</t>
  </si>
  <si>
    <t xml:space="preserve">EUREKA SUNRISE </t>
  </si>
  <si>
    <t>78114711</t>
  </si>
  <si>
    <t>LLONTOP SANTAMARÍA JULIA</t>
  </si>
  <si>
    <t xml:space="preserve">SOFIA </t>
  </si>
  <si>
    <t>BARRIOS FLORES FLOR</t>
  </si>
  <si>
    <t xml:space="preserve">MACALOPU SERREPE KASANDRA </t>
  </si>
  <si>
    <t>SUNBELLE</t>
  </si>
  <si>
    <t>LEASA</t>
  </si>
  <si>
    <t>MACALOPU SERREPE ROMARIO</t>
  </si>
  <si>
    <t>SUN BELLE</t>
  </si>
  <si>
    <t>BREEZE</t>
  </si>
  <si>
    <t>MAZA IZQUIERDO RUTH</t>
  </si>
  <si>
    <t>OLIVIA</t>
  </si>
  <si>
    <t xml:space="preserve">MONTALVÁN GÓMEZ ANDY </t>
  </si>
  <si>
    <t>VIOLETA</t>
  </si>
  <si>
    <t>MORI BANCES CECILIO</t>
  </si>
  <si>
    <t>CAROLINA</t>
  </si>
  <si>
    <t>NIMA TORRES JOSE</t>
  </si>
  <si>
    <t xml:space="preserve">CAROLINA </t>
  </si>
  <si>
    <t>OLIVA NIMA TOMAS</t>
  </si>
  <si>
    <t>DINA</t>
  </si>
  <si>
    <t>PECHE SANTIESTEBAN GEAN MARCO</t>
  </si>
  <si>
    <t>AMY</t>
  </si>
  <si>
    <t xml:space="preserve">PECHE SANTIESTEBAN ROGGER </t>
  </si>
  <si>
    <t>IBUGA 001 (ALESSIA BLUE)</t>
  </si>
  <si>
    <t xml:space="preserve">SANDOVAL BANCES ALEXIS </t>
  </si>
  <si>
    <t>APEX (FCM14-057)</t>
  </si>
  <si>
    <t>SANDOVAL FARROÑAN DIANA</t>
  </si>
  <si>
    <t>CASCADE</t>
  </si>
  <si>
    <t xml:space="preserve">SANDOVAL FARROÑAN HERBER </t>
  </si>
  <si>
    <t>FCM17 - 132</t>
  </si>
  <si>
    <t>SANTAMARÍA BALDERA MARTINA</t>
  </si>
  <si>
    <t>NS 16-07</t>
  </si>
  <si>
    <t>SANTAMARÍA SOPLAPUCO JUANA</t>
  </si>
  <si>
    <t xml:space="preserve">SANTIESTEBAN LLONTOP DILBER </t>
  </si>
  <si>
    <t xml:space="preserve">SIESQUEN SANDOVAL ELIZABETH </t>
  </si>
  <si>
    <t xml:space="preserve">SOPLAPUCO LLONTOP MIGUEL </t>
  </si>
  <si>
    <t>SOPLOPUCO SANTAMARÍA MARTIN</t>
  </si>
  <si>
    <t xml:space="preserve">SUCLUPE SANDOVAL CESAR </t>
  </si>
  <si>
    <t>TANTALEAN ACOSTA DAVID</t>
  </si>
  <si>
    <t>TINEO CUEVA LUZ</t>
  </si>
  <si>
    <t>TIQUILLAHUANCA SÁNCHEZ SAMUEL_x000D_</t>
  </si>
  <si>
    <t>VALDERA SANTIESTEBAN FRANK</t>
  </si>
  <si>
    <t xml:space="preserve">ZEÑA  SANTIESTEBAN JOSÉ </t>
  </si>
  <si>
    <t>USA SWEETEST BATCH</t>
  </si>
  <si>
    <t>EUROPA/USA</t>
  </si>
  <si>
    <t>TOLERANCIA POR DESTINO</t>
  </si>
  <si>
    <t>PESO BRUTO ESTABLECIDO</t>
  </si>
  <si>
    <t>LA NOTA DEPENDE DE LOS % DE TOLERANCIA POR 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</si>
</sst>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DA6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/>
      <bottom/>
      <diagonal/>
    </border>
    <border>
      <left style="thin">
        <color theme="5"/>
      </left>
      <right style="thin">
        <color theme="5"/>
      </right>
      <top/>
      <bottom/>
      <diagonal/>
    </border>
    <border>
      <left style="thin">
        <color theme="5"/>
      </left>
      <right style="thin">
        <color theme="5"/>
      </right>
      <top/>
      <bottom style="medium">
        <color theme="5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6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6"/>
      </right>
      <top/>
      <bottom/>
      <diagonal/>
    </border>
    <border>
      <left/>
      <right style="thin">
        <color theme="6"/>
      </right>
      <top/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/>
    <xf numFmtId="0" fontId="5" fillId="5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9" fontId="3" fillId="0" borderId="0" xfId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0" fillId="0" borderId="4" xfId="0" applyBorder="1"/>
    <xf numFmtId="0" fontId="1" fillId="0" borderId="0" xfId="0" applyFont="1"/>
    <xf numFmtId="0" fontId="1" fillId="7" borderId="0" xfId="0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0" fontId="0" fillId="0" borderId="0" xfId="0" applyAlignment="1"/>
    <xf numFmtId="0" fontId="4" fillId="2" borderId="3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4" fillId="3" borderId="14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15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4" fillId="2" borderId="9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9" fontId="1" fillId="0" borderId="14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0" fillId="9" borderId="18" xfId="0" applyFill="1" applyBorder="1"/>
    <xf numFmtId="0" fontId="0" fillId="0" borderId="18" xfId="0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9" xfId="0" applyBorder="1"/>
    <xf numFmtId="0" fontId="4" fillId="2" borderId="2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4" fillId="2" borderId="3" xfId="0" applyFont="1" applyFill="1" applyBorder="1" applyAlignment="1">
      <alignment vertical="center" wrapText="1"/>
    </xf>
    <xf numFmtId="9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9" fontId="1" fillId="0" borderId="14" xfId="0" applyNumberFormat="1" applyFont="1" applyFill="1" applyBorder="1" applyAlignment="1">
      <alignment horizontal="center" vertical="center"/>
    </xf>
    <xf numFmtId="9" fontId="1" fillId="0" borderId="3" xfId="0" applyNumberFormat="1" applyFont="1" applyFill="1" applyBorder="1" applyAlignment="1">
      <alignment horizontal="center" vertical="center"/>
    </xf>
    <xf numFmtId="9" fontId="1" fillId="0" borderId="15" xfId="0" applyNumberFormat="1" applyFont="1" applyFill="1" applyBorder="1" applyAlignment="1">
      <alignment horizontal="center" vertical="center"/>
    </xf>
    <xf numFmtId="9" fontId="1" fillId="0" borderId="8" xfId="0" applyNumberFormat="1" applyFont="1" applyFill="1" applyBorder="1" applyAlignment="1">
      <alignment horizontal="center" vertical="center"/>
    </xf>
    <xf numFmtId="9" fontId="1" fillId="0" borderId="25" xfId="0" applyNumberFormat="1" applyFont="1" applyBorder="1" applyAlignment="1">
      <alignment horizontal="center" vertical="center"/>
    </xf>
    <xf numFmtId="9" fontId="1" fillId="0" borderId="26" xfId="0" applyNumberFormat="1" applyFont="1" applyBorder="1" applyAlignment="1">
      <alignment horizontal="center" vertical="center"/>
    </xf>
    <xf numFmtId="9" fontId="1" fillId="0" borderId="27" xfId="0" applyNumberFormat="1" applyFont="1" applyBorder="1" applyAlignment="1">
      <alignment horizontal="center" vertical="center"/>
    </xf>
    <xf numFmtId="9" fontId="1" fillId="0" borderId="20" xfId="0" applyNumberFormat="1" applyFont="1" applyBorder="1" applyAlignment="1">
      <alignment horizontal="center" vertical="center"/>
    </xf>
    <xf numFmtId="9" fontId="1" fillId="0" borderId="0" xfId="0" applyNumberFormat="1" applyFont="1" applyBorder="1" applyAlignment="1">
      <alignment horizontal="center" vertical="center"/>
    </xf>
    <xf numFmtId="9" fontId="1" fillId="0" borderId="22" xfId="0" applyNumberFormat="1" applyFont="1" applyBorder="1" applyAlignment="1">
      <alignment horizontal="center" vertical="center"/>
    </xf>
    <xf numFmtId="9" fontId="1" fillId="0" borderId="12" xfId="0" applyNumberFormat="1" applyFont="1" applyBorder="1" applyAlignment="1">
      <alignment horizontal="center" vertical="center"/>
    </xf>
    <xf numFmtId="9" fontId="1" fillId="0" borderId="13" xfId="0" applyNumberFormat="1" applyFont="1" applyBorder="1" applyAlignment="1">
      <alignment horizontal="center" vertical="center"/>
    </xf>
    <xf numFmtId="9" fontId="1" fillId="0" borderId="23" xfId="0" applyNumberFormat="1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58">
    <dxf>
      <font>
        <color rgb="FF0070C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medium">
          <color theme="5"/>
        </bottom>
      </border>
    </dxf>
    <dxf>
      <border outline="0">
        <top style="thin">
          <color theme="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0</xdr:row>
      <xdr:rowOff>76200</xdr:rowOff>
    </xdr:from>
    <xdr:to>
      <xdr:col>0</xdr:col>
      <xdr:colOff>1136650</xdr:colOff>
      <xdr:row>0</xdr:row>
      <xdr:rowOff>819150</xdr:rowOff>
    </xdr:to>
    <xdr:pic>
      <xdr:nvPicPr>
        <xdr:cNvPr id="2" name="Image 5">
          <a:extLst>
            <a:ext uri="{FF2B5EF4-FFF2-40B4-BE49-F238E27FC236}">
              <a16:creationId xmlns:a16="http://schemas.microsoft.com/office/drawing/2014/main" id="{DF7311E4-F0A5-44CB-9351-5FA0A7F813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1300" y="76200"/>
          <a:ext cx="895350" cy="7429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tsy Verónica Crisanto Valdiviezo" id="{58FAC576-ACF6-4F9F-9C9F-7E484B04B816}" userId="11cccf13f291d83d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10944D-77F4-4F54-A20D-9D4D50C52874}" name="Tabla2" displayName="Tabla2" ref="A4:T174" totalsRowShown="0" headerRowDxfId="27" dataDxfId="26" headerRowBorderDxfId="24" tableBorderDxfId="25">
  <autoFilter ref="A4:T174" xr:uid="{513F55DE-4CE7-4693-8035-58E907F2AA8C}"/>
  <tableColumns count="20">
    <tableColumn id="1" xr3:uid="{BECFE214-A596-4629-825D-4B0F49F1764D}" name="CLIENTE" dataDxfId="23"/>
    <tableColumn id="2" xr3:uid="{9E525E25-9693-4FFB-9CCA-374251ACB356}" name="DESTINO" dataDxfId="22"/>
    <tableColumn id="3" xr3:uid="{304A6069-0870-4C1E-AEB4-F7342F81CA37}" name="FORMATO" dataDxfId="21"/>
    <tableColumn id="4" xr3:uid="{36C10FF1-F087-4BFB-94CE-D1AAB5A3C4E8}" name="CALIBRE" dataDxfId="20"/>
    <tableColumn id="5" xr3:uid="{D3C39E8F-8DB3-4900-B747-3AF978FEBB11}" name="TIPO DE EMPAQUE" dataDxfId="19"/>
    <tableColumn id="6" xr3:uid="{04DC5034-AB26-415F-AFBD-B53417ED2505}" name="EMBALAJE CAJA" dataDxfId="18"/>
    <tableColumn id="7" xr3:uid="{AF128333-8C2D-442B-9F65-C3FDD904C80C}" name="ETIQUETA CLAMSHELL" dataDxfId="17"/>
    <tableColumn id="8" xr3:uid="{45F2B99B-E8A8-401B-8DF3-A6BE8B445CE5}" name="VARIEDAD" dataDxfId="16"/>
    <tableColumn id="10" xr3:uid="{19C21AE5-69F6-4B4A-B4DF-6D9A1BE7E9BD}" name="PESO BRUTO ESTBALECIDO" dataDxfId="15"/>
    <tableColumn id="11" xr3:uid="{14D9A349-6443-4119-A45A-F37E39379A45}" name="DNI_x000a_INSPECTOR CALIDAD" dataDxfId="14"/>
    <tableColumn id="12" xr3:uid="{57B47F95-3519-4CFC-96AD-B8886088EAFE}" name="APELLIDOS Y NOMBRE_x000a_INSPECTOR CALIDAD" dataDxfId="13"/>
    <tableColumn id="13" xr3:uid="{94ABD5C4-4812-4A38-A51C-33F9D79C6C87}" name="N° LÍNEA" dataDxfId="12"/>
    <tableColumn id="14" xr3:uid="{8E673959-22BF-4E81-9C22-E7DE478E7D43}" name="DNI EMPACADOR" dataDxfId="11"/>
    <tableColumn id="15" xr3:uid="{6C66D995-B37F-4C9A-99B4-248316458BE7}" name="NOMBRE Y APELLIDOS" dataDxfId="10"/>
    <tableColumn id="16" xr3:uid="{35815D58-E0CC-4A23-B2CE-AE4B874CEC07}" name="VALORES" dataDxfId="9"/>
    <tableColumn id="17" xr3:uid="{AF51FBCC-0BED-44C4-B8D1-F713A1D1DDE2}" name="INTERVALO DE COSECHA" dataDxfId="8"/>
    <tableColumn id="18" xr3:uid="{2ABD27A6-DA69-4A1B-860E-4CA2D3AE0AFB}" name="MEDIDA CORRECTIVA" dataDxfId="7"/>
    <tableColumn id="19" xr3:uid="{9BCB1847-2560-44A2-BD9F-330945B0D1C0}" name="VALOR 2" dataDxfId="6"/>
    <tableColumn id="20" xr3:uid="{C297245C-6676-44D3-84F9-31AC87C08FFA}" name="PRODUCTOR" dataDxfId="5"/>
    <tableColumn id="21" xr3:uid="{582F3F9F-A032-4783-963F-C744298A3785}" name="NOTA" dataDxfId="4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A5A0C-CF2B-46B5-B912-CD41576924FF}" name="Tabla152" displayName="Tabla152" ref="A9:DZ270" totalsRowShown="0" headerRowDxfId="157" dataDxfId="156">
  <autoFilter ref="A9:DZ270" xr:uid="{A2978193-9530-4FE1-81AE-CFE7751E99DA}"/>
  <tableColumns count="130">
    <tableColumn id="77" xr3:uid="{815BC96B-7730-4FE7-86EE-09EA3B16C002}" name="ID" dataDxfId="155">
      <calculatedColumnFormula>IF(W10="","",IF(ROW()=10,1,IF(W10=W9,A9,MAX($A$9:A9)+1)))</calculatedColumnFormula>
    </tableColumn>
    <tableColumn id="19" xr3:uid="{02DF6BC8-FD02-44B7-8A33-A5B861119BB9}" name="SEMANA" dataDxfId="154">
      <calculatedColumnFormula>WEEKNUM(Tabla152[[#This Row],[FECHA DE COSECHA]],21)</calculatedColumnFormula>
    </tableColumn>
    <tableColumn id="79" xr3:uid="{6E936032-761B-4FF9-BF99-3FD991ECAE36}" name="HORA DE EVALUACIÓN" dataDxfId="153"/>
    <tableColumn id="2" xr3:uid="{C0F0D202-CD43-420B-A7E4-2462D6078634}" name="FECHA DE COSECHA" dataDxfId="152"/>
    <tableColumn id="1" xr3:uid="{179C5399-315A-4471-89A8-91F933E7B6BD}" name="FECHA DE EMPAQUE" dataDxfId="151"/>
    <tableColumn id="3" xr3:uid="{62D6FCE3-4B1B-4902-B559-6AB27A11663D}" name="N° PLANTA DE EMPAQUE" dataDxfId="150"/>
    <tableColumn id="4" xr3:uid="{F43F9DF8-A593-4F73-B91B-5BC634329435}" name="TURNO DE EMPAQUE" dataDxfId="149"/>
    <tableColumn id="93" xr3:uid="{6E5172C8-FA19-4D0B-B8BD-DB6E469B19E1}" name="PRODUCTOR" dataDxfId="148"/>
    <tableColumn id="34" xr3:uid="{F85D3BB2-06C7-46B0-B322-DBB3C3B0EC2C}" name="CLIENTE" dataDxfId="147"/>
    <tableColumn id="25" xr3:uid="{6BAA0930-073B-4D2C-B953-BD57F653B517}" name="DESTINO" dataDxfId="146"/>
    <tableColumn id="9" xr3:uid="{BFBCD0AA-5353-49AD-A7F2-8607BFCCFA0F}" name="VARIEDAD" dataDxfId="145"/>
    <tableColumn id="18" xr3:uid="{738DC84B-12D7-4D8F-AEAA-B363DCDC3E51}" name="FORMATO" dataDxfId="144"/>
    <tableColumn id="86" xr3:uid="{A77198E8-09AA-4F7F-A816-5BD80C9D34A3}" name="TIPO DE EMPAQUE" dataDxfId="143"/>
    <tableColumn id="85" xr3:uid="{8CD252C9-BAC5-4360-960E-A1D3EFE59E54}" name="CALIBRE" dataDxfId="142"/>
    <tableColumn id="80" xr3:uid="{915B16BF-C5C4-4C3A-8137-78AD93770E90}" name="EMBALAJE CAJA" dataDxfId="141"/>
    <tableColumn id="17" xr3:uid="{97C3D6F0-B0B1-4F48-965A-D818BD150E1A}" name="ETIQUETA CLAMSHELL" dataDxfId="140"/>
    <tableColumn id="107" xr3:uid="{0D1B9209-F187-4F84-9EC3-892CFE9160B7}" name="PESO BRUTO ESTABLECIDO" dataDxfId="2"/>
    <tableColumn id="63" xr3:uid="{EF2AC61F-A1FC-4856-B71C-0C7A233890BF}" name="INTERVALO DE COSECHA" dataDxfId="139"/>
    <tableColumn id="5" xr3:uid="{84BC8DFC-2B5A-4A54-8241-49FE219DD23C}" name="DNI_x000a_INSPECTOR CALIDAD" dataDxfId="138"/>
    <tableColumn id="64" xr3:uid="{1F7B67E8-258B-49B3-80E0-813867DC1DA3}" name="APELLIDOS Y NOMBRE_x000a_INSPECTOR CALIDAD" dataDxfId="137"/>
    <tableColumn id="6" xr3:uid="{222BB5BC-C7D4-40AB-B880-503C0BFDAE13}" name="SUPERVISOR DE PRODUCCIÓN" dataDxfId="136"/>
    <tableColumn id="67" xr3:uid="{3D8E5F96-374D-4692-AA12-9459451D2FBA}" name="DNI EMPACADOR" dataDxfId="135"/>
    <tableColumn id="7" xr3:uid="{8CC1BC6D-BBC7-46AF-B2A7-2AE84AD88C5C}" name="APELLIDOS Y NOMBRE_x000a_EMPACADOR" dataDxfId="134"/>
    <tableColumn id="42" xr3:uid="{BF983B54-9A42-46AB-91CB-D2AF79C29E42}" name="N° BAYAS EVALUADAS" dataDxfId="133"/>
    <tableColumn id="65" xr3:uid="{2F704175-7329-4923-98C5-365E73EFF87A}" name="N° DE CLAMSHELL EVALUADO" dataDxfId="132"/>
    <tableColumn id="12" xr3:uid="{FEA62B51-6DE2-4F8B-9762-D56B4F370B59}" name="NOTA" dataDxfId="131"/>
    <tableColumn id="13" xr3:uid="{8439DDF5-F5E2-4F0F-ADC0-E4BAA8E2B4FF}" name="ESTANDAR DE CALIDAD /CLAMSHELL" dataDxfId="130">
      <calculatedColumnFormula>IF(Tabla152[[#This Row],[NOTA]]=15,"CUMPLE","NO CUMPLE")</calculatedColumnFormula>
    </tableColumn>
    <tableColumn id="78" xr3:uid="{93E8BAEB-C8AD-4092-AFAD-8CECD7A4C15C}" name="ESTANDAR DE CALIDAD /EMPACADOR" dataDxfId="129">
      <calculatedColumnFormula>IF(COUNTIF($A$10:A10,A10)=1,IF(COUNTIFS($A:$A,A10,$AA:$AA,"NO CUMPLE")&gt;0,"NO CUMPLE","CUMPLE"),"")</calculatedColumnFormula>
    </tableColumn>
    <tableColumn id="66" xr3:uid="{DA50D952-DA32-4FF6-802D-4BA33B14118D}" name="MEDIDA CORRECTIVA APLICADA" dataDxfId="128"/>
    <tableColumn id="14" xr3:uid="{52692FA2-25B5-4557-81B2-95501E11A4DA}" name="DESGARRO LEVE SECO" dataDxfId="127"/>
    <tableColumn id="15" xr3:uid="{1B7C0D5C-B2EC-425C-BA68-2EAE1E09F662}" name="PRESENCIA DE COROLA" dataDxfId="126"/>
    <tableColumn id="20" xr3:uid="{ED5A93BF-C976-4DAB-92FC-52E419CC8F41}" name="PRESENCIA DE RESTO FLORAL VERDE" dataDxfId="125"/>
    <tableColumn id="21" xr3:uid="{BA3826D1-A169-4C55-9D7C-73FC9F07AFCF}" name="PRESENCIA DE PEDÚNCULO" dataDxfId="124"/>
    <tableColumn id="22" xr3:uid="{22CD0838-423C-42B4-A581-FC058158CA08}" name="POCA PRESENCIA DE BLOOM" dataDxfId="123"/>
    <tableColumn id="95" xr3:uid="{1CE6E7C8-A865-4BD7-B590-A2961C400C5E}" name="SIN BLOOM" dataDxfId="39"/>
    <tableColumn id="23" xr3:uid="{6F697890-0B4F-4569-AF7E-A299B461DA90}" name="ROJO GRADO 1" dataDxfId="122"/>
    <tableColumn id="24" xr3:uid="{4606ECCC-41E5-4854-A916-E78E7B1558A1}" name="ARO PEDICELAR VERDE LEVE" dataDxfId="121"/>
    <tableColumn id="62" xr3:uid="{0E0E55F5-2291-474F-ACA1-94D8F5946F65}" name="DAÑO DE TRIPS LEVE" dataDxfId="120"/>
    <tableColumn id="60" xr3:uid="{21AE20FC-8A45-4852-A8B4-5600BF2FD06B}" name="INSERCIÓN DE PEDÚNCULO LEVE" dataDxfId="119"/>
    <tableColumn id="59" xr3:uid="{EE16BB32-89DD-4A88-83BC-6832F06563E6}" name="POLVO LEVE" dataDxfId="118"/>
    <tableColumn id="27" xr3:uid="{BB46EF5B-3CF1-422D-9F7C-FDA3FEF2CEF2}" name="DEFORME" dataDxfId="117"/>
    <tableColumn id="28" xr3:uid="{6C71B9D9-9845-4B90-AA23-D0FEB7B7AFE4}" name="CERA DE ABEJA" dataDxfId="116"/>
    <tableColumn id="29" xr3:uid="{301E9A33-55F2-4A2C-83E1-7A2E3A1FA158}" name="DESHIDRATADO LEVE" dataDxfId="115"/>
    <tableColumn id="30" xr3:uid="{6E994A66-54F3-4A47-89D4-9110C0E4944D}" name="DESHIDRATADO EXTREMO" dataDxfId="114"/>
    <tableColumn id="51" xr3:uid="{74EE0FB9-8B0C-44E8-A906-14A186594BB7}" name="DESHIDRATADO INMADURO" dataDxfId="113"/>
    <tableColumn id="52" xr3:uid="{9B8373F7-F8D6-47F5-B9CA-278177ECA9E4}" name="DESGARRO LEVE MOJADO" dataDxfId="112"/>
    <tableColumn id="53" xr3:uid="{37AA05DA-9F4E-4207-B059-84FA3B178150}" name="PULPA EXPUESTA" dataDxfId="111"/>
    <tableColumn id="16" xr3:uid="{0B9FA297-5339-4CA0-B500-DA5B423C3B98}" name="PARTIDOS/RAJADOS" dataDxfId="110"/>
    <tableColumn id="54" xr3:uid="{AB96E1E6-734D-4F6D-A6B0-E4DFCA828A0A}" name="INSERCIÓN DE PEDÚNCULO EXTREMO" dataDxfId="109"/>
    <tableColumn id="56" xr3:uid="{8EBE4EDE-AC03-48A5-B3AA-9C4316264992}" name="EXUDADOS" dataDxfId="108"/>
    <tableColumn id="55" xr3:uid="{C62B67BC-23EA-4D82-A4CB-6F36F0346FD7}" name="APLASTADOS" dataDxfId="107"/>
    <tableColumn id="57" xr3:uid="{C318B14B-742A-4C03-B9C6-CA3366B0F7A3}" name="DESGARRO GRADO 2 A MÁS" dataDxfId="106"/>
    <tableColumn id="58" xr3:uid="{3854BDDD-4676-4ED4-B804-E9B76D608771}" name="BLANDO" dataDxfId="105"/>
    <tableColumn id="31" xr3:uid="{9419114C-3453-4264-8E31-9514A7502CA0}" name="COLAPSADO" dataDxfId="104"/>
    <tableColumn id="32" xr3:uid="{C8D4B614-1179-4436-BCBE-FE0C1228A2B4}" name="PICADO DE AVE" dataDxfId="103"/>
    <tableColumn id="36" xr3:uid="{718428D2-C7EC-4A47-8E7B-F8D32B34DE9E}" name="PICADO DE AVE CON PUDRICIÓN" dataDxfId="102"/>
    <tableColumn id="37" xr3:uid="{361F6024-A8EB-4989-B3B7-CE587C46EE09}" name="PODRIDO" dataDxfId="101"/>
    <tableColumn id="38" xr3:uid="{C1604650-212D-4168-9F46-5E7D7BA79262}" name="HONGO" dataDxfId="100"/>
    <tableColumn id="39" xr3:uid="{49264701-80F6-41B7-B089-5C01E72D09F5}" name="FUMAGINA" dataDxfId="99"/>
    <tableColumn id="40" xr3:uid="{870C15E3-6087-4578-BE97-7AB2CC79F9D8}" name="PRESENCIA DE LARVA" dataDxfId="98"/>
    <tableColumn id="41" xr3:uid="{721AF51C-F813-49D7-8048-E732E0C94970}" name="VESTIGIOS" dataDxfId="97"/>
    <tableColumn id="45" xr3:uid="{E5AF7E6A-3507-495E-96BD-E6A1D7C2DFAC}" name="CHANCHITO BLANCO" dataDxfId="96"/>
    <tableColumn id="46" xr3:uid="{79DBF59E-3345-474B-B946-5A2EFC130D9D}" name="EXCRETA DE AVE" dataDxfId="95"/>
    <tableColumn id="47" xr3:uid="{BAE19E8E-A48F-4ABE-AA90-B1C3653A2C4E}" name="PICADO DE INSECTOS" dataDxfId="94"/>
    <tableColumn id="48" xr3:uid="{0333D839-A2E5-4161-BA6F-B3FAD392944E}" name="ROJO GRADO 2 A MÁS" dataDxfId="93"/>
    <tableColumn id="94" xr3:uid="{302529C6-F946-4B63-A874-9B2CF01B4249}" name="IMMADURO VERDE" dataDxfId="92"/>
    <tableColumn id="49" xr3:uid="{3BFE5F2A-6472-4F5A-AA1C-AF203C7A7779}" name="DESORDEN POR MADURACIÓN" dataDxfId="91"/>
    <tableColumn id="50" xr3:uid="{AD813DA3-9BAA-4E17-80D7-F94443FBAA82}" name="POLVO EXTREMO" dataDxfId="90"/>
    <tableColumn id="26" xr3:uid="{DC776A97-38BC-469E-BC51-5FCAE78953CB}" name="ARO PEDICELAR VERDE EXTREMO" dataDxfId="89"/>
    <tableColumn id="33" xr3:uid="{2C48EF79-F4E9-466A-BBFD-1066257C9E44}" name="DAÑO DE TRIPS EXTREMO" dataDxfId="88"/>
    <tableColumn id="43" xr3:uid="{3D489DB1-094D-44E5-8C31-931A1B4D933A}" name="DAÑO MECÁNICO" dataDxfId="87"/>
    <tableColumn id="8" xr3:uid="{73E76A55-C38D-49DE-8259-45A51F01A705}" name="MANCHAS EXTRAÑAS" dataDxfId="86"/>
    <tableColumn id="68" xr3:uid="{4278F954-C5B0-48D8-A8BF-278B70157AFE}" name="BAJO CALIBRE" dataDxfId="85"/>
    <tableColumn id="75" xr3:uid="{D2E37433-B09D-4340-B565-7FF97885F100}" name="OBSERVACIONES" dataDxfId="84"/>
    <tableColumn id="129" xr3:uid="{4D8454E0-55EB-445C-BFD2-6BA714055C8D}" name="DESGARRO LEVE SECO (%)" dataDxfId="83"/>
    <tableColumn id="130" xr3:uid="{757FE9BE-18E0-4D57-A55F-C6DAE59DC563}" name="PRESENCIA DE COROLA (%)" dataDxfId="82">
      <calculatedColumnFormula>IF($X10="","",AE10/$X$10)</calculatedColumnFormula>
    </tableColumn>
    <tableColumn id="131" xr3:uid="{94E52E16-BCB4-487D-9B43-29C79FF37271}" name="PRESENCIA DE RESTO FLORAL VERDE (%)" dataDxfId="81">
      <calculatedColumnFormula>IF($X10="","",AF10/$X$10)</calculatedColumnFormula>
    </tableColumn>
    <tableColumn id="132" xr3:uid="{FB71A418-8D86-4AEC-8F38-7CCFAEB13F25}" name="PRESENCIA DE PEDÚNCULO (%)" dataDxfId="80">
      <calculatedColumnFormula>IF($X10="","",AG10/$X$10)</calculatedColumnFormula>
    </tableColumn>
    <tableColumn id="133" xr3:uid="{941D6038-ABD9-44FA-AEA7-717FA4C46BF2}" name="POCA PRESENCIA DE BLOOM (%)" dataDxfId="79">
      <calculatedColumnFormula>IF($X10="","",AH10/$X$10)</calculatedColumnFormula>
    </tableColumn>
    <tableColumn id="97" xr3:uid="{79F40518-F46E-47DC-9341-08BE292D6303}" name="SIN BLOOM (%)" dataDxfId="37">
      <calculatedColumnFormula>IF($X10="","",AI10/$X$10)</calculatedColumnFormula>
    </tableColumn>
    <tableColumn id="134" xr3:uid="{07EF08B9-C46D-4539-9B01-7F2B93B32372}" name="ROJO GRADO (%)" dataDxfId="78">
      <calculatedColumnFormula>IF($X10="","",AJ10/$X$10)</calculatedColumnFormula>
    </tableColumn>
    <tableColumn id="135" xr3:uid="{82F29094-D103-4788-AE2F-42FA7C726ACE}" name="ARO PEDICELAR VERDE LEVE (%)" dataDxfId="77">
      <calculatedColumnFormula>IF($X10="","",AK10/$X$10)</calculatedColumnFormula>
    </tableColumn>
    <tableColumn id="136" xr3:uid="{90D59B01-F302-44C9-8EE4-7E0631CA8866}" name="DAÑO DE TRIPS LEVE (%)" dataDxfId="76">
      <calculatedColumnFormula>IF($X10="","",AL10/$X$10)</calculatedColumnFormula>
    </tableColumn>
    <tableColumn id="137" xr3:uid="{BC542212-6952-4A6B-8FC3-610A1900BC5D}" name="INSERCIÓN DE PEDÚNCULO LEVE (%)" dataDxfId="75">
      <calculatedColumnFormula>IF($X10="","",AM10/$X$10)</calculatedColumnFormula>
    </tableColumn>
    <tableColumn id="138" xr3:uid="{F0D230D0-A8D8-4684-B6A1-485F81E95670}" name="POLVO LEVE (%)" dataDxfId="74">
      <calculatedColumnFormula>IF($X10="","",AN10/$X$10)</calculatedColumnFormula>
    </tableColumn>
    <tableColumn id="119" xr3:uid="{24785B45-6CD2-4794-BF65-0CF893B4B30A}" name="DEFORME (%)" dataDxfId="73">
      <calculatedColumnFormula>IF($X10="","",AO10/$X$10)</calculatedColumnFormula>
    </tableColumn>
    <tableColumn id="120" xr3:uid="{9B0877DB-3FA1-4E2B-8389-AD416B73A066}" name="CERA DE ABEJA (%)" dataDxfId="72">
      <calculatedColumnFormula>IF($X10="","",AP10/$X$10)</calculatedColumnFormula>
    </tableColumn>
    <tableColumn id="121" xr3:uid="{F84CF387-4773-45C9-B1BD-AD2B12FD91D6}" name="DESHIDRATADO LEVE (%)" dataDxfId="71">
      <calculatedColumnFormula>IF($X10="","",AQ10/$X$10)</calculatedColumnFormula>
    </tableColumn>
    <tableColumn id="122" xr3:uid="{85EA075C-25A4-4CC0-9644-EFB6C091F0C8}" name="DESHIDRATADO EXTREMO (%)" dataDxfId="70">
      <calculatedColumnFormula>IF($X10="","",AR10/$X$10)</calculatedColumnFormula>
    </tableColumn>
    <tableColumn id="123" xr3:uid="{27395BAE-D5C1-4E7C-A23F-4A22BC32D196}" name="DESHIDRATADO INMADURO (%)" dataDxfId="69">
      <calculatedColumnFormula>IF($X10="","",AS10/$X$10)</calculatedColumnFormula>
    </tableColumn>
    <tableColumn id="124" xr3:uid="{9B0BDBED-0249-482C-BB7C-7BA91712DC95}" name="DESGARRO LEVE MOJADO (%)" dataDxfId="68">
      <calculatedColumnFormula>IF($X10="","",AT10/$X$10)</calculatedColumnFormula>
    </tableColumn>
    <tableColumn id="125" xr3:uid="{CDD4D3E4-650C-4D6E-A6F7-C6F136F8B24B}" name="PULPA EXPUESTA (%)" dataDxfId="67">
      <calculatedColumnFormula>IF($X10="","",AU10/$X$10)</calculatedColumnFormula>
    </tableColumn>
    <tableColumn id="126" xr3:uid="{290D6E38-2813-4F23-9308-D8CC196C608E}" name="PARTIDOS/RAJADOS (%)" dataDxfId="66">
      <calculatedColumnFormula>IF($X10="","",AV10/$X$10)</calculatedColumnFormula>
    </tableColumn>
    <tableColumn id="127" xr3:uid="{3ED56036-D055-493A-B5C5-AB3A2596EBED}" name="INSERCIÓN DE PEDÚNCULO EXTREMO (%)" dataDxfId="65">
      <calculatedColumnFormula>IF($X10="","",AW10/$X$10)</calculatedColumnFormula>
    </tableColumn>
    <tableColumn id="128" xr3:uid="{267540F5-DEA5-46D4-90CD-9F1CF18E185A}" name="EXUDADOS (%)" dataDxfId="64">
      <calculatedColumnFormula>IF($X10="","",AX10/$X$10)</calculatedColumnFormula>
    </tableColumn>
    <tableColumn id="109" xr3:uid="{FD0CC131-DF96-4BE1-9A52-ED496EEADA2B}" name="APLASTADOS (%)" dataDxfId="63">
      <calculatedColumnFormula>IF($X10="","",AY10/$X$10)</calculatedColumnFormula>
    </tableColumn>
    <tableColumn id="110" xr3:uid="{3E89741A-B53E-4152-ADAB-12C506FE90E5}" name="DESGARRO GRADO 2 A MÁS (%)" dataDxfId="62">
      <calculatedColumnFormula>IF($X10="","",AZ10/$X$10)</calculatedColumnFormula>
    </tableColumn>
    <tableColumn id="111" xr3:uid="{0594AAAC-D918-430E-98DB-657CB7FBB698}" name="BLANDO (%)" dataDxfId="61">
      <calculatedColumnFormula>IF($X10="","",BA10/$X$10)</calculatedColumnFormula>
    </tableColumn>
    <tableColumn id="112" xr3:uid="{7209FD41-1954-4C78-BCC4-42A4C09EFCF6}" name="COLAPSADO (%)" dataDxfId="60">
      <calculatedColumnFormula>IF($X10="","",BB10/$X$10)</calculatedColumnFormula>
    </tableColumn>
    <tableColumn id="113" xr3:uid="{28562563-7894-41DD-8F27-54888CD160E4}" name="PICADO DE AVE (%)" dataDxfId="59">
      <calculatedColumnFormula>IF($X10="","",BC10/$X$10)</calculatedColumnFormula>
    </tableColumn>
    <tableColumn id="114" xr3:uid="{557BF6BF-B330-41AF-A9E1-3859913073C0}" name="PICADO DE AVE CON PUDRICIÓN (%)" dataDxfId="58">
      <calculatedColumnFormula>IF($X10="","",BD10/$X$10)</calculatedColumnFormula>
    </tableColumn>
    <tableColumn id="115" xr3:uid="{5719E715-4736-4B85-855C-8465DF5FF3C2}" name="PODRIDO (%)" dataDxfId="57">
      <calculatedColumnFormula>IF($X10="","",BE10/$X$10)</calculatedColumnFormula>
    </tableColumn>
    <tableColumn id="116" xr3:uid="{4167A375-31FB-4A98-B260-EDB0AFF59177}" name="HONGO (%)" dataDxfId="56">
      <calculatedColumnFormula>IF($X10="","",BF10/$X$10)</calculatedColumnFormula>
    </tableColumn>
    <tableColumn id="117" xr3:uid="{DBE70270-49C2-4504-BDB8-120C473B389A}" name="FUMAGINA (%)" dataDxfId="55">
      <calculatedColumnFormula>IF($X10="","",BG10/$X$10)</calculatedColumnFormula>
    </tableColumn>
    <tableColumn id="118" xr3:uid="{FC7CD6EF-250C-4012-A69D-CC4078B46E87}" name="PRESENCIA DE LARVA (%)" dataDxfId="54">
      <calculatedColumnFormula>IF($X10="","",BH10/$X$10)</calculatedColumnFormula>
    </tableColumn>
    <tableColumn id="81" xr3:uid="{AEE469B0-4DD3-4993-9622-4123EB45FB7D}" name="VESTIGIOS (%)" dataDxfId="53">
      <calculatedColumnFormula>IF($X10="","",BI10/$X$10)</calculatedColumnFormula>
    </tableColumn>
    <tableColumn id="11" xr3:uid="{F8655CC8-9FB0-4169-A145-1BB0EE3408E2}" name="CHANCHITO BLANCO (%)" dataDxfId="52">
      <calculatedColumnFormula>IF($X10="","",BJ10/$X$10)</calculatedColumnFormula>
    </tableColumn>
    <tableColumn id="69" xr3:uid="{5737EC9E-2A0A-447F-8C1E-17648B701993}" name="EXCRETA DE AVES (%)" dataDxfId="51">
      <calculatedColumnFormula>IF($X10="","",BK10/$X$10)</calculatedColumnFormula>
    </tableColumn>
    <tableColumn id="70" xr3:uid="{4DA368F1-7851-4BA8-9D34-B275ECD35B14}" name="PICADO DE INSECTOS (%)" dataDxfId="50">
      <calculatedColumnFormula>IF($X10="","",BL10/$X$10)</calculatedColumnFormula>
    </tableColumn>
    <tableColumn id="74" xr3:uid="{07304955-8D3A-452C-AE02-85CB2233B1E5}" name="ROJO GRADO 2 A MÁS (%)" dataDxfId="49">
      <calculatedColumnFormula>IF($X10="","",BM10/$X$10)</calculatedColumnFormula>
    </tableColumn>
    <tableColumn id="96" xr3:uid="{F7008979-950B-4CFF-A993-79D32C77B813}" name="IMMADURO VERDE (%)" dataDxfId="38">
      <calculatedColumnFormula>IF($X10="","",BN10/$X$10)</calculatedColumnFormula>
    </tableColumn>
    <tableColumn id="76" xr3:uid="{DEF9615B-40B3-467B-9CC8-410A44E7D607}" name="DESORDEN POR MADURACIÓN (%)" dataDxfId="48">
      <calculatedColumnFormula>IF($X10="","",BO10/$X$10)</calculatedColumnFormula>
    </tableColumn>
    <tableColumn id="35" xr3:uid="{E74BD4EA-EA9E-4E7E-9CDE-9D036132B126}" name="POLVO EXTREMO (%)" dataDxfId="47">
      <calculatedColumnFormula>IF($X10="","",BP10/$X$10)</calculatedColumnFormula>
    </tableColumn>
    <tableColumn id="61" xr3:uid="{65D9384C-9C87-4DFD-9184-773D7A430FE3}" name="ARO PEDICELAR VERDE EXTREMO (%)" dataDxfId="46">
      <calculatedColumnFormula>IF($X10="","",BQ10/$X$10)</calculatedColumnFormula>
    </tableColumn>
    <tableColumn id="71" xr3:uid="{3FC13CE1-C4D2-4D6B-A9FB-941903C6B315}" name="DAÑO DE TRIPS EXTREMO (%)" dataDxfId="45">
      <calculatedColumnFormula>IF($X10="","",BR10/$X$10)</calculatedColumnFormula>
    </tableColumn>
    <tableColumn id="72" xr3:uid="{1F8C648E-4AEE-4444-A9C2-34EC8AEA5303}" name="DAÑO MECÁNICO (%)" dataDxfId="44">
      <calculatedColumnFormula>IF($X10="","",BS10/$X$10)</calculatedColumnFormula>
    </tableColumn>
    <tableColumn id="10" xr3:uid="{AE196616-D022-4258-8E36-7BD0532BC905}" name="MANCHA EXTRAÑAS (%)" dataDxfId="43">
      <calculatedColumnFormula>IF($X10="","",BT10/$X$10)</calculatedColumnFormula>
    </tableColumn>
    <tableColumn id="108" xr3:uid="{3E7B452F-E26A-4A04-8735-6EB1323449F2}" name="BAJO CALIBRE  (%)" dataDxfId="42">
      <calculatedColumnFormula>IF($X10="","",BU10/$X$10)</calculatedColumnFormula>
    </tableColumn>
    <tableColumn id="87" xr3:uid="{D4D67EFF-A2E0-48AF-ABAE-5B8D00582812}" name="PUDRICION/HONGO" dataDxfId="30" dataCellStyle="Porcentaje">
      <calculatedColumnFormula>IF($X10="","",SUM(Tabla152[[#This Row],[PODRIDO]],Tabla152[[#This Row],[HONGO]],Tabla152[[#This Row],[PICADO DE AVE CON PUDRICIÓN]],Tabla152[[#This Row],[FUMAGINA]])/$X$10)</calculatedColumnFormula>
    </tableColumn>
    <tableColumn id="88" xr3:uid="{A0A76EE7-B983-43C1-A027-D994751A2172}" name="EXUDACION" dataDxfId="41" dataCellStyle="Porcentaje">
      <calculatedColumnFormula>IF($X10="","",SUM(Tabla152[[#This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calculatedColumnFormula>
    </tableColumn>
    <tableColumn id="89" xr3:uid="{42A02D2F-4A59-4A0E-B9CF-3D896255A776}" name="BLANDO " dataDxfId="29" dataCellStyle="Porcentaje">
      <calculatedColumnFormula>IF($X10="","",SUM(Tabla152[[#This Row],[BLANDO]:[COLAPSADO]])/$X$10)</calculatedColumnFormula>
    </tableColumn>
    <tableColumn id="90" xr3:uid="{3CE6CB12-E621-4D6C-AB02-CA679892B37F}" name="DESHIDRATADO" dataDxfId="40" dataCellStyle="Porcentaje">
      <calculatedColumnFormula>IF($X10="","",SUM(Tabla152[[#This Row],[DESHIDRATADO LEVE]:[DESHIDRATADO INMADURO]])/$X$10)</calculatedColumnFormula>
    </tableColumn>
    <tableColumn id="98" xr3:uid="{7561811E-664A-463C-A318-CDC005B4FAC5}" name="DAÑO POR AVE" dataDxfId="36" dataCellStyle="Porcentaje">
      <calculatedColumnFormula>IF($X10="","",BC10/$X$10)</calculatedColumnFormula>
    </tableColumn>
    <tableColumn id="103" xr3:uid="{777BD367-BEB0-4CDA-8E75-76914D0B6AD1}" name="INSECTOS" dataDxfId="34" dataCellStyle="Porcentaje">
      <calculatedColumnFormula>IF($X10="","",SUM(Tabla152[[#This Row],[PRESENCIA DE LARVA]],Tabla152[[#This Row],[CHANCHITO BLANCO]])/$X$10)</calculatedColumnFormula>
    </tableColumn>
    <tableColumn id="102" xr3:uid="{4011D350-D5CF-4BDA-AA46-63AE86874E5E}" name="IMMADUREZ SEVERA" dataDxfId="33">
      <calculatedColumnFormula>IF($X10="","",SUM(Tabla152[[#This Row],[ROJO GRADO 2 A MÁS]],Tabla152[[#This Row],[IMMADURO VERDE]],Tabla152[[#This Row],[DESORDEN POR MADURACIÓN]],Tabla152[[#This Row],[ARO PEDICELAR VERDE EXTREMO]])/$X$10)</calculatedColumnFormula>
    </tableColumn>
    <tableColumn id="104" xr3:uid="{593C1C83-E51C-4AD4-A26A-B37EB937E829}" name="OTROS DEFECTOS CRÍTICOS" dataDxfId="32" dataCellStyle="Porcentaje">
      <calculatedColumnFormula>IF($X10="","",SUM(Tabla152[[#This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calculatedColumnFormula>
    </tableColumn>
    <tableColumn id="100" xr3:uid="{681182CC-DB0C-4832-8D5E-A1D68A97A3C8}" name="TAMAÑO" dataDxfId="35" dataCellStyle="Porcentaje">
      <calculatedColumnFormula>IF($X10="","",BU10/$X$10)</calculatedColumnFormula>
    </tableColumn>
    <tableColumn id="105" xr3:uid="{7FED484D-BD55-4550-A124-88F78F712638}" name="IMMADUREZ LEVE" dataDxfId="3" dataCellStyle="Porcentaje">
      <calculatedColumnFormula>IF($X10="","",AJ10/$X$10)</calculatedColumnFormula>
    </tableColumn>
    <tableColumn id="91" xr3:uid="{B5420308-D99A-4C90-A6EA-E2C08B8207AE}" name="RESIDUOS DE COSECHA" dataDxfId="31" dataCellStyle="Porcentaje">
      <calculatedColumnFormula>IF($X10="","",SUM(Tabla152[[#This Row],[PRESENCIA DE COROLA]],Tabla152[[#This Row],[PRESENCIA DE RESTO FLORAL VERDE]],Tabla152[[#This Row],[PRESENCIA DE PEDÚNCULO]])/$X$10)</calculatedColumnFormula>
    </tableColumn>
    <tableColumn id="82" xr3:uid="{FFE859B8-CF8D-4F03-875E-35A6E1858CA6}" name="OTROS DEFECTOS LEVES" dataDxfId="28" dataCellStyle="Porcentaje">
      <calculatedColumnFormula>IF($X10="","",SUM(Tabla152[[#This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Azul cálido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F9" dT="2026-08-04T00:30:55.66" personId="{58FAC576-ACF6-4F9F-9C9F-7E484B04B816}" id="{6495B617-DBFA-43EF-AAF0-CDD1CF6EB558}">
    <text>Emanacion de jugos, partiduras, magulladuras, heridas huemdas, no cicatrizadas</text>
  </threadedComment>
  <threadedComment ref="DI9" dT="2026-08-04T00:31:43.15" personId="{58FAC576-ACF6-4F9F-9C9F-7E484B04B816}" id="{F06FDF12-18D2-45FD-9E58-1AB448ADB84A}">
    <text>Flor en corola, tallo adherido, racimos, hojas y materia extraña</text>
  </threadedComment>
  <threadedComment ref="DJ9" dT="2026-08-04T00:36:15.13" personId="{58FAC576-ACF6-4F9F-9C9F-7E484B04B816}" id="{099C23B4-68A9-444A-8EE9-86A2F6458C39}">
    <text>Color rojo, color verde, ausencia de bloom, residuos de aplicación, cicatrices, daño por ave, partiduras secas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162F-1D09-4D93-A637-EC7737A57C90}">
  <dimension ref="A4:V174"/>
  <sheetViews>
    <sheetView showGridLines="0" topLeftCell="J1" workbookViewId="0">
      <selection activeCell="V5" sqref="V5"/>
    </sheetView>
  </sheetViews>
  <sheetFormatPr baseColWidth="10" defaultColWidth="10.77734375" defaultRowHeight="14.4" x14ac:dyDescent="0.3"/>
  <cols>
    <col min="1" max="1" width="15.77734375" bestFit="1" customWidth="1"/>
    <col min="5" max="5" width="18.77734375" customWidth="1"/>
    <col min="6" max="6" width="27.109375" customWidth="1"/>
    <col min="7" max="7" width="41.44140625" bestFit="1" customWidth="1"/>
    <col min="8" max="8" width="22.77734375" bestFit="1" customWidth="1"/>
    <col min="9" max="9" width="27.21875" bestFit="1" customWidth="1"/>
    <col min="11" max="11" width="29.21875" bestFit="1" customWidth="1"/>
    <col min="14" max="14" width="34.6640625" bestFit="1" customWidth="1"/>
  </cols>
  <sheetData>
    <row r="4" spans="1:22" ht="43.8" thickBot="1" x14ac:dyDescent="0.35">
      <c r="A4" s="72" t="s">
        <v>70</v>
      </c>
      <c r="B4" s="72" t="s">
        <v>71</v>
      </c>
      <c r="C4" s="73" t="s">
        <v>72</v>
      </c>
      <c r="D4" s="73" t="s">
        <v>73</v>
      </c>
      <c r="E4" s="73" t="s">
        <v>238</v>
      </c>
      <c r="F4" s="73" t="s">
        <v>132</v>
      </c>
      <c r="G4" s="73" t="s">
        <v>242</v>
      </c>
      <c r="H4" s="72" t="s">
        <v>4</v>
      </c>
      <c r="I4" s="72" t="s">
        <v>265</v>
      </c>
      <c r="J4" s="72" t="s">
        <v>5</v>
      </c>
      <c r="K4" s="72" t="s">
        <v>6</v>
      </c>
      <c r="L4" s="72" t="s">
        <v>266</v>
      </c>
      <c r="M4" s="74" t="s">
        <v>68</v>
      </c>
      <c r="N4" s="74" t="s">
        <v>267</v>
      </c>
      <c r="O4" s="74" t="s">
        <v>268</v>
      </c>
      <c r="P4" s="74" t="s">
        <v>133</v>
      </c>
      <c r="Q4" s="74" t="s">
        <v>269</v>
      </c>
      <c r="R4" s="74" t="s">
        <v>270</v>
      </c>
      <c r="S4" s="74" t="s">
        <v>142</v>
      </c>
      <c r="T4" s="74" t="s">
        <v>7</v>
      </c>
      <c r="V4" t="s">
        <v>368</v>
      </c>
    </row>
    <row r="5" spans="1:22" x14ac:dyDescent="0.3">
      <c r="A5" t="s">
        <v>188</v>
      </c>
      <c r="B5" s="36" t="s">
        <v>135</v>
      </c>
      <c r="C5" s="36" t="s">
        <v>131</v>
      </c>
      <c r="D5" s="19" t="s">
        <v>271</v>
      </c>
      <c r="E5" t="s">
        <v>239</v>
      </c>
      <c r="F5" t="s">
        <v>272</v>
      </c>
      <c r="G5" t="s">
        <v>273</v>
      </c>
      <c r="H5" t="s">
        <v>146</v>
      </c>
      <c r="I5" t="s">
        <v>274</v>
      </c>
      <c r="J5" t="s">
        <v>275</v>
      </c>
      <c r="K5" t="s">
        <v>276</v>
      </c>
      <c r="L5">
        <v>1</v>
      </c>
      <c r="N5" s="75" t="s">
        <v>277</v>
      </c>
      <c r="O5">
        <v>1</v>
      </c>
      <c r="P5">
        <v>5</v>
      </c>
      <c r="Q5" t="s">
        <v>140</v>
      </c>
      <c r="R5">
        <v>1</v>
      </c>
      <c r="S5" t="s">
        <v>144</v>
      </c>
      <c r="T5">
        <v>5</v>
      </c>
    </row>
    <row r="6" spans="1:22" x14ac:dyDescent="0.3">
      <c r="A6" t="s">
        <v>278</v>
      </c>
      <c r="B6" s="36" t="s">
        <v>279</v>
      </c>
      <c r="C6" s="19" t="s">
        <v>280</v>
      </c>
      <c r="D6" s="19" t="s">
        <v>136</v>
      </c>
      <c r="E6" t="s">
        <v>240</v>
      </c>
      <c r="F6" t="s">
        <v>281</v>
      </c>
      <c r="G6" t="s">
        <v>281</v>
      </c>
      <c r="H6" t="s">
        <v>282</v>
      </c>
      <c r="I6" t="s">
        <v>283</v>
      </c>
      <c r="J6" t="s">
        <v>284</v>
      </c>
      <c r="K6" t="s">
        <v>285</v>
      </c>
      <c r="L6">
        <v>2</v>
      </c>
      <c r="N6" s="75" t="s">
        <v>286</v>
      </c>
      <c r="O6">
        <v>2</v>
      </c>
      <c r="P6">
        <v>6</v>
      </c>
      <c r="Q6" t="s">
        <v>150</v>
      </c>
      <c r="R6">
        <v>0</v>
      </c>
      <c r="S6" t="s">
        <v>143</v>
      </c>
      <c r="T6">
        <v>15</v>
      </c>
    </row>
    <row r="7" spans="1:22" x14ac:dyDescent="0.3">
      <c r="A7" t="s">
        <v>287</v>
      </c>
      <c r="B7" s="36" t="s">
        <v>78</v>
      </c>
      <c r="C7" s="19" t="s">
        <v>288</v>
      </c>
      <c r="D7" s="19" t="s">
        <v>151</v>
      </c>
      <c r="F7" t="s">
        <v>137</v>
      </c>
      <c r="G7" s="19" t="s">
        <v>243</v>
      </c>
      <c r="H7" t="s">
        <v>289</v>
      </c>
      <c r="J7" t="s">
        <v>290</v>
      </c>
      <c r="K7" t="s">
        <v>291</v>
      </c>
      <c r="L7">
        <v>3</v>
      </c>
      <c r="N7" s="76" t="s">
        <v>292</v>
      </c>
      <c r="O7">
        <v>3</v>
      </c>
      <c r="P7">
        <v>7</v>
      </c>
    </row>
    <row r="8" spans="1:22" x14ac:dyDescent="0.3">
      <c r="A8" t="s">
        <v>134</v>
      </c>
      <c r="B8" s="36"/>
      <c r="C8" s="19" t="s">
        <v>293</v>
      </c>
      <c r="D8" s="19" t="s">
        <v>145</v>
      </c>
      <c r="F8" t="s">
        <v>294</v>
      </c>
      <c r="G8" t="s">
        <v>294</v>
      </c>
      <c r="H8" t="s">
        <v>196</v>
      </c>
      <c r="J8" t="s">
        <v>295</v>
      </c>
      <c r="K8" t="s">
        <v>234</v>
      </c>
      <c r="L8">
        <v>4</v>
      </c>
      <c r="N8" s="75" t="s">
        <v>296</v>
      </c>
      <c r="O8">
        <v>4</v>
      </c>
      <c r="P8">
        <v>8</v>
      </c>
    </row>
    <row r="9" spans="1:22" x14ac:dyDescent="0.3">
      <c r="D9" t="s">
        <v>297</v>
      </c>
      <c r="F9" t="s">
        <v>298</v>
      </c>
      <c r="G9" s="19" t="s">
        <v>298</v>
      </c>
      <c r="H9" t="s">
        <v>153</v>
      </c>
      <c r="J9" t="s">
        <v>299</v>
      </c>
      <c r="K9" t="s">
        <v>300</v>
      </c>
      <c r="L9">
        <v>5</v>
      </c>
      <c r="N9" s="75" t="s">
        <v>301</v>
      </c>
      <c r="O9">
        <v>5</v>
      </c>
      <c r="P9">
        <v>9</v>
      </c>
    </row>
    <row r="10" spans="1:22" x14ac:dyDescent="0.3">
      <c r="F10" t="s">
        <v>302</v>
      </c>
      <c r="G10" t="s">
        <v>302</v>
      </c>
      <c r="H10" t="s">
        <v>303</v>
      </c>
      <c r="J10">
        <v>74547547</v>
      </c>
      <c r="K10" t="s">
        <v>232</v>
      </c>
      <c r="L10">
        <v>6</v>
      </c>
      <c r="N10" s="75" t="s">
        <v>304</v>
      </c>
      <c r="O10">
        <v>6</v>
      </c>
      <c r="P10">
        <v>10</v>
      </c>
    </row>
    <row r="11" spans="1:22" x14ac:dyDescent="0.3">
      <c r="F11" t="s">
        <v>287</v>
      </c>
      <c r="G11" t="s">
        <v>287</v>
      </c>
      <c r="H11" t="s">
        <v>305</v>
      </c>
      <c r="J11" t="s">
        <v>306</v>
      </c>
      <c r="K11" t="s">
        <v>307</v>
      </c>
      <c r="L11">
        <v>7</v>
      </c>
      <c r="N11" s="75" t="s">
        <v>308</v>
      </c>
      <c r="O11">
        <v>7</v>
      </c>
      <c r="P11">
        <v>11</v>
      </c>
    </row>
    <row r="12" spans="1:22" x14ac:dyDescent="0.3">
      <c r="F12" t="s">
        <v>309</v>
      </c>
      <c r="G12" t="s">
        <v>309</v>
      </c>
      <c r="H12" t="s">
        <v>310</v>
      </c>
      <c r="J12" t="s">
        <v>311</v>
      </c>
      <c r="K12" t="s">
        <v>312</v>
      </c>
      <c r="L12">
        <v>8</v>
      </c>
      <c r="N12" s="75" t="s">
        <v>313</v>
      </c>
      <c r="O12">
        <v>8</v>
      </c>
      <c r="P12">
        <v>12</v>
      </c>
    </row>
    <row r="13" spans="1:22" x14ac:dyDescent="0.3">
      <c r="F13" t="s">
        <v>195</v>
      </c>
      <c r="G13" s="19" t="s">
        <v>241</v>
      </c>
      <c r="H13" t="s">
        <v>314</v>
      </c>
      <c r="J13" t="s">
        <v>315</v>
      </c>
      <c r="K13" t="s">
        <v>316</v>
      </c>
      <c r="L13">
        <v>9</v>
      </c>
      <c r="N13" s="76" t="s">
        <v>317</v>
      </c>
      <c r="O13">
        <v>9</v>
      </c>
      <c r="P13">
        <v>13</v>
      </c>
    </row>
    <row r="14" spans="1:22" x14ac:dyDescent="0.3">
      <c r="F14" t="s">
        <v>318</v>
      </c>
      <c r="G14" s="19" t="s">
        <v>319</v>
      </c>
      <c r="H14" t="s">
        <v>320</v>
      </c>
      <c r="J14" t="s">
        <v>321</v>
      </c>
      <c r="K14" t="s">
        <v>233</v>
      </c>
      <c r="L14">
        <v>10</v>
      </c>
      <c r="N14" s="75" t="s">
        <v>322</v>
      </c>
      <c r="O14">
        <v>10</v>
      </c>
    </row>
    <row r="15" spans="1:22" x14ac:dyDescent="0.3">
      <c r="F15" t="s">
        <v>244</v>
      </c>
      <c r="G15" s="19" t="s">
        <v>152</v>
      </c>
      <c r="H15" t="s">
        <v>323</v>
      </c>
      <c r="J15">
        <v>75528187</v>
      </c>
      <c r="K15" t="s">
        <v>324</v>
      </c>
      <c r="L15">
        <v>11</v>
      </c>
      <c r="N15" s="76" t="s">
        <v>325</v>
      </c>
      <c r="O15">
        <v>11</v>
      </c>
    </row>
    <row r="16" spans="1:22" x14ac:dyDescent="0.3">
      <c r="F16" t="s">
        <v>319</v>
      </c>
      <c r="G16" s="19" t="s">
        <v>326</v>
      </c>
      <c r="H16" t="s">
        <v>327</v>
      </c>
      <c r="L16">
        <v>12</v>
      </c>
      <c r="N16" s="76" t="s">
        <v>328</v>
      </c>
      <c r="O16">
        <v>12</v>
      </c>
    </row>
    <row r="17" spans="1:15" x14ac:dyDescent="0.3">
      <c r="F17" t="s">
        <v>329</v>
      </c>
      <c r="G17" s="19"/>
      <c r="H17" t="s">
        <v>330</v>
      </c>
      <c r="L17">
        <v>13</v>
      </c>
      <c r="N17" s="76" t="s">
        <v>331</v>
      </c>
      <c r="O17">
        <v>13</v>
      </c>
    </row>
    <row r="18" spans="1:15" x14ac:dyDescent="0.3">
      <c r="G18" s="19"/>
      <c r="H18" t="s">
        <v>332</v>
      </c>
      <c r="J18" s="77"/>
      <c r="K18" s="78"/>
      <c r="L18">
        <v>14</v>
      </c>
      <c r="N18" s="76" t="s">
        <v>333</v>
      </c>
      <c r="O18">
        <v>14</v>
      </c>
    </row>
    <row r="19" spans="1:15" x14ac:dyDescent="0.3">
      <c r="G19" s="19"/>
      <c r="H19" t="s">
        <v>334</v>
      </c>
      <c r="J19" s="77"/>
      <c r="L19">
        <v>15</v>
      </c>
      <c r="N19" s="76" t="s">
        <v>335</v>
      </c>
      <c r="O19">
        <v>15</v>
      </c>
    </row>
    <row r="20" spans="1:15" x14ac:dyDescent="0.3">
      <c r="G20" s="19"/>
      <c r="H20" t="s">
        <v>336</v>
      </c>
      <c r="J20" s="19"/>
      <c r="L20">
        <v>16</v>
      </c>
      <c r="N20" s="76" t="s">
        <v>337</v>
      </c>
      <c r="O20">
        <v>16</v>
      </c>
    </row>
    <row r="21" spans="1:15" x14ac:dyDescent="0.3">
      <c r="G21" s="19"/>
      <c r="H21" t="s">
        <v>338</v>
      </c>
      <c r="J21" s="19"/>
      <c r="L21">
        <v>17</v>
      </c>
      <c r="N21" s="75" t="s">
        <v>339</v>
      </c>
      <c r="O21">
        <v>17</v>
      </c>
    </row>
    <row r="22" spans="1:15" x14ac:dyDescent="0.3">
      <c r="A22" s="19"/>
      <c r="C22" s="19"/>
      <c r="D22" s="19"/>
      <c r="E22" s="19"/>
      <c r="G22" s="19"/>
      <c r="H22" t="s">
        <v>340</v>
      </c>
      <c r="J22" s="19"/>
      <c r="N22" s="75" t="s">
        <v>341</v>
      </c>
      <c r="O22">
        <v>18</v>
      </c>
    </row>
    <row r="23" spans="1:15" x14ac:dyDescent="0.3">
      <c r="A23" s="19"/>
      <c r="C23" s="19"/>
      <c r="D23" s="19"/>
      <c r="E23" s="19"/>
      <c r="G23" s="19"/>
      <c r="H23" t="s">
        <v>342</v>
      </c>
      <c r="J23" s="19"/>
      <c r="N23" s="75" t="s">
        <v>343</v>
      </c>
      <c r="O23">
        <v>19</v>
      </c>
    </row>
    <row r="24" spans="1:15" x14ac:dyDescent="0.3">
      <c r="A24" s="19"/>
      <c r="C24" s="19"/>
      <c r="D24" s="19"/>
      <c r="E24" s="19"/>
      <c r="H24" t="s">
        <v>344</v>
      </c>
      <c r="J24" s="19"/>
      <c r="N24" s="76" t="s">
        <v>345</v>
      </c>
      <c r="O24">
        <v>20</v>
      </c>
    </row>
    <row r="25" spans="1:15" x14ac:dyDescent="0.3">
      <c r="A25" s="19"/>
      <c r="C25" s="19"/>
      <c r="D25" s="19"/>
      <c r="E25" s="19"/>
      <c r="G25" s="19"/>
      <c r="H25" t="s">
        <v>346</v>
      </c>
      <c r="J25" s="19"/>
      <c r="N25" s="76" t="s">
        <v>347</v>
      </c>
      <c r="O25">
        <v>21</v>
      </c>
    </row>
    <row r="26" spans="1:15" x14ac:dyDescent="0.3">
      <c r="A26" s="19"/>
      <c r="C26" s="19"/>
      <c r="D26" s="19"/>
      <c r="E26" s="19"/>
      <c r="G26" s="19"/>
      <c r="H26" s="19" t="s">
        <v>348</v>
      </c>
      <c r="J26" s="19"/>
      <c r="N26" s="75" t="s">
        <v>349</v>
      </c>
      <c r="O26">
        <v>22</v>
      </c>
    </row>
    <row r="27" spans="1:15" x14ac:dyDescent="0.3">
      <c r="A27" s="19"/>
      <c r="C27" s="19"/>
      <c r="D27" s="19"/>
      <c r="E27" s="19"/>
      <c r="G27" s="19"/>
      <c r="H27" t="s">
        <v>350</v>
      </c>
      <c r="J27" s="19"/>
      <c r="N27" s="75" t="s">
        <v>351</v>
      </c>
      <c r="O27">
        <v>23</v>
      </c>
    </row>
    <row r="28" spans="1:15" x14ac:dyDescent="0.3">
      <c r="A28" s="19"/>
      <c r="C28" s="19"/>
      <c r="D28" s="19"/>
      <c r="E28" s="19"/>
      <c r="G28" s="19"/>
      <c r="H28" t="s">
        <v>352</v>
      </c>
      <c r="J28" s="19"/>
      <c r="N28" s="76" t="s">
        <v>353</v>
      </c>
      <c r="O28">
        <v>24</v>
      </c>
    </row>
    <row r="29" spans="1:15" x14ac:dyDescent="0.3">
      <c r="A29" s="19"/>
      <c r="C29" s="19"/>
      <c r="D29" s="19"/>
      <c r="E29" s="19"/>
      <c r="G29" s="19"/>
      <c r="J29" s="19"/>
      <c r="N29" s="75" t="s">
        <v>354</v>
      </c>
      <c r="O29">
        <v>25</v>
      </c>
    </row>
    <row r="30" spans="1:15" x14ac:dyDescent="0.3">
      <c r="A30" s="19"/>
      <c r="C30" s="19"/>
      <c r="D30" s="19"/>
      <c r="E30" s="19"/>
      <c r="G30" s="19"/>
      <c r="J30" s="19"/>
      <c r="N30" s="75" t="s">
        <v>355</v>
      </c>
      <c r="O30">
        <v>26</v>
      </c>
    </row>
    <row r="31" spans="1:15" x14ac:dyDescent="0.3">
      <c r="A31" s="19"/>
      <c r="C31" s="19"/>
      <c r="D31" s="19"/>
      <c r="E31" s="19"/>
      <c r="G31" s="19"/>
      <c r="J31" s="19"/>
      <c r="N31" s="75" t="s">
        <v>356</v>
      </c>
      <c r="O31">
        <v>27</v>
      </c>
    </row>
    <row r="32" spans="1:15" x14ac:dyDescent="0.3">
      <c r="A32" s="19"/>
      <c r="C32" s="19"/>
      <c r="D32" s="19"/>
      <c r="E32" s="19"/>
      <c r="G32" s="19"/>
      <c r="J32" s="19"/>
      <c r="N32" s="75" t="s">
        <v>186</v>
      </c>
      <c r="O32">
        <v>28</v>
      </c>
    </row>
    <row r="33" spans="1:15" x14ac:dyDescent="0.3">
      <c r="A33" s="19"/>
      <c r="C33" s="19"/>
      <c r="D33" s="19"/>
      <c r="E33" s="19"/>
      <c r="G33" s="19"/>
      <c r="J33" s="19"/>
      <c r="N33" s="76" t="s">
        <v>357</v>
      </c>
      <c r="O33">
        <v>29</v>
      </c>
    </row>
    <row r="34" spans="1:15" x14ac:dyDescent="0.3">
      <c r="A34" s="19"/>
      <c r="C34" s="19"/>
      <c r="D34" s="19"/>
      <c r="E34" s="19"/>
      <c r="G34" s="19"/>
      <c r="J34" s="19"/>
      <c r="N34" s="76" t="s">
        <v>358</v>
      </c>
      <c r="O34">
        <v>30</v>
      </c>
    </row>
    <row r="35" spans="1:15" x14ac:dyDescent="0.3">
      <c r="A35" s="19"/>
      <c r="C35" s="19"/>
      <c r="D35" s="19"/>
      <c r="E35" s="19"/>
      <c r="G35" s="19"/>
      <c r="J35" s="19"/>
      <c r="N35" s="76" t="s">
        <v>359</v>
      </c>
    </row>
    <row r="36" spans="1:15" x14ac:dyDescent="0.3">
      <c r="A36" s="19"/>
      <c r="C36" s="19"/>
      <c r="D36" s="19"/>
      <c r="E36" s="19"/>
      <c r="G36" s="19"/>
      <c r="J36" s="19"/>
      <c r="N36" s="76" t="s">
        <v>360</v>
      </c>
    </row>
    <row r="37" spans="1:15" x14ac:dyDescent="0.3">
      <c r="A37" s="19"/>
      <c r="C37" s="19"/>
      <c r="D37" s="19"/>
      <c r="E37" s="19"/>
      <c r="G37" s="19"/>
      <c r="J37" s="19"/>
      <c r="N37" s="76" t="s">
        <v>361</v>
      </c>
    </row>
    <row r="38" spans="1:15" x14ac:dyDescent="0.3">
      <c r="A38" s="19"/>
      <c r="C38" s="19"/>
      <c r="D38" s="19"/>
      <c r="E38" s="19"/>
      <c r="G38" s="19"/>
      <c r="J38" s="19"/>
      <c r="N38" s="76" t="s">
        <v>362</v>
      </c>
    </row>
    <row r="39" spans="1:15" x14ac:dyDescent="0.3">
      <c r="A39" s="19"/>
      <c r="C39" s="19"/>
      <c r="D39" s="19"/>
      <c r="E39" s="19"/>
      <c r="G39" s="19"/>
      <c r="J39" s="19"/>
      <c r="N39" s="75" t="s">
        <v>187</v>
      </c>
    </row>
    <row r="40" spans="1:15" x14ac:dyDescent="0.3">
      <c r="A40" s="19"/>
      <c r="C40" s="19"/>
      <c r="D40" s="19"/>
      <c r="E40" s="19"/>
      <c r="G40" s="19"/>
      <c r="J40" s="19"/>
      <c r="N40" s="79" t="s">
        <v>363</v>
      </c>
    </row>
    <row r="41" spans="1:15" x14ac:dyDescent="0.3">
      <c r="A41" s="19"/>
      <c r="C41" s="19"/>
      <c r="D41" s="19"/>
      <c r="E41" s="19"/>
      <c r="G41" s="19"/>
      <c r="J41" s="19"/>
      <c r="N41" s="75"/>
    </row>
    <row r="42" spans="1:15" x14ac:dyDescent="0.3">
      <c r="A42" s="19"/>
      <c r="C42" s="19"/>
      <c r="D42" s="19"/>
      <c r="E42" s="19"/>
      <c r="G42" s="19"/>
      <c r="J42" s="19"/>
      <c r="N42" s="75"/>
    </row>
    <row r="43" spans="1:15" x14ac:dyDescent="0.3">
      <c r="A43" s="19"/>
      <c r="C43" s="19"/>
      <c r="D43" s="19"/>
      <c r="E43" s="19"/>
      <c r="G43" s="19"/>
      <c r="J43" s="19"/>
      <c r="N43" s="76"/>
    </row>
    <row r="44" spans="1:15" x14ac:dyDescent="0.3">
      <c r="A44" s="19"/>
      <c r="C44" s="19"/>
      <c r="D44" s="19"/>
      <c r="E44" s="19"/>
      <c r="G44" s="19"/>
      <c r="J44" s="19"/>
      <c r="N44" s="75"/>
    </row>
    <row r="45" spans="1:15" x14ac:dyDescent="0.3">
      <c r="A45" s="19"/>
      <c r="C45" s="19"/>
      <c r="D45" s="19"/>
      <c r="E45" s="19"/>
      <c r="G45" s="19"/>
      <c r="J45" s="19"/>
      <c r="N45" s="76"/>
    </row>
    <row r="46" spans="1:15" x14ac:dyDescent="0.3">
      <c r="A46" s="19"/>
      <c r="C46" s="19"/>
      <c r="D46" s="19"/>
      <c r="E46" s="19"/>
      <c r="G46" s="19"/>
      <c r="J46" s="19"/>
      <c r="N46" s="75"/>
    </row>
    <row r="47" spans="1:15" x14ac:dyDescent="0.3">
      <c r="A47" s="19"/>
      <c r="C47" s="19"/>
      <c r="D47" s="19"/>
      <c r="E47" s="19"/>
      <c r="G47" s="19"/>
      <c r="J47" s="19"/>
      <c r="N47" s="76"/>
    </row>
    <row r="48" spans="1:15" x14ac:dyDescent="0.3">
      <c r="A48" s="19"/>
      <c r="C48" s="19"/>
      <c r="D48" s="19"/>
      <c r="E48" s="19"/>
      <c r="G48" s="19"/>
      <c r="J48" s="19"/>
      <c r="N48" s="75"/>
    </row>
    <row r="49" spans="1:14" x14ac:dyDescent="0.3">
      <c r="A49" s="19"/>
      <c r="C49" s="19"/>
      <c r="D49" s="19"/>
      <c r="E49" s="19"/>
      <c r="G49" s="19"/>
      <c r="J49" s="19"/>
      <c r="N49" s="76"/>
    </row>
    <row r="50" spans="1:14" x14ac:dyDescent="0.3">
      <c r="A50" s="19"/>
      <c r="C50" s="19"/>
      <c r="D50" s="19"/>
      <c r="E50" s="19"/>
      <c r="G50" s="19"/>
      <c r="J50" s="19"/>
      <c r="N50" s="75"/>
    </row>
    <row r="51" spans="1:14" x14ac:dyDescent="0.3">
      <c r="A51" s="19"/>
      <c r="C51" s="19"/>
      <c r="D51" s="19"/>
      <c r="E51" s="19"/>
      <c r="G51" s="19"/>
      <c r="J51" s="19"/>
      <c r="N51" s="76"/>
    </row>
    <row r="52" spans="1:14" x14ac:dyDescent="0.3">
      <c r="A52" s="19"/>
      <c r="C52" s="19"/>
      <c r="D52" s="19"/>
      <c r="E52" s="19"/>
      <c r="G52" s="19"/>
      <c r="J52" s="19"/>
      <c r="N52" s="75"/>
    </row>
    <row r="53" spans="1:14" x14ac:dyDescent="0.3">
      <c r="A53" s="19"/>
      <c r="C53" s="19"/>
      <c r="D53" s="19"/>
      <c r="E53" s="19"/>
      <c r="G53" s="19"/>
      <c r="J53" s="19"/>
      <c r="N53" s="76"/>
    </row>
    <row r="54" spans="1:14" x14ac:dyDescent="0.3">
      <c r="A54" s="19"/>
      <c r="C54" s="19"/>
      <c r="D54" s="19"/>
      <c r="E54" s="19"/>
      <c r="G54" s="19"/>
      <c r="J54" s="19"/>
      <c r="N54" s="76"/>
    </row>
    <row r="55" spans="1:14" x14ac:dyDescent="0.3">
      <c r="A55" s="19"/>
      <c r="C55" s="19"/>
      <c r="D55" s="19"/>
      <c r="E55" s="19"/>
      <c r="G55" s="19"/>
      <c r="J55" s="19"/>
      <c r="N55" s="75"/>
    </row>
    <row r="56" spans="1:14" x14ac:dyDescent="0.3">
      <c r="A56" s="19"/>
      <c r="C56" s="19"/>
      <c r="D56" s="19"/>
      <c r="E56" s="19"/>
      <c r="G56" s="19"/>
      <c r="J56" s="19"/>
      <c r="N56" s="76"/>
    </row>
    <row r="57" spans="1:14" x14ac:dyDescent="0.3">
      <c r="A57" s="19"/>
      <c r="C57" s="19"/>
      <c r="D57" s="19"/>
      <c r="E57" s="19"/>
      <c r="G57" s="19"/>
      <c r="J57" s="19"/>
      <c r="N57" s="75"/>
    </row>
    <row r="58" spans="1:14" x14ac:dyDescent="0.3">
      <c r="A58" s="19"/>
      <c r="C58" s="19"/>
      <c r="D58" s="19"/>
      <c r="E58" s="19"/>
      <c r="G58" s="19"/>
      <c r="J58" s="19"/>
      <c r="N58" s="76"/>
    </row>
    <row r="59" spans="1:14" x14ac:dyDescent="0.3">
      <c r="A59" s="19"/>
      <c r="C59" s="19"/>
      <c r="D59" s="19"/>
      <c r="E59" s="19"/>
      <c r="G59" s="19"/>
      <c r="J59" s="19"/>
      <c r="N59" s="75"/>
    </row>
    <row r="60" spans="1:14" x14ac:dyDescent="0.3">
      <c r="A60" s="19"/>
      <c r="C60" s="19"/>
      <c r="D60" s="19"/>
      <c r="E60" s="19"/>
      <c r="G60" s="19"/>
      <c r="J60" s="19"/>
      <c r="N60" s="76"/>
    </row>
    <row r="61" spans="1:14" x14ac:dyDescent="0.3">
      <c r="A61" s="19"/>
      <c r="C61" s="19"/>
      <c r="D61" s="19"/>
      <c r="E61" s="19"/>
      <c r="G61" s="19"/>
      <c r="J61" s="19"/>
      <c r="N61" s="75"/>
    </row>
    <row r="62" spans="1:14" x14ac:dyDescent="0.3">
      <c r="A62" s="19"/>
      <c r="C62" s="19"/>
      <c r="D62" s="19"/>
      <c r="E62" s="19"/>
      <c r="G62" s="19"/>
      <c r="J62" s="19"/>
      <c r="N62" s="76"/>
    </row>
    <row r="63" spans="1:14" x14ac:dyDescent="0.3">
      <c r="A63" s="19"/>
      <c r="C63" s="19"/>
      <c r="D63" s="19"/>
      <c r="E63" s="19"/>
      <c r="G63" s="19"/>
      <c r="J63" s="19"/>
      <c r="N63" s="75"/>
    </row>
    <row r="64" spans="1:14" x14ac:dyDescent="0.3">
      <c r="A64" s="19"/>
      <c r="C64" s="19"/>
      <c r="D64" s="19"/>
      <c r="E64" s="19"/>
      <c r="G64" s="19"/>
      <c r="J64" s="19"/>
      <c r="N64" s="76"/>
    </row>
    <row r="65" spans="1:14" x14ac:dyDescent="0.3">
      <c r="A65" s="19"/>
      <c r="C65" s="19"/>
      <c r="D65" s="19"/>
      <c r="E65" s="19"/>
      <c r="G65" s="19"/>
      <c r="J65" s="19"/>
      <c r="N65" s="75"/>
    </row>
    <row r="66" spans="1:14" x14ac:dyDescent="0.3">
      <c r="A66" s="19"/>
      <c r="C66" s="19"/>
      <c r="D66" s="19"/>
      <c r="E66" s="19"/>
      <c r="G66" s="19"/>
      <c r="J66" s="19"/>
      <c r="N66" s="76"/>
    </row>
    <row r="67" spans="1:14" x14ac:dyDescent="0.3">
      <c r="A67" s="19"/>
      <c r="C67" s="19"/>
      <c r="D67" s="19"/>
      <c r="E67" s="19"/>
      <c r="G67" s="19"/>
      <c r="J67" s="19"/>
      <c r="N67" s="75"/>
    </row>
    <row r="68" spans="1:14" x14ac:dyDescent="0.3">
      <c r="A68" s="19"/>
      <c r="C68" s="19"/>
      <c r="D68" s="19"/>
      <c r="E68" s="19"/>
      <c r="G68" s="19"/>
      <c r="J68" s="19"/>
      <c r="N68" s="76"/>
    </row>
    <row r="69" spans="1:14" x14ac:dyDescent="0.3">
      <c r="A69" s="19"/>
      <c r="C69" s="19"/>
      <c r="D69" s="19"/>
      <c r="E69" s="19"/>
      <c r="G69" s="19"/>
      <c r="J69" s="19"/>
      <c r="N69" s="75"/>
    </row>
    <row r="70" spans="1:14" x14ac:dyDescent="0.3">
      <c r="A70" s="19"/>
      <c r="C70" s="19"/>
      <c r="D70" s="19"/>
      <c r="E70" s="19"/>
      <c r="G70" s="19"/>
      <c r="J70" s="19"/>
      <c r="N70" s="76"/>
    </row>
    <row r="71" spans="1:14" x14ac:dyDescent="0.3">
      <c r="A71" s="19"/>
      <c r="C71" s="19"/>
      <c r="D71" s="19"/>
      <c r="E71" s="19"/>
      <c r="G71" s="19"/>
      <c r="J71" s="19"/>
      <c r="N71" s="75"/>
    </row>
    <row r="72" spans="1:14" x14ac:dyDescent="0.3">
      <c r="A72" s="19"/>
      <c r="C72" s="19"/>
      <c r="D72" s="19"/>
      <c r="E72" s="19"/>
      <c r="G72" s="19"/>
      <c r="J72" s="19"/>
      <c r="N72" s="76"/>
    </row>
    <row r="73" spans="1:14" x14ac:dyDescent="0.3">
      <c r="A73" s="19"/>
      <c r="C73" s="19"/>
      <c r="D73" s="19"/>
      <c r="E73" s="19"/>
      <c r="G73" s="19"/>
      <c r="J73" s="19"/>
      <c r="N73" s="75"/>
    </row>
    <row r="74" spans="1:14" x14ac:dyDescent="0.3">
      <c r="A74" s="19"/>
      <c r="C74" s="19"/>
      <c r="D74" s="19"/>
      <c r="E74" s="19"/>
      <c r="G74" s="19"/>
      <c r="J74" s="19"/>
      <c r="N74" s="76"/>
    </row>
    <row r="75" spans="1:14" x14ac:dyDescent="0.3">
      <c r="A75" s="19"/>
      <c r="C75" s="19"/>
      <c r="D75" s="19"/>
      <c r="E75" s="19"/>
      <c r="G75" s="19"/>
      <c r="J75" s="19"/>
      <c r="N75" s="75"/>
    </row>
    <row r="76" spans="1:14" x14ac:dyDescent="0.3">
      <c r="A76" s="19"/>
      <c r="C76" s="19"/>
      <c r="D76" s="19"/>
      <c r="E76" s="19"/>
      <c r="G76" s="19"/>
      <c r="J76" s="19"/>
      <c r="N76" s="76"/>
    </row>
    <row r="77" spans="1:14" x14ac:dyDescent="0.3">
      <c r="A77" s="19"/>
      <c r="C77" s="19"/>
      <c r="D77" s="19"/>
      <c r="E77" s="19"/>
      <c r="G77" s="19"/>
      <c r="J77" s="19"/>
      <c r="N77" s="75"/>
    </row>
    <row r="78" spans="1:14" x14ac:dyDescent="0.3">
      <c r="A78" s="19"/>
      <c r="C78" s="19"/>
      <c r="D78" s="19"/>
      <c r="E78" s="19"/>
      <c r="G78" s="19"/>
      <c r="J78" s="19"/>
      <c r="N78" s="76"/>
    </row>
    <row r="79" spans="1:14" x14ac:dyDescent="0.3">
      <c r="A79" s="19"/>
      <c r="C79" s="19"/>
      <c r="D79" s="19"/>
      <c r="E79" s="19"/>
      <c r="G79" s="19"/>
      <c r="J79" s="19"/>
      <c r="N79" s="75"/>
    </row>
    <row r="80" spans="1:14" x14ac:dyDescent="0.3">
      <c r="A80" s="19"/>
      <c r="C80" s="19"/>
      <c r="D80" s="19"/>
      <c r="E80" s="19"/>
      <c r="G80" s="19"/>
      <c r="J80" s="19"/>
      <c r="N80" s="75"/>
    </row>
    <row r="81" spans="1:14" x14ac:dyDescent="0.3">
      <c r="A81" s="19"/>
      <c r="C81" s="19"/>
      <c r="D81" s="19"/>
      <c r="E81" s="19"/>
      <c r="G81" s="19"/>
      <c r="J81" s="19"/>
      <c r="N81" s="76"/>
    </row>
    <row r="82" spans="1:14" x14ac:dyDescent="0.3">
      <c r="A82" s="19"/>
      <c r="C82" s="19"/>
      <c r="D82" s="19"/>
      <c r="E82" s="19"/>
      <c r="G82" s="19"/>
      <c r="J82" s="19"/>
      <c r="N82" s="75"/>
    </row>
    <row r="83" spans="1:14" x14ac:dyDescent="0.3">
      <c r="A83" s="19"/>
      <c r="C83" s="19"/>
      <c r="D83" s="19"/>
      <c r="E83" s="19"/>
      <c r="G83" s="19"/>
      <c r="J83" s="19"/>
      <c r="N83" s="76"/>
    </row>
    <row r="84" spans="1:14" x14ac:dyDescent="0.3">
      <c r="A84" s="19"/>
      <c r="C84" s="19"/>
      <c r="D84" s="19"/>
      <c r="E84" s="19"/>
      <c r="G84" s="19"/>
      <c r="J84" s="19"/>
      <c r="N84" s="76"/>
    </row>
    <row r="85" spans="1:14" x14ac:dyDescent="0.3">
      <c r="A85" s="19"/>
      <c r="C85" s="19"/>
      <c r="D85" s="19"/>
      <c r="E85" s="19"/>
      <c r="G85" s="19"/>
      <c r="J85" s="19"/>
      <c r="N85" s="75"/>
    </row>
    <row r="86" spans="1:14" x14ac:dyDescent="0.3">
      <c r="A86" s="19"/>
      <c r="C86" s="19"/>
      <c r="D86" s="19"/>
      <c r="E86" s="19"/>
      <c r="G86" s="19"/>
      <c r="J86" s="19"/>
      <c r="N86" s="76"/>
    </row>
    <row r="87" spans="1:14" x14ac:dyDescent="0.3">
      <c r="A87" s="19"/>
      <c r="C87" s="19"/>
      <c r="D87" s="19"/>
      <c r="E87" s="19"/>
      <c r="G87" s="19"/>
      <c r="J87" s="19"/>
      <c r="N87" s="75"/>
    </row>
    <row r="88" spans="1:14" x14ac:dyDescent="0.3">
      <c r="A88" s="19"/>
      <c r="C88" s="19"/>
      <c r="D88" s="19"/>
      <c r="E88" s="19"/>
      <c r="G88" s="19"/>
      <c r="J88" s="19"/>
      <c r="N88" s="75"/>
    </row>
    <row r="89" spans="1:14" x14ac:dyDescent="0.3">
      <c r="A89" s="19"/>
      <c r="C89" s="19"/>
      <c r="D89" s="19"/>
      <c r="E89" s="19"/>
      <c r="G89" s="19"/>
      <c r="J89" s="19"/>
      <c r="N89" s="76"/>
    </row>
    <row r="90" spans="1:14" x14ac:dyDescent="0.3">
      <c r="A90" s="19"/>
      <c r="C90" s="19"/>
      <c r="D90" s="19"/>
      <c r="E90" s="19"/>
      <c r="G90" s="19"/>
      <c r="J90" s="19"/>
      <c r="N90" s="75"/>
    </row>
    <row r="91" spans="1:14" x14ac:dyDescent="0.3">
      <c r="A91" s="19"/>
      <c r="C91" s="19"/>
      <c r="D91" s="19"/>
      <c r="E91" s="19"/>
      <c r="G91" s="19"/>
      <c r="J91" s="19"/>
      <c r="N91" s="76"/>
    </row>
    <row r="92" spans="1:14" x14ac:dyDescent="0.3">
      <c r="A92" s="19"/>
      <c r="C92" s="19"/>
      <c r="D92" s="19"/>
      <c r="E92" s="19"/>
      <c r="G92" s="19"/>
      <c r="J92" s="19"/>
      <c r="N92" s="75"/>
    </row>
    <row r="93" spans="1:14" x14ac:dyDescent="0.3">
      <c r="A93" s="19"/>
      <c r="C93" s="19"/>
      <c r="D93" s="19"/>
      <c r="E93" s="19"/>
      <c r="G93" s="19"/>
      <c r="J93" s="19"/>
      <c r="N93" s="76"/>
    </row>
    <row r="94" spans="1:14" x14ac:dyDescent="0.3">
      <c r="A94" s="19"/>
      <c r="C94" s="19"/>
      <c r="D94" s="19"/>
      <c r="E94" s="19"/>
      <c r="G94" s="19"/>
      <c r="J94" s="19"/>
      <c r="N94" s="75"/>
    </row>
    <row r="95" spans="1:14" x14ac:dyDescent="0.3">
      <c r="A95" s="19"/>
      <c r="C95" s="19"/>
      <c r="D95" s="19"/>
      <c r="E95" s="19"/>
      <c r="G95" s="19"/>
      <c r="J95" s="19"/>
      <c r="N95" s="75"/>
    </row>
    <row r="96" spans="1:14" x14ac:dyDescent="0.3">
      <c r="A96" s="19"/>
      <c r="C96" s="19"/>
      <c r="D96" s="19"/>
      <c r="E96" s="19"/>
      <c r="G96" s="19"/>
      <c r="J96" s="19"/>
      <c r="N96" s="75"/>
    </row>
    <row r="97" spans="1:14" x14ac:dyDescent="0.3">
      <c r="A97" s="19"/>
      <c r="C97" s="19"/>
      <c r="D97" s="19"/>
      <c r="E97" s="19"/>
      <c r="G97" s="19"/>
      <c r="J97" s="19"/>
      <c r="N97" s="75"/>
    </row>
    <row r="98" spans="1:14" x14ac:dyDescent="0.3">
      <c r="A98" s="19"/>
      <c r="C98" s="19"/>
      <c r="D98" s="19"/>
      <c r="E98" s="19"/>
      <c r="G98" s="19"/>
      <c r="J98" s="19"/>
      <c r="N98" s="76"/>
    </row>
    <row r="99" spans="1:14" x14ac:dyDescent="0.3">
      <c r="A99" s="19"/>
      <c r="C99" s="19"/>
      <c r="D99" s="19"/>
      <c r="E99" s="19"/>
      <c r="G99" s="19"/>
      <c r="J99" s="19"/>
      <c r="N99" s="75"/>
    </row>
    <row r="100" spans="1:14" x14ac:dyDescent="0.3">
      <c r="A100" s="19"/>
      <c r="C100" s="19"/>
      <c r="D100" s="19"/>
      <c r="E100" s="19"/>
      <c r="G100" s="19"/>
      <c r="J100" s="19"/>
      <c r="N100" s="76"/>
    </row>
    <row r="101" spans="1:14" x14ac:dyDescent="0.3">
      <c r="A101" s="19"/>
      <c r="C101" s="19"/>
      <c r="D101" s="19"/>
      <c r="E101" s="19"/>
      <c r="G101" s="19"/>
      <c r="J101" s="19"/>
      <c r="N101" s="75"/>
    </row>
    <row r="102" spans="1:14" x14ac:dyDescent="0.3">
      <c r="A102" s="19"/>
      <c r="C102" s="19"/>
      <c r="D102" s="19"/>
      <c r="E102" s="19"/>
      <c r="G102" s="19"/>
      <c r="J102" s="19"/>
      <c r="N102" s="76"/>
    </row>
    <row r="103" spans="1:14" x14ac:dyDescent="0.3">
      <c r="A103" s="19"/>
      <c r="C103" s="19"/>
      <c r="D103" s="19"/>
      <c r="E103" s="19"/>
      <c r="G103" s="19"/>
      <c r="J103" s="19"/>
      <c r="N103" s="75"/>
    </row>
    <row r="104" spans="1:14" x14ac:dyDescent="0.3">
      <c r="A104" s="19"/>
      <c r="C104" s="19"/>
      <c r="D104" s="19"/>
      <c r="E104" s="19"/>
      <c r="G104" s="19"/>
      <c r="J104" s="19"/>
      <c r="N104" s="76"/>
    </row>
    <row r="105" spans="1:14" x14ac:dyDescent="0.3">
      <c r="A105" s="19"/>
      <c r="C105" s="19"/>
      <c r="D105" s="19"/>
      <c r="E105" s="19"/>
      <c r="G105" s="19"/>
      <c r="J105" s="19"/>
      <c r="N105" s="75"/>
    </row>
    <row r="106" spans="1:14" x14ac:dyDescent="0.3">
      <c r="A106" s="19"/>
      <c r="C106" s="19"/>
      <c r="D106" s="19"/>
      <c r="E106" s="19"/>
      <c r="G106" s="19"/>
      <c r="J106" s="19"/>
      <c r="N106" s="76"/>
    </row>
    <row r="107" spans="1:14" x14ac:dyDescent="0.3">
      <c r="A107" s="19"/>
      <c r="C107" s="19"/>
      <c r="D107" s="19"/>
      <c r="E107" s="19"/>
      <c r="G107" s="19"/>
      <c r="J107" s="19"/>
      <c r="N107" s="76"/>
    </row>
    <row r="108" spans="1:14" x14ac:dyDescent="0.3">
      <c r="A108" s="19"/>
      <c r="C108" s="19"/>
      <c r="D108" s="19"/>
      <c r="E108" s="19"/>
      <c r="G108" s="19"/>
      <c r="J108" s="19"/>
      <c r="N108" s="75"/>
    </row>
    <row r="109" spans="1:14" x14ac:dyDescent="0.3">
      <c r="A109" s="19"/>
      <c r="C109" s="19"/>
      <c r="D109" s="19"/>
      <c r="E109" s="19"/>
      <c r="G109" s="19"/>
      <c r="J109" s="19"/>
      <c r="N109" s="76"/>
    </row>
    <row r="110" spans="1:14" x14ac:dyDescent="0.3">
      <c r="A110" s="19"/>
      <c r="C110" s="19"/>
      <c r="D110" s="19"/>
      <c r="E110" s="19"/>
      <c r="G110" s="19"/>
      <c r="J110" s="19"/>
      <c r="N110" s="75"/>
    </row>
    <row r="111" spans="1:14" x14ac:dyDescent="0.3">
      <c r="A111" s="19"/>
      <c r="C111" s="19"/>
      <c r="D111" s="19"/>
      <c r="E111" s="19"/>
      <c r="G111" s="19"/>
      <c r="J111" s="19"/>
      <c r="N111" s="76"/>
    </row>
    <row r="112" spans="1:14" x14ac:dyDescent="0.3">
      <c r="A112" s="19"/>
      <c r="C112" s="19"/>
      <c r="D112" s="19"/>
      <c r="E112" s="19"/>
      <c r="G112" s="19"/>
      <c r="J112" s="19"/>
      <c r="N112" s="75"/>
    </row>
    <row r="113" spans="1:14" x14ac:dyDescent="0.3">
      <c r="A113" s="19"/>
      <c r="C113" s="19"/>
      <c r="D113" s="19"/>
      <c r="E113" s="19"/>
      <c r="G113" s="19"/>
      <c r="J113" s="19"/>
      <c r="N113" s="76"/>
    </row>
    <row r="114" spans="1:14" x14ac:dyDescent="0.3">
      <c r="A114" s="19"/>
      <c r="C114" s="19"/>
      <c r="D114" s="19"/>
      <c r="E114" s="19"/>
      <c r="G114" s="19"/>
      <c r="J114" s="19"/>
      <c r="N114" s="75"/>
    </row>
    <row r="115" spans="1:14" x14ac:dyDescent="0.3">
      <c r="A115" s="19"/>
      <c r="C115" s="19"/>
      <c r="D115" s="19"/>
      <c r="E115" s="19"/>
      <c r="G115" s="19"/>
      <c r="J115" s="19"/>
      <c r="N115" s="76"/>
    </row>
    <row r="116" spans="1:14" x14ac:dyDescent="0.3">
      <c r="A116" s="19"/>
      <c r="C116" s="19"/>
      <c r="D116" s="19"/>
      <c r="E116" s="19"/>
      <c r="G116" s="19"/>
      <c r="J116" s="19"/>
      <c r="N116" s="76"/>
    </row>
    <row r="117" spans="1:14" x14ac:dyDescent="0.3">
      <c r="A117" s="19"/>
      <c r="C117" s="19"/>
      <c r="D117" s="19"/>
      <c r="E117" s="19"/>
      <c r="G117" s="19"/>
      <c r="J117" s="19"/>
      <c r="N117" s="76"/>
    </row>
    <row r="118" spans="1:14" x14ac:dyDescent="0.3">
      <c r="A118" s="19"/>
      <c r="C118" s="19"/>
      <c r="D118" s="19"/>
      <c r="E118" s="19"/>
      <c r="G118" s="19"/>
      <c r="J118" s="19"/>
      <c r="N118" s="75"/>
    </row>
    <row r="119" spans="1:14" x14ac:dyDescent="0.3">
      <c r="A119" s="19"/>
      <c r="C119" s="19"/>
      <c r="D119" s="19"/>
      <c r="E119" s="19"/>
      <c r="G119" s="19"/>
      <c r="J119" s="19"/>
      <c r="N119" s="76"/>
    </row>
    <row r="120" spans="1:14" x14ac:dyDescent="0.3">
      <c r="A120" s="19"/>
      <c r="C120" s="19"/>
      <c r="D120" s="19"/>
      <c r="E120" s="19"/>
      <c r="G120" s="19"/>
      <c r="J120" s="19"/>
      <c r="N120" s="75"/>
    </row>
    <row r="121" spans="1:14" x14ac:dyDescent="0.3">
      <c r="A121" s="19"/>
      <c r="C121" s="19"/>
      <c r="D121" s="19"/>
      <c r="E121" s="19"/>
      <c r="G121" s="19"/>
      <c r="J121" s="19"/>
      <c r="N121" s="76"/>
    </row>
    <row r="122" spans="1:14" x14ac:dyDescent="0.3">
      <c r="A122" s="19"/>
      <c r="C122" s="19"/>
      <c r="D122" s="19"/>
      <c r="E122" s="19"/>
      <c r="G122" s="19"/>
      <c r="J122" s="19"/>
      <c r="N122" s="75"/>
    </row>
    <row r="123" spans="1:14" x14ac:dyDescent="0.3">
      <c r="A123" s="19"/>
      <c r="C123" s="19"/>
      <c r="D123" s="19"/>
      <c r="E123" s="19"/>
      <c r="G123" s="19"/>
      <c r="J123" s="19"/>
      <c r="N123" s="76"/>
    </row>
    <row r="124" spans="1:14" x14ac:dyDescent="0.3">
      <c r="A124" s="19"/>
      <c r="C124" s="19"/>
      <c r="D124" s="19"/>
      <c r="E124" s="19"/>
      <c r="G124" s="19"/>
      <c r="J124" s="19"/>
      <c r="N124" s="75"/>
    </row>
    <row r="125" spans="1:14" x14ac:dyDescent="0.3">
      <c r="A125" s="19"/>
      <c r="C125" s="19"/>
      <c r="D125" s="19"/>
      <c r="E125" s="19"/>
      <c r="G125" s="19"/>
      <c r="J125" s="19"/>
      <c r="N125" s="76"/>
    </row>
    <row r="126" spans="1:14" x14ac:dyDescent="0.3">
      <c r="A126" s="19"/>
      <c r="C126" s="19"/>
      <c r="D126" s="19"/>
      <c r="E126" s="19"/>
      <c r="G126" s="19"/>
      <c r="J126" s="19"/>
      <c r="N126" s="76"/>
    </row>
    <row r="127" spans="1:14" x14ac:dyDescent="0.3">
      <c r="A127" s="19"/>
      <c r="C127" s="19"/>
      <c r="D127" s="19"/>
      <c r="E127" s="19"/>
      <c r="G127" s="19"/>
      <c r="J127" s="19"/>
      <c r="N127" s="75"/>
    </row>
    <row r="128" spans="1:14" x14ac:dyDescent="0.3">
      <c r="A128" s="19"/>
      <c r="C128" s="19"/>
      <c r="D128" s="19"/>
      <c r="E128" s="19"/>
      <c r="G128" s="19"/>
      <c r="J128" s="19"/>
      <c r="N128" s="76"/>
    </row>
    <row r="129" spans="1:14" x14ac:dyDescent="0.3">
      <c r="A129" s="19"/>
      <c r="C129" s="19"/>
      <c r="D129" s="19"/>
      <c r="E129" s="19"/>
      <c r="G129" s="19"/>
      <c r="J129" s="19"/>
      <c r="N129" s="75"/>
    </row>
    <row r="130" spans="1:14" x14ac:dyDescent="0.3">
      <c r="A130" s="19"/>
      <c r="C130" s="19"/>
      <c r="D130" s="19"/>
      <c r="E130" s="19"/>
      <c r="G130" s="19"/>
      <c r="J130" s="19"/>
      <c r="N130" s="76"/>
    </row>
    <row r="131" spans="1:14" x14ac:dyDescent="0.3">
      <c r="A131" s="19"/>
      <c r="C131" s="19"/>
      <c r="D131" s="19"/>
      <c r="E131" s="19"/>
      <c r="G131" s="19"/>
      <c r="J131" s="19"/>
      <c r="N131" s="75"/>
    </row>
    <row r="132" spans="1:14" x14ac:dyDescent="0.3">
      <c r="A132" s="19"/>
      <c r="C132" s="19"/>
      <c r="D132" s="19"/>
      <c r="E132" s="19"/>
      <c r="G132" s="19"/>
      <c r="J132" s="19"/>
      <c r="N132" s="76"/>
    </row>
    <row r="133" spans="1:14" x14ac:dyDescent="0.3">
      <c r="A133" s="19"/>
      <c r="C133" s="19"/>
      <c r="D133" s="19"/>
      <c r="E133" s="19"/>
      <c r="G133" s="19"/>
      <c r="J133" s="19"/>
      <c r="N133" s="75"/>
    </row>
    <row r="134" spans="1:14" x14ac:dyDescent="0.3">
      <c r="A134" s="19"/>
      <c r="C134" s="19"/>
      <c r="D134" s="19"/>
      <c r="E134" s="19"/>
      <c r="G134" s="19"/>
      <c r="J134" s="19"/>
      <c r="N134" s="75"/>
    </row>
    <row r="135" spans="1:14" x14ac:dyDescent="0.3">
      <c r="A135" s="19"/>
      <c r="C135" s="19"/>
      <c r="D135" s="19"/>
      <c r="E135" s="19"/>
      <c r="G135" s="19"/>
      <c r="J135" s="19"/>
      <c r="N135" s="76"/>
    </row>
    <row r="136" spans="1:14" x14ac:dyDescent="0.3">
      <c r="A136" s="19"/>
      <c r="C136" s="19"/>
      <c r="D136" s="19"/>
      <c r="E136" s="19"/>
      <c r="G136" s="19"/>
      <c r="J136" s="19"/>
      <c r="N136" s="75"/>
    </row>
    <row r="137" spans="1:14" x14ac:dyDescent="0.3">
      <c r="A137" s="19"/>
      <c r="C137" s="19"/>
      <c r="D137" s="19"/>
      <c r="E137" s="19"/>
      <c r="G137" s="19"/>
      <c r="J137" s="19"/>
      <c r="N137" s="76"/>
    </row>
    <row r="138" spans="1:14" x14ac:dyDescent="0.3">
      <c r="A138" s="19"/>
      <c r="C138" s="19"/>
      <c r="D138" s="19"/>
      <c r="E138" s="19"/>
      <c r="G138" s="19"/>
      <c r="J138" s="19"/>
      <c r="N138" s="75"/>
    </row>
    <row r="139" spans="1:14" x14ac:dyDescent="0.3">
      <c r="A139" s="19"/>
      <c r="C139" s="19"/>
      <c r="D139" s="19"/>
      <c r="E139" s="19"/>
      <c r="G139" s="19"/>
      <c r="J139" s="19"/>
      <c r="N139" s="76"/>
    </row>
    <row r="140" spans="1:14" x14ac:dyDescent="0.3">
      <c r="A140" s="19"/>
      <c r="C140" s="19"/>
      <c r="D140" s="19"/>
      <c r="E140" s="19"/>
      <c r="G140" s="19"/>
      <c r="J140" s="19"/>
      <c r="N140" s="75"/>
    </row>
    <row r="141" spans="1:14" x14ac:dyDescent="0.3">
      <c r="A141" s="19"/>
      <c r="C141" s="19"/>
      <c r="D141" s="19"/>
      <c r="E141" s="19"/>
      <c r="G141" s="19"/>
      <c r="J141" s="19"/>
      <c r="N141" s="76"/>
    </row>
    <row r="142" spans="1:14" x14ac:dyDescent="0.3">
      <c r="A142" s="19"/>
      <c r="C142" s="19"/>
      <c r="D142" s="19"/>
      <c r="E142" s="19"/>
      <c r="G142" s="19"/>
      <c r="J142" s="19"/>
      <c r="N142" s="75"/>
    </row>
    <row r="143" spans="1:14" x14ac:dyDescent="0.3">
      <c r="A143" s="19"/>
      <c r="C143" s="19"/>
      <c r="D143" s="19"/>
      <c r="E143" s="19"/>
      <c r="G143" s="19"/>
      <c r="J143" s="19"/>
      <c r="N143" s="76"/>
    </row>
    <row r="144" spans="1:14" x14ac:dyDescent="0.3">
      <c r="A144" s="19"/>
      <c r="C144" s="19"/>
      <c r="D144" s="19"/>
      <c r="E144" s="19"/>
      <c r="G144" s="19"/>
      <c r="J144" s="19"/>
      <c r="N144" s="75"/>
    </row>
    <row r="145" spans="1:14" x14ac:dyDescent="0.3">
      <c r="A145" s="19"/>
      <c r="C145" s="19"/>
      <c r="D145" s="19"/>
      <c r="E145" s="19"/>
      <c r="G145" s="19"/>
      <c r="J145" s="19"/>
      <c r="N145" s="76"/>
    </row>
    <row r="146" spans="1:14" x14ac:dyDescent="0.3">
      <c r="A146" s="19"/>
      <c r="C146" s="19"/>
      <c r="D146" s="19"/>
      <c r="E146" s="19"/>
      <c r="G146" s="19"/>
      <c r="J146" s="19"/>
      <c r="N146" s="75"/>
    </row>
    <row r="147" spans="1:14" x14ac:dyDescent="0.3">
      <c r="A147" s="19"/>
      <c r="C147" s="19"/>
      <c r="D147" s="19"/>
      <c r="E147" s="19"/>
      <c r="G147" s="19"/>
      <c r="J147" s="19"/>
      <c r="N147" s="76"/>
    </row>
    <row r="148" spans="1:14" x14ac:dyDescent="0.3">
      <c r="A148" s="19"/>
      <c r="C148" s="19"/>
      <c r="D148" s="19"/>
      <c r="E148" s="19"/>
      <c r="G148" s="19"/>
      <c r="J148" s="19"/>
      <c r="N148" s="76"/>
    </row>
    <row r="149" spans="1:14" x14ac:dyDescent="0.3">
      <c r="A149" s="19"/>
      <c r="C149" s="19"/>
      <c r="D149" s="19"/>
      <c r="E149" s="19"/>
      <c r="G149" s="19"/>
      <c r="J149" s="19"/>
      <c r="N149" s="75"/>
    </row>
    <row r="150" spans="1:14" x14ac:dyDescent="0.3">
      <c r="A150" s="19"/>
      <c r="C150" s="19"/>
      <c r="D150" s="19"/>
      <c r="E150" s="19"/>
      <c r="G150" s="19"/>
      <c r="J150" s="19"/>
      <c r="N150" s="76"/>
    </row>
    <row r="151" spans="1:14" x14ac:dyDescent="0.3">
      <c r="A151" s="19"/>
      <c r="C151" s="19"/>
      <c r="D151" s="19"/>
      <c r="E151" s="19"/>
      <c r="G151" s="19"/>
      <c r="J151" s="19"/>
      <c r="N151" s="75"/>
    </row>
    <row r="152" spans="1:14" x14ac:dyDescent="0.3">
      <c r="A152" s="19"/>
      <c r="C152" s="19"/>
      <c r="D152" s="19"/>
      <c r="E152" s="19"/>
      <c r="G152" s="19"/>
      <c r="J152" s="19"/>
      <c r="N152" s="76"/>
    </row>
    <row r="153" spans="1:14" x14ac:dyDescent="0.3">
      <c r="A153" s="19"/>
      <c r="C153" s="19"/>
      <c r="D153" s="19"/>
      <c r="E153" s="19"/>
      <c r="G153" s="19"/>
      <c r="J153" s="19"/>
      <c r="N153" s="75"/>
    </row>
    <row r="154" spans="1:14" x14ac:dyDescent="0.3">
      <c r="A154" s="19"/>
      <c r="C154" s="19"/>
      <c r="D154" s="19"/>
      <c r="E154" s="19"/>
      <c r="G154" s="19"/>
      <c r="J154" s="19"/>
      <c r="N154" s="76"/>
    </row>
    <row r="155" spans="1:14" x14ac:dyDescent="0.3">
      <c r="A155" s="19"/>
      <c r="C155" s="19"/>
      <c r="D155" s="19"/>
      <c r="E155" s="19"/>
      <c r="G155" s="19"/>
      <c r="J155" s="19"/>
      <c r="N155" s="75"/>
    </row>
    <row r="156" spans="1:14" x14ac:dyDescent="0.3">
      <c r="A156" s="19"/>
      <c r="C156" s="19"/>
      <c r="D156" s="19"/>
      <c r="E156" s="19"/>
      <c r="G156" s="19"/>
      <c r="J156" s="19"/>
      <c r="N156" s="76"/>
    </row>
    <row r="157" spans="1:14" x14ac:dyDescent="0.3">
      <c r="A157" s="19"/>
      <c r="C157" s="19"/>
      <c r="D157" s="19"/>
      <c r="E157" s="19"/>
      <c r="G157" s="19"/>
      <c r="J157" s="19"/>
      <c r="N157" s="76"/>
    </row>
    <row r="158" spans="1:14" x14ac:dyDescent="0.3">
      <c r="A158" s="19"/>
      <c r="C158" s="19"/>
      <c r="D158" s="19"/>
      <c r="E158" s="19"/>
      <c r="G158" s="19"/>
      <c r="J158" s="19"/>
      <c r="N158" s="75"/>
    </row>
    <row r="159" spans="1:14" x14ac:dyDescent="0.3">
      <c r="A159" s="19"/>
      <c r="C159" s="19"/>
      <c r="D159" s="19"/>
      <c r="E159" s="19"/>
      <c r="G159" s="19"/>
      <c r="J159" s="19"/>
      <c r="N159" s="76"/>
    </row>
    <row r="160" spans="1:14" x14ac:dyDescent="0.3">
      <c r="A160" s="19"/>
      <c r="C160" s="19"/>
      <c r="D160" s="19"/>
      <c r="E160" s="19"/>
      <c r="G160" s="19"/>
      <c r="J160" s="19"/>
      <c r="N160" s="75"/>
    </row>
    <row r="161" spans="1:14" x14ac:dyDescent="0.3">
      <c r="A161" s="19"/>
      <c r="C161" s="19"/>
      <c r="D161" s="19"/>
      <c r="E161" s="19"/>
      <c r="G161" s="19"/>
      <c r="J161" s="19"/>
      <c r="N161" s="75"/>
    </row>
    <row r="162" spans="1:14" x14ac:dyDescent="0.3">
      <c r="A162" s="19"/>
      <c r="C162" s="19"/>
      <c r="D162" s="19"/>
      <c r="E162" s="19"/>
      <c r="G162" s="19"/>
      <c r="J162" s="19"/>
      <c r="N162" s="76"/>
    </row>
    <row r="163" spans="1:14" x14ac:dyDescent="0.3">
      <c r="A163" s="19"/>
      <c r="C163" s="19"/>
      <c r="D163" s="19"/>
      <c r="E163" s="19"/>
      <c r="G163" s="19"/>
      <c r="J163" s="19"/>
      <c r="N163" s="75"/>
    </row>
    <row r="164" spans="1:14" x14ac:dyDescent="0.3">
      <c r="A164" s="19"/>
      <c r="C164" s="19"/>
      <c r="D164" s="19"/>
      <c r="E164" s="19"/>
      <c r="G164" s="19"/>
      <c r="J164" s="19"/>
      <c r="N164" s="76"/>
    </row>
    <row r="165" spans="1:14" x14ac:dyDescent="0.3">
      <c r="A165" s="19"/>
      <c r="C165" s="19"/>
      <c r="D165" s="19"/>
      <c r="E165" s="19"/>
      <c r="G165" s="19"/>
      <c r="J165" s="19"/>
      <c r="N165" s="75"/>
    </row>
    <row r="166" spans="1:14" x14ac:dyDescent="0.3">
      <c r="A166" s="19"/>
      <c r="C166" s="19"/>
      <c r="D166" s="19"/>
      <c r="E166" s="19"/>
      <c r="G166" s="19"/>
      <c r="J166" s="19"/>
      <c r="N166" s="76"/>
    </row>
    <row r="167" spans="1:14" x14ac:dyDescent="0.3">
      <c r="A167" s="19"/>
      <c r="C167" s="19"/>
      <c r="D167" s="19"/>
      <c r="E167" s="19"/>
      <c r="G167" s="19"/>
      <c r="J167" s="19"/>
      <c r="N167" s="75"/>
    </row>
    <row r="168" spans="1:14" x14ac:dyDescent="0.3">
      <c r="A168" s="19"/>
      <c r="C168" s="19"/>
      <c r="D168" s="19"/>
      <c r="E168" s="19"/>
      <c r="G168" s="19"/>
      <c r="J168" s="19"/>
      <c r="N168" s="75"/>
    </row>
    <row r="169" spans="1:14" x14ac:dyDescent="0.3">
      <c r="A169" s="19"/>
      <c r="C169" s="19"/>
      <c r="D169" s="19"/>
      <c r="E169" s="19"/>
      <c r="G169" s="19"/>
      <c r="J169" s="19"/>
      <c r="N169" s="76"/>
    </row>
    <row r="170" spans="1:14" x14ac:dyDescent="0.3">
      <c r="A170" s="19"/>
      <c r="C170" s="19"/>
      <c r="D170" s="19"/>
      <c r="E170" s="19"/>
      <c r="G170" s="19"/>
      <c r="J170" s="19"/>
      <c r="N170" s="75"/>
    </row>
    <row r="171" spans="1:14" x14ac:dyDescent="0.3">
      <c r="A171" s="19"/>
      <c r="C171" s="19"/>
      <c r="D171" s="19"/>
      <c r="E171" s="19"/>
      <c r="G171" s="19"/>
      <c r="J171" s="19"/>
      <c r="N171" s="75"/>
    </row>
    <row r="172" spans="1:14" x14ac:dyDescent="0.3">
      <c r="A172" s="19"/>
      <c r="C172" s="19"/>
      <c r="D172" s="19"/>
      <c r="E172" s="19"/>
      <c r="G172" s="19"/>
      <c r="J172" s="19"/>
      <c r="N172" s="76"/>
    </row>
    <row r="173" spans="1:14" x14ac:dyDescent="0.3">
      <c r="A173" s="19"/>
      <c r="C173" s="19"/>
      <c r="D173" s="19"/>
      <c r="E173" s="19"/>
      <c r="G173" s="19"/>
      <c r="J173" s="19"/>
      <c r="N173" s="75"/>
    </row>
    <row r="174" spans="1:14" x14ac:dyDescent="0.3">
      <c r="A174" s="19"/>
      <c r="C174" s="19"/>
      <c r="D174" s="19"/>
      <c r="E174" s="19"/>
      <c r="G174" s="19"/>
      <c r="J174" s="19"/>
      <c r="N174" s="7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0FD5-9A07-4351-B3AA-C66E5C00707F}">
  <dimension ref="A1:EB270"/>
  <sheetViews>
    <sheetView showGridLines="0" tabSelected="1" topLeftCell="D2" zoomScale="90" zoomScaleNormal="90" workbookViewId="0">
      <selection activeCell="Q10" sqref="Q10"/>
    </sheetView>
  </sheetViews>
  <sheetFormatPr baseColWidth="10" defaultColWidth="11.5546875" defaultRowHeight="14.4" x14ac:dyDescent="0.3"/>
  <cols>
    <col min="1" max="3" width="19.44140625" customWidth="1"/>
    <col min="4" max="7" width="13.5546875" customWidth="1"/>
    <col min="8" max="8" width="17.44140625" bestFit="1" customWidth="1"/>
    <col min="9" max="9" width="16.6640625" bestFit="1" customWidth="1"/>
    <col min="10" max="12" width="13.5546875" customWidth="1"/>
    <col min="13" max="13" width="15" bestFit="1" customWidth="1"/>
    <col min="14" max="14" width="16.88671875" bestFit="1" customWidth="1"/>
    <col min="15" max="15" width="33.21875" customWidth="1"/>
    <col min="16" max="16" width="41" bestFit="1" customWidth="1"/>
    <col min="17" max="17" width="41" customWidth="1"/>
    <col min="18" max="19" width="13.5546875" customWidth="1"/>
    <col min="20" max="20" width="25.33203125" bestFit="1" customWidth="1"/>
    <col min="21" max="22" width="13.5546875" customWidth="1"/>
    <col min="23" max="23" width="27.5546875" bestFit="1" customWidth="1"/>
    <col min="25" max="27" width="13.77734375" customWidth="1"/>
    <col min="28" max="29" width="25.33203125" customWidth="1"/>
    <col min="30" max="30" width="13.77734375" style="1" customWidth="1"/>
    <col min="31" max="31" width="11.5546875" style="1" customWidth="1"/>
    <col min="32" max="32" width="16.5546875" style="1" customWidth="1"/>
    <col min="33" max="33" width="17" style="1" customWidth="1"/>
    <col min="34" max="35" width="13.88671875" style="1" customWidth="1"/>
    <col min="36" max="36" width="12.77734375" style="1" customWidth="1"/>
    <col min="37" max="38" width="12" style="1" customWidth="1"/>
    <col min="39" max="39" width="15.21875" style="1" customWidth="1"/>
    <col min="40" max="40" width="12" style="1" customWidth="1"/>
    <col min="41" max="42" width="16.109375" style="1" customWidth="1"/>
    <col min="43" max="43" width="18.21875" style="2" customWidth="1"/>
    <col min="44" max="53" width="16.77734375" style="2" customWidth="1"/>
    <col min="54" max="54" width="11.5546875" style="2" customWidth="1"/>
    <col min="55" max="55" width="12.77734375" style="2" customWidth="1"/>
    <col min="56" max="56" width="11.5546875" style="2" customWidth="1"/>
    <col min="57" max="57" width="13.77734375" style="2" customWidth="1"/>
    <col min="58" max="58" width="11.5546875" style="2" customWidth="1"/>
    <col min="59" max="59" width="13.77734375" style="2" customWidth="1"/>
    <col min="60" max="60" width="11.5546875" style="2" customWidth="1"/>
    <col min="61" max="61" width="13.77734375" style="2" customWidth="1"/>
    <col min="62" max="62" width="11.5546875" style="2" customWidth="1"/>
    <col min="63" max="63" width="13.77734375" style="2" customWidth="1"/>
    <col min="64" max="64" width="11.5546875" style="2" customWidth="1"/>
    <col min="65" max="66" width="13.77734375" style="2" customWidth="1"/>
    <col min="67" max="67" width="14.21875" style="2" customWidth="1"/>
    <col min="68" max="68" width="17.21875" style="2" customWidth="1"/>
    <col min="69" max="69" width="11.5546875" style="2" customWidth="1"/>
    <col min="70" max="70" width="17" style="2" customWidth="1"/>
    <col min="71" max="72" width="28.77734375" style="2" customWidth="1"/>
    <col min="73" max="73" width="16.21875" style="2" customWidth="1"/>
    <col min="74" max="74" width="67.109375" style="2" customWidth="1"/>
    <col min="75" max="105" width="28.6640625" style="2" customWidth="1"/>
    <col min="106" max="111" width="21.5546875" style="2" customWidth="1"/>
    <col min="112" max="114" width="10.109375" style="2" customWidth="1"/>
    <col min="115" max="115" width="11.5546875" style="2" customWidth="1"/>
    <col min="116" max="120" width="28.6640625" style="2" customWidth="1"/>
    <col min="121" max="125" width="16.21875" style="2" customWidth="1"/>
    <col min="126" max="126" width="19.6640625" style="2" customWidth="1"/>
    <col min="127" max="130" width="16.21875" style="2" customWidth="1"/>
  </cols>
  <sheetData>
    <row r="1" spans="1:132" ht="72" customHeight="1" thickBot="1" x14ac:dyDescent="0.35">
      <c r="A1" s="21"/>
      <c r="B1" s="24" t="s">
        <v>62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</row>
    <row r="4" spans="1:132" x14ac:dyDescent="0.3"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</row>
    <row r="7" spans="1:132" ht="33.6" customHeight="1" x14ac:dyDescent="0.3">
      <c r="AD7" s="27" t="s">
        <v>76</v>
      </c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8" t="s">
        <v>74</v>
      </c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W7" s="27" t="s">
        <v>126</v>
      </c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8" t="s">
        <v>75</v>
      </c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42" t="s">
        <v>258</v>
      </c>
      <c r="DP7" s="42"/>
      <c r="DQ7" s="42"/>
      <c r="DR7" s="42"/>
      <c r="DS7" s="42"/>
      <c r="DT7" s="42"/>
      <c r="DU7" s="42"/>
      <c r="DV7" s="42"/>
      <c r="DW7" s="42"/>
      <c r="DX7" s="39" t="s">
        <v>76</v>
      </c>
      <c r="DY7" s="40"/>
      <c r="DZ7" s="41"/>
      <c r="EA7" s="2"/>
      <c r="EB7" s="2"/>
    </row>
    <row r="8" spans="1:132" s="3" customFormat="1" ht="45" customHeight="1" x14ac:dyDescent="0.3">
      <c r="I8" s="31" t="s">
        <v>237</v>
      </c>
      <c r="J8" s="31"/>
      <c r="K8" s="31"/>
      <c r="L8" s="31"/>
      <c r="M8" s="31"/>
      <c r="N8" s="31"/>
      <c r="O8" s="31"/>
      <c r="P8" s="31"/>
      <c r="Q8" s="23"/>
      <c r="AD8" s="4" t="s">
        <v>0</v>
      </c>
      <c r="AE8" s="29" t="s">
        <v>1</v>
      </c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30" t="s">
        <v>2</v>
      </c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26" t="s">
        <v>1</v>
      </c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"/>
      <c r="BW8" s="4" t="s">
        <v>79</v>
      </c>
      <c r="BX8" s="29" t="s">
        <v>52</v>
      </c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30" t="s">
        <v>51</v>
      </c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26" t="s">
        <v>52</v>
      </c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43" t="s">
        <v>256</v>
      </c>
      <c r="DP8" s="43"/>
      <c r="DQ8" s="43"/>
      <c r="DR8" s="43"/>
      <c r="DS8" s="43"/>
      <c r="DT8" s="42" t="s">
        <v>257</v>
      </c>
      <c r="DU8" s="42"/>
      <c r="DV8" s="42"/>
      <c r="DW8" s="42"/>
      <c r="DX8" s="39" t="s">
        <v>257</v>
      </c>
      <c r="DY8" s="40"/>
      <c r="DZ8" s="41"/>
      <c r="EA8" s="2"/>
      <c r="EB8" s="2"/>
    </row>
    <row r="9" spans="1:132" s="8" customFormat="1" ht="72" x14ac:dyDescent="0.3">
      <c r="A9" s="7" t="s">
        <v>128</v>
      </c>
      <c r="B9" s="7" t="s">
        <v>3</v>
      </c>
      <c r="C9" s="7" t="s">
        <v>235</v>
      </c>
      <c r="D9" s="7" t="s">
        <v>63</v>
      </c>
      <c r="E9" s="7" t="s">
        <v>64</v>
      </c>
      <c r="F9" s="7" t="s">
        <v>65</v>
      </c>
      <c r="G9" s="7" t="s">
        <v>66</v>
      </c>
      <c r="H9" s="7" t="s">
        <v>142</v>
      </c>
      <c r="I9" s="7" t="s">
        <v>70</v>
      </c>
      <c r="J9" s="7" t="s">
        <v>71</v>
      </c>
      <c r="K9" s="7" t="s">
        <v>4</v>
      </c>
      <c r="L9" s="7" t="s">
        <v>72</v>
      </c>
      <c r="M9" s="7" t="s">
        <v>238</v>
      </c>
      <c r="N9" s="7" t="s">
        <v>73</v>
      </c>
      <c r="O9" s="7" t="s">
        <v>132</v>
      </c>
      <c r="P9" s="7" t="s">
        <v>242</v>
      </c>
      <c r="Q9" s="7" t="s">
        <v>367</v>
      </c>
      <c r="R9" s="7" t="s">
        <v>133</v>
      </c>
      <c r="S9" s="7" t="s">
        <v>5</v>
      </c>
      <c r="T9" s="7" t="s">
        <v>6</v>
      </c>
      <c r="U9" s="7" t="s">
        <v>67</v>
      </c>
      <c r="V9" s="7" t="s">
        <v>68</v>
      </c>
      <c r="W9" s="7" t="s">
        <v>69</v>
      </c>
      <c r="X9" s="7" t="s">
        <v>8</v>
      </c>
      <c r="Y9" s="7" t="s">
        <v>236</v>
      </c>
      <c r="Z9" s="7" t="s">
        <v>7</v>
      </c>
      <c r="AA9" s="7" t="s">
        <v>129</v>
      </c>
      <c r="AB9" s="7" t="s">
        <v>130</v>
      </c>
      <c r="AC9" s="7" t="s">
        <v>139</v>
      </c>
      <c r="AD9" s="4" t="s">
        <v>9</v>
      </c>
      <c r="AE9" s="4" t="s">
        <v>10</v>
      </c>
      <c r="AF9" s="4" t="s">
        <v>11</v>
      </c>
      <c r="AG9" s="4" t="s">
        <v>12</v>
      </c>
      <c r="AH9" s="4" t="s">
        <v>13</v>
      </c>
      <c r="AI9" s="4" t="s">
        <v>49</v>
      </c>
      <c r="AJ9" s="4" t="s">
        <v>14</v>
      </c>
      <c r="AK9" s="4" t="s">
        <v>15</v>
      </c>
      <c r="AL9" s="4" t="s">
        <v>16</v>
      </c>
      <c r="AM9" s="4" t="s">
        <v>17</v>
      </c>
      <c r="AN9" s="4" t="s">
        <v>18</v>
      </c>
      <c r="AO9" s="4" t="s">
        <v>19</v>
      </c>
      <c r="AP9" s="4" t="s">
        <v>20</v>
      </c>
      <c r="AQ9" s="5" t="s">
        <v>21</v>
      </c>
      <c r="AR9" s="5" t="s">
        <v>22</v>
      </c>
      <c r="AS9" s="5" t="s">
        <v>23</v>
      </c>
      <c r="AT9" s="5" t="s">
        <v>24</v>
      </c>
      <c r="AU9" s="5" t="s">
        <v>25</v>
      </c>
      <c r="AV9" s="5" t="s">
        <v>26</v>
      </c>
      <c r="AW9" s="5" t="s">
        <v>27</v>
      </c>
      <c r="AX9" s="5" t="s">
        <v>28</v>
      </c>
      <c r="AY9" s="5" t="s">
        <v>29</v>
      </c>
      <c r="AZ9" s="5" t="s">
        <v>30</v>
      </c>
      <c r="BA9" s="5" t="s">
        <v>31</v>
      </c>
      <c r="BB9" s="5" t="s">
        <v>32</v>
      </c>
      <c r="BC9" s="5" t="s">
        <v>33</v>
      </c>
      <c r="BD9" s="5" t="s">
        <v>34</v>
      </c>
      <c r="BE9" s="5" t="s">
        <v>35</v>
      </c>
      <c r="BF9" s="5" t="s">
        <v>36</v>
      </c>
      <c r="BG9" s="5" t="s">
        <v>37</v>
      </c>
      <c r="BH9" s="6" t="s">
        <v>38</v>
      </c>
      <c r="BI9" s="6" t="s">
        <v>39</v>
      </c>
      <c r="BJ9" s="6" t="s">
        <v>40</v>
      </c>
      <c r="BK9" s="6" t="s">
        <v>41</v>
      </c>
      <c r="BL9" s="6" t="s">
        <v>42</v>
      </c>
      <c r="BM9" s="6" t="s">
        <v>43</v>
      </c>
      <c r="BN9" s="6" t="s">
        <v>141</v>
      </c>
      <c r="BO9" s="6" t="s">
        <v>44</v>
      </c>
      <c r="BP9" s="6" t="s">
        <v>45</v>
      </c>
      <c r="BQ9" s="6" t="s">
        <v>46</v>
      </c>
      <c r="BR9" s="6" t="s">
        <v>47</v>
      </c>
      <c r="BS9" s="6" t="s">
        <v>48</v>
      </c>
      <c r="BT9" s="6" t="s">
        <v>246</v>
      </c>
      <c r="BU9" s="6" t="s">
        <v>245</v>
      </c>
      <c r="BV9" s="8" t="s">
        <v>50</v>
      </c>
      <c r="BW9" s="4" t="s">
        <v>80</v>
      </c>
      <c r="BX9" s="4" t="s">
        <v>81</v>
      </c>
      <c r="BY9" s="4" t="s">
        <v>82</v>
      </c>
      <c r="BZ9" s="4" t="s">
        <v>83</v>
      </c>
      <c r="CA9" s="4" t="s">
        <v>84</v>
      </c>
      <c r="CB9" s="4" t="s">
        <v>119</v>
      </c>
      <c r="CC9" s="4" t="s">
        <v>85</v>
      </c>
      <c r="CD9" s="4" t="s">
        <v>86</v>
      </c>
      <c r="CE9" s="4" t="s">
        <v>87</v>
      </c>
      <c r="CF9" s="4" t="s">
        <v>88</v>
      </c>
      <c r="CG9" s="4" t="s">
        <v>89</v>
      </c>
      <c r="CH9" s="4" t="s">
        <v>90</v>
      </c>
      <c r="CI9" s="4" t="s">
        <v>91</v>
      </c>
      <c r="CJ9" s="5" t="s">
        <v>92</v>
      </c>
      <c r="CK9" s="5" t="s">
        <v>93</v>
      </c>
      <c r="CL9" s="5" t="s">
        <v>94</v>
      </c>
      <c r="CM9" s="5" t="s">
        <v>95</v>
      </c>
      <c r="CN9" s="5" t="s">
        <v>96</v>
      </c>
      <c r="CO9" s="5" t="s">
        <v>97</v>
      </c>
      <c r="CP9" s="5" t="s">
        <v>98</v>
      </c>
      <c r="CQ9" s="5" t="s">
        <v>99</v>
      </c>
      <c r="CR9" s="5" t="s">
        <v>100</v>
      </c>
      <c r="CS9" s="5" t="s">
        <v>101</v>
      </c>
      <c r="CT9" s="5" t="s">
        <v>102</v>
      </c>
      <c r="CU9" s="5" t="s">
        <v>103</v>
      </c>
      <c r="CV9" s="5" t="s">
        <v>104</v>
      </c>
      <c r="CW9" s="5" t="s">
        <v>105</v>
      </c>
      <c r="CX9" s="5" t="s">
        <v>106</v>
      </c>
      <c r="CY9" s="5" t="s">
        <v>107</v>
      </c>
      <c r="CZ9" s="5" t="s">
        <v>108</v>
      </c>
      <c r="DA9" s="6" t="s">
        <v>109</v>
      </c>
      <c r="DB9" s="6" t="s">
        <v>110</v>
      </c>
      <c r="DC9" s="6" t="s">
        <v>111</v>
      </c>
      <c r="DD9" s="6" t="s">
        <v>127</v>
      </c>
      <c r="DE9" s="6" t="s">
        <v>112</v>
      </c>
      <c r="DF9" s="6" t="s">
        <v>113</v>
      </c>
      <c r="DG9" s="6" t="s">
        <v>249</v>
      </c>
      <c r="DH9" s="6" t="s">
        <v>114</v>
      </c>
      <c r="DI9" s="6" t="s">
        <v>115</v>
      </c>
      <c r="DJ9" s="6" t="s">
        <v>116</v>
      </c>
      <c r="DK9" s="6" t="s">
        <v>117</v>
      </c>
      <c r="DL9" s="6" t="s">
        <v>118</v>
      </c>
      <c r="DM9" s="6" t="s">
        <v>247</v>
      </c>
      <c r="DN9" s="6" t="s">
        <v>248</v>
      </c>
      <c r="DO9" s="38" t="s">
        <v>120</v>
      </c>
      <c r="DP9" s="38" t="s">
        <v>121</v>
      </c>
      <c r="DQ9" s="38" t="s">
        <v>124</v>
      </c>
      <c r="DR9" s="38" t="s">
        <v>122</v>
      </c>
      <c r="DS9" s="38" t="s">
        <v>253</v>
      </c>
      <c r="DT9" s="38" t="s">
        <v>125</v>
      </c>
      <c r="DU9" s="38" t="s">
        <v>259</v>
      </c>
      <c r="DV9" s="38" t="s">
        <v>255</v>
      </c>
      <c r="DW9" s="38" t="s">
        <v>254</v>
      </c>
      <c r="DX9" s="38" t="s">
        <v>261</v>
      </c>
      <c r="DY9" s="38" t="s">
        <v>123</v>
      </c>
      <c r="DZ9" s="38" t="s">
        <v>260</v>
      </c>
    </row>
    <row r="10" spans="1:132" s="9" customFormat="1" x14ac:dyDescent="0.3">
      <c r="A10" s="9">
        <f>IF(W10="","",IF(ROW()=10,1,IF(W10=W9,A9,MAX($A$9:A9)+1)))</f>
        <v>1</v>
      </c>
      <c r="B10" s="9">
        <f>WEEKNUM(Tabla152[[#This Row],[FECHA DE COSECHA]],21)</f>
        <v>36</v>
      </c>
      <c r="D10" s="17">
        <v>46266</v>
      </c>
      <c r="E10" s="17">
        <v>46266</v>
      </c>
      <c r="F10" s="9">
        <v>1</v>
      </c>
      <c r="G10" s="9" t="s">
        <v>77</v>
      </c>
      <c r="H10" s="9" t="s">
        <v>143</v>
      </c>
      <c r="I10" s="9" t="s">
        <v>134</v>
      </c>
      <c r="J10" s="9" t="s">
        <v>135</v>
      </c>
      <c r="K10" s="9" t="s">
        <v>146</v>
      </c>
      <c r="L10" s="9" t="s">
        <v>131</v>
      </c>
      <c r="M10" s="9" t="s">
        <v>239</v>
      </c>
      <c r="N10" s="9" t="s">
        <v>136</v>
      </c>
      <c r="O10" s="9" t="s">
        <v>137</v>
      </c>
      <c r="P10" s="9" t="s">
        <v>243</v>
      </c>
      <c r="R10" s="9">
        <v>7</v>
      </c>
      <c r="S10" s="9">
        <v>74547547</v>
      </c>
      <c r="T10" t="s">
        <v>232</v>
      </c>
      <c r="U10" s="9" t="s">
        <v>147</v>
      </c>
      <c r="W10" s="19" t="s">
        <v>138</v>
      </c>
      <c r="X10" s="9">
        <v>63</v>
      </c>
      <c r="Y10" s="9">
        <v>1</v>
      </c>
      <c r="Z10" s="9">
        <v>5</v>
      </c>
      <c r="AA10" s="9" t="str">
        <f>IF(Tabla152[[#This Row],[NOTA]]=15,"CUMPLE","NO CUMPLE")</f>
        <v>NO CUMPLE</v>
      </c>
      <c r="AB10" s="9" t="str">
        <f>IF(COUNTIF($A$10:A10,A10)=1,IF(COUNTIFS($A:$A,A10,$AA:$AA,"NO CUMPLE")&gt;0,"NO CUMPLE","CUMPLE"),"")</f>
        <v>NO CUMPLE</v>
      </c>
      <c r="AC10" s="9" t="s">
        <v>140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7"/>
      <c r="AR10" s="7">
        <v>2</v>
      </c>
      <c r="AS10" s="7"/>
      <c r="AT10" s="7">
        <v>2</v>
      </c>
      <c r="AU10" s="7"/>
      <c r="AV10" s="7"/>
      <c r="AW10" s="7">
        <v>1</v>
      </c>
      <c r="AX10" s="7">
        <v>2</v>
      </c>
      <c r="AY10" s="7"/>
      <c r="AZ10" s="7">
        <v>2</v>
      </c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>
        <v>1</v>
      </c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18"/>
      <c r="BX10" s="18">
        <f>IF($X10="","",AE10/$X$10)</f>
        <v>0</v>
      </c>
      <c r="BY10" s="18">
        <f>IF($X10="","",AF10/$X$10)</f>
        <v>0</v>
      </c>
      <c r="BZ10" s="18">
        <f>IF($X10="","",AG10/$X$10)</f>
        <v>0</v>
      </c>
      <c r="CA10" s="18">
        <f>IF($X10="","",AH10/$X$10)</f>
        <v>0</v>
      </c>
      <c r="CB10" s="18">
        <f>IF($X10="","",AI10/$X$10)</f>
        <v>0</v>
      </c>
      <c r="CC10" s="18">
        <f>IF($X10="","",AJ10/$X$10)</f>
        <v>0</v>
      </c>
      <c r="CD10" s="18">
        <f>IF($X10="","",AK10/$X$10)</f>
        <v>0</v>
      </c>
      <c r="CE10" s="18">
        <f>IF($X10="","",AL10/$X$10)</f>
        <v>0</v>
      </c>
      <c r="CF10" s="18">
        <f>IF($X10="","",AM10/$X$10)</f>
        <v>0</v>
      </c>
      <c r="CG10" s="18">
        <f>IF($X10="","",AN10/$X$10)</f>
        <v>0</v>
      </c>
      <c r="CH10" s="18">
        <f>IF($X10="","",AO10/$X$10)</f>
        <v>0</v>
      </c>
      <c r="CI10" s="18">
        <f>IF($X10="","",AP10/$X$10)</f>
        <v>0</v>
      </c>
      <c r="CJ10" s="18">
        <f>IF($X10="","",AQ10/$X$10)</f>
        <v>0</v>
      </c>
      <c r="CK10" s="18">
        <f>IF($X10="","",AR10/$X$10)</f>
        <v>3.1746031746031744E-2</v>
      </c>
      <c r="CL10" s="18">
        <f>IF($X10="","",AS10/$X$10)</f>
        <v>0</v>
      </c>
      <c r="CM10" s="18">
        <f>IF($X10="","",AT10/$X$10)</f>
        <v>3.1746031746031744E-2</v>
      </c>
      <c r="CN10" s="18">
        <f>IF($X10="","",AU10/$X$10)</f>
        <v>0</v>
      </c>
      <c r="CO10" s="18">
        <f>IF($X10="","",AV10/$X$10)</f>
        <v>0</v>
      </c>
      <c r="CP10" s="18">
        <f>IF($X10="","",AW10/$X$10)</f>
        <v>1.5873015873015872E-2</v>
      </c>
      <c r="CQ10" s="18">
        <f>IF($X10="","",AX10/$X$10)</f>
        <v>3.1746031746031744E-2</v>
      </c>
      <c r="CR10" s="18">
        <f>IF($X10="","",AY10/$X$10)</f>
        <v>0</v>
      </c>
      <c r="CS10" s="18">
        <f>IF($X10="","",AZ10/$X$10)</f>
        <v>3.1746031746031744E-2</v>
      </c>
      <c r="CT10" s="18">
        <f>IF($X10="","",BA10/$X$10)</f>
        <v>0</v>
      </c>
      <c r="CU10" s="18">
        <f>IF($X10="","",BB10/$X$10)</f>
        <v>0</v>
      </c>
      <c r="CV10" s="18">
        <f>IF($X10="","",BC10/$X$10)</f>
        <v>0</v>
      </c>
      <c r="CW10" s="18">
        <f>IF($X10="","",BD10/$X$10)</f>
        <v>0</v>
      </c>
      <c r="CX10" s="18">
        <f>IF($X10="","",BE10/$X$10)</f>
        <v>0</v>
      </c>
      <c r="CY10" s="18">
        <f>IF($X10="","",BF10/$X$10)</f>
        <v>0</v>
      </c>
      <c r="CZ10" s="18">
        <f>IF($X10="","",BG10/$X$10)</f>
        <v>0</v>
      </c>
      <c r="DA10" s="18">
        <f>IF($X10="","",BH10/$X$10)</f>
        <v>0</v>
      </c>
      <c r="DB10" s="18">
        <f>IF($X10="","",BI10/$X$10)</f>
        <v>0</v>
      </c>
      <c r="DC10" s="18">
        <f>IF($X10="","",BJ10/$X$10)</f>
        <v>0</v>
      </c>
      <c r="DD10" s="18">
        <f>IF($X10="","",BK10/$X$10)</f>
        <v>0</v>
      </c>
      <c r="DE10" s="18">
        <f>IF($X10="","",BL10/$X$10)</f>
        <v>1.5873015873015872E-2</v>
      </c>
      <c r="DF10" s="18">
        <f>IF($X10="","",BM10/$X$10)</f>
        <v>0</v>
      </c>
      <c r="DG10" s="18">
        <f>IF($X10="","",BN10/$X$10)</f>
        <v>0</v>
      </c>
      <c r="DH10" s="18">
        <f>IF($X10="","",BO10/$X$10)</f>
        <v>0</v>
      </c>
      <c r="DI10" s="18">
        <f>IF($X10="","",BP10/$X$10)</f>
        <v>0</v>
      </c>
      <c r="DJ10" s="18">
        <f>IF($X10="","",BQ10/$X$10)</f>
        <v>0</v>
      </c>
      <c r="DK10" s="18">
        <f>IF($X10="","",BR10/$X$10)</f>
        <v>0</v>
      </c>
      <c r="DL10" s="18">
        <f>IF($X10="","",BS10/$X$10)</f>
        <v>0</v>
      </c>
      <c r="DM10" s="18">
        <f>IF($X10="","",BT10/$X$10)</f>
        <v>0</v>
      </c>
      <c r="DN10" s="18">
        <f t="shared" ref="DN10" si="0">IF($X10="","",BU10/$X$10)</f>
        <v>0</v>
      </c>
      <c r="DO10" s="16">
        <f>IF($X10="","",SUM(Tabla152[[#This Row],[PODRIDO]],Tabla152[[#This Row],[HONGO]],Tabla152[[#This Row],[PICADO DE AVE CON PUDRICIÓN]],Tabla152[[#This Row],[FUMAGINA]])/$X$10)</f>
        <v>0</v>
      </c>
      <c r="DP10" s="16">
        <f>IF($X10="","",SUM(Tabla152[[#This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0.1111111111111111</v>
      </c>
      <c r="DQ10" s="16">
        <f>IF($X10="","",SUM(Tabla152[[#This Row],[BLANDO]:[COLAPSADO]])/$X$10)</f>
        <v>0</v>
      </c>
      <c r="DR10" s="16">
        <f>IF($X10="","",SUM(Tabla152[[#This Row],[DESHIDRATADO LEVE]:[DESHIDRATADO INMADURO]])/$X$10)</f>
        <v>3.1746031746031744E-2</v>
      </c>
      <c r="DS10" s="18">
        <f t="shared" ref="DS10:DS73" si="1">IF($X10="","",BC10/$X$10)</f>
        <v>0</v>
      </c>
      <c r="DT10" s="16">
        <f>IF($X10="","",SUM(Tabla152[[#This Row],[PRESENCIA DE LARVA]],Tabla152[[#This Row],[CHANCHITO BLANCO]])/$X$10)</f>
        <v>0</v>
      </c>
      <c r="DU10" s="16">
        <f>IF($X10="","",SUM(Tabla152[[#This Row],[ROJO GRADO 2 A MÁS]],Tabla152[[#This Row],[IMMADURO VERDE]],Tabla152[[#This Row],[DESORDEN POR MADURACIÓN]],Tabla152[[#This Row],[ARO PEDICELAR VERDE EXTREMO]])/$X$10)</f>
        <v>0</v>
      </c>
      <c r="DV10" s="16">
        <f>IF($X10="","",SUM(Tabla152[[#This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2.5195263290501383E-4</v>
      </c>
      <c r="DW10" s="16">
        <f>IF($X10="","",BU10/$X$10)</f>
        <v>0</v>
      </c>
      <c r="DX10" s="16">
        <f>IF($X10="","",AJ10/$X$10)</f>
        <v>0</v>
      </c>
      <c r="DY10" s="16">
        <f>IF($X10="","",SUM(Tabla152[[#This Row],[PRESENCIA DE COROLA]],Tabla152[[#This Row],[PRESENCIA DE RESTO FLORAL VERDE]],Tabla152[[#This Row],[PRESENCIA DE PEDÚNCULO]])/$X$10)</f>
        <v>0</v>
      </c>
      <c r="DZ10" s="16">
        <f>IF($X10="","",SUM(Tabla152[[#This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1" spans="1:132" s="9" customFormat="1" x14ac:dyDescent="0.3">
      <c r="A11" s="9">
        <f>IF(W11="","",IF(ROW()=10,1,IF(W11=W10,A10,MAX($A$9:A10)+1)))</f>
        <v>1</v>
      </c>
      <c r="B11" s="9">
        <f>WEEKNUM(Tabla152[[#This Row],[FECHA DE COSECHA]],21)</f>
        <v>36</v>
      </c>
      <c r="D11" s="17">
        <v>46266</v>
      </c>
      <c r="E11" s="17">
        <v>46266</v>
      </c>
      <c r="F11" s="9">
        <v>1</v>
      </c>
      <c r="G11" s="9" t="s">
        <v>77</v>
      </c>
      <c r="H11" s="9" t="s">
        <v>143</v>
      </c>
      <c r="I11" s="9" t="s">
        <v>134</v>
      </c>
      <c r="J11" s="9" t="s">
        <v>135</v>
      </c>
      <c r="K11" s="9" t="s">
        <v>146</v>
      </c>
      <c r="L11" s="9" t="s">
        <v>131</v>
      </c>
      <c r="M11" s="9" t="s">
        <v>239</v>
      </c>
      <c r="N11" s="9" t="s">
        <v>136</v>
      </c>
      <c r="O11" s="9" t="s">
        <v>137</v>
      </c>
      <c r="P11" s="9" t="s">
        <v>243</v>
      </c>
      <c r="R11" s="9">
        <v>7</v>
      </c>
      <c r="S11" s="9">
        <v>74547547</v>
      </c>
      <c r="T11" t="s">
        <v>232</v>
      </c>
      <c r="U11" s="9" t="s">
        <v>147</v>
      </c>
      <c r="W11" s="19" t="s">
        <v>138</v>
      </c>
      <c r="X11" s="9">
        <v>63</v>
      </c>
      <c r="Y11" s="9">
        <v>2</v>
      </c>
      <c r="Z11" s="9">
        <v>5</v>
      </c>
      <c r="AA11" s="9" t="str">
        <f>IF(Tabla152[[#This Row],[NOTA]]=15,"CUMPLE","NO CUMPLE")</f>
        <v>NO CUMPLE</v>
      </c>
      <c r="AB11" s="9" t="str">
        <f>IF(COUNTIF($A$10:A11,A11)=1,IF(COUNTIFS($A:$A,A11,$AA:$AA,"NO CUMPLE")&gt;0,"NO CUMPLE","CUMPLE"),"")</f>
        <v/>
      </c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7"/>
      <c r="AR11" s="7">
        <v>3</v>
      </c>
      <c r="AS11" s="7"/>
      <c r="AT11" s="7">
        <v>1</v>
      </c>
      <c r="AU11" s="7"/>
      <c r="AV11" s="7"/>
      <c r="AW11" s="7">
        <v>1</v>
      </c>
      <c r="AX11" s="7">
        <v>1</v>
      </c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18"/>
      <c r="BX11" s="18">
        <f>IF($X11="","",AE11/$X$10)</f>
        <v>0</v>
      </c>
      <c r="BY11" s="18">
        <f>IF($X11="","",AF11/$X$10)</f>
        <v>0</v>
      </c>
      <c r="BZ11" s="18">
        <f>IF($X11="","",AG11/$X$10)</f>
        <v>0</v>
      </c>
      <c r="CA11" s="18">
        <f>IF($X11="","",AH11/$X$10)</f>
        <v>0</v>
      </c>
      <c r="CB11" s="18">
        <f t="shared" ref="CB11:CB74" si="2">IF($X11="","",AI11/$X$10)</f>
        <v>0</v>
      </c>
      <c r="CC11" s="18">
        <f>IF($X11="","",AJ11/$X$10)</f>
        <v>0</v>
      </c>
      <c r="CD11" s="18">
        <f>IF($X11="","",AK11/$X$10)</f>
        <v>0</v>
      </c>
      <c r="CE11" s="18">
        <f>IF($X11="","",AL11/$X$10)</f>
        <v>0</v>
      </c>
      <c r="CF11" s="18">
        <f>IF($X11="","",AM11/$X$10)</f>
        <v>0</v>
      </c>
      <c r="CG11" s="18">
        <f>IF($X11="","",AN11/$X$10)</f>
        <v>0</v>
      </c>
      <c r="CH11" s="18">
        <f>IF($X11="","",AO11/$X$10)</f>
        <v>0</v>
      </c>
      <c r="CI11" s="18">
        <f>IF($X11="","",AP11/$X$10)</f>
        <v>0</v>
      </c>
      <c r="CJ11" s="18">
        <f>IF($X11="","",AQ11/$X$10)</f>
        <v>0</v>
      </c>
      <c r="CK11" s="18">
        <f>IF($X11="","",AR11/$X$10)</f>
        <v>4.7619047619047616E-2</v>
      </c>
      <c r="CL11" s="18">
        <f>IF($X11="","",AS11/$X$10)</f>
        <v>0</v>
      </c>
      <c r="CM11" s="18">
        <f>IF($X11="","",AT11/$X$10)</f>
        <v>1.5873015873015872E-2</v>
      </c>
      <c r="CN11" s="18">
        <f>IF($X11="","",AU11/$X$10)</f>
        <v>0</v>
      </c>
      <c r="CO11" s="18">
        <f>IF($X11="","",AV11/$X$10)</f>
        <v>0</v>
      </c>
      <c r="CP11" s="18">
        <f>IF($X11="","",AW11/$X$10)</f>
        <v>1.5873015873015872E-2</v>
      </c>
      <c r="CQ11" s="18">
        <f>IF($X11="","",AX11/$X$10)</f>
        <v>1.5873015873015872E-2</v>
      </c>
      <c r="CR11" s="18">
        <f>IF($X11="","",AY11/$X$10)</f>
        <v>0</v>
      </c>
      <c r="CS11" s="18">
        <f>IF($X11="","",AZ11/$X$10)</f>
        <v>0</v>
      </c>
      <c r="CT11" s="18">
        <f>IF($X11="","",BA11/$X$10)</f>
        <v>0</v>
      </c>
      <c r="CU11" s="18">
        <f>IF($X11="","",BB11/$X$10)</f>
        <v>0</v>
      </c>
      <c r="CV11" s="18">
        <f>IF($X11="","",BC11/$X$10)</f>
        <v>0</v>
      </c>
      <c r="CW11" s="18">
        <f>IF($X11="","",BD11/$X$10)</f>
        <v>0</v>
      </c>
      <c r="CX11" s="18">
        <f>IF($X11="","",BE11/$X$10)</f>
        <v>0</v>
      </c>
      <c r="CY11" s="18">
        <f>IF($X11="","",BF11/$X$10)</f>
        <v>0</v>
      </c>
      <c r="CZ11" s="18">
        <f>IF($X11="","",BG11/$X$10)</f>
        <v>0</v>
      </c>
      <c r="DA11" s="18">
        <f>IF($X11="","",BH11/$X$10)</f>
        <v>0</v>
      </c>
      <c r="DB11" s="18">
        <f>IF($X11="","",BI11/$X$10)</f>
        <v>0</v>
      </c>
      <c r="DC11" s="18">
        <f>IF($X11="","",BJ11/$X$10)</f>
        <v>0</v>
      </c>
      <c r="DD11" s="18">
        <f>IF($X11="","",BK11/$X$10)</f>
        <v>0</v>
      </c>
      <c r="DE11" s="18">
        <f>IF($X11="","",BL11/$X$10)</f>
        <v>0</v>
      </c>
      <c r="DF11" s="18">
        <f>IF($X11="","",BM11/$X$10)</f>
        <v>0</v>
      </c>
      <c r="DG11" s="18">
        <f t="shared" ref="DG11:DG74" si="3">IF($X11="","",BN11/$X$10)</f>
        <v>0</v>
      </c>
      <c r="DH11" s="18">
        <f>IF($X11="","",BO11/$X$10)</f>
        <v>0</v>
      </c>
      <c r="DI11" s="18">
        <f>IF($X11="","",BP11/$X$10)</f>
        <v>0</v>
      </c>
      <c r="DJ11" s="18">
        <f>IF($X11="","",BQ11/$X$10)</f>
        <v>0</v>
      </c>
      <c r="DK11" s="18">
        <f>IF($X11="","",BR11/$X$10)</f>
        <v>0</v>
      </c>
      <c r="DL11" s="18">
        <f>IF($X11="","",BS11/$X$10)</f>
        <v>0</v>
      </c>
      <c r="DM11" s="18">
        <f>IF($X11="","",BT11/$X$10)</f>
        <v>0</v>
      </c>
      <c r="DN11" s="18">
        <f t="shared" ref="DN11:DN12" si="4">IF($X11="","",BU11/$X$10)</f>
        <v>0</v>
      </c>
      <c r="DO11" s="16">
        <f>IF($X11="","",SUM(Tabla152[[#This Row],[PODRIDO]],Tabla152[[#This Row],[HONGO]],Tabla152[[#This Row],[PICADO DE AVE CON PUDRICIÓN]],Tabla152[[#This Row],[FUMAGINA]])/$X$10)</f>
        <v>0</v>
      </c>
      <c r="DP11" s="16">
        <f>IF($X11="","",SUM(Tabla152[[#This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4.7619047619047616E-2</v>
      </c>
      <c r="DQ11" s="16">
        <f>IF($X11="","",SUM(Tabla152[[#This Row],[BLANDO]:[COLAPSADO]])/$X$10)</f>
        <v>0</v>
      </c>
      <c r="DR11" s="16">
        <f>IF($X11="","",SUM(Tabla152[[#This Row],[DESHIDRATADO LEVE]:[DESHIDRATADO INMADURO]])/$X$10)</f>
        <v>4.7619047619047616E-2</v>
      </c>
      <c r="DS11" s="18">
        <f t="shared" si="1"/>
        <v>0</v>
      </c>
      <c r="DT11" s="16">
        <f>IF($X11="","",SUM(Tabla152[[#This Row],[PRESENCIA DE LARVA]],Tabla152[[#This Row],[CHANCHITO BLANCO]])/$X$10)</f>
        <v>0</v>
      </c>
      <c r="DU11" s="18">
        <f>IF($X11="","",SUM(Tabla152[[#This Row],[ROJO GRADO 2 A MÁS]],Tabla152[[#This Row],[IMMADURO VERDE]],Tabla152[[#This Row],[DESORDEN POR MADURACIÓN]],Tabla152[[#This Row],[ARO PEDICELAR VERDE EXTREMO]])/$X$10)</f>
        <v>0</v>
      </c>
      <c r="DV11" s="16">
        <f>IF($X11="","",SUM(Tabla152[[#This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1" s="16">
        <f>IF($X11="","",BU11/$X$10)</f>
        <v>0</v>
      </c>
      <c r="DX11" s="16">
        <f>IF($X11="","",AJ11/$X$10)</f>
        <v>0</v>
      </c>
      <c r="DY11" s="16">
        <f>IF($X11="","",SUM(Tabla152[[#This Row],[PRESENCIA DE COROLA]],Tabla152[[#This Row],[PRESENCIA DE RESTO FLORAL VERDE]],Tabla152[[#This Row],[PRESENCIA DE PEDÚNCULO]])/$X$10)</f>
        <v>0</v>
      </c>
      <c r="DZ11" s="16">
        <f>IF($X11="","",SUM(Tabla152[[#This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2" spans="1:132" s="9" customFormat="1" x14ac:dyDescent="0.3">
      <c r="A12" s="9">
        <f>IF(W12="","",IF(ROW()=10,1,IF(W12=W11,A11,MAX($A$9:A11)+1)))</f>
        <v>1</v>
      </c>
      <c r="B12" s="9">
        <f>WEEKNUM(Tabla152[[#This Row],[FECHA DE COSECHA]],21)</f>
        <v>36</v>
      </c>
      <c r="D12" s="17">
        <v>46266</v>
      </c>
      <c r="E12" s="17">
        <v>46266</v>
      </c>
      <c r="F12" s="9">
        <v>1</v>
      </c>
      <c r="G12" s="9" t="s">
        <v>77</v>
      </c>
      <c r="H12" s="9" t="s">
        <v>143</v>
      </c>
      <c r="I12" s="9" t="s">
        <v>134</v>
      </c>
      <c r="J12" s="9" t="s">
        <v>135</v>
      </c>
      <c r="K12" s="9" t="s">
        <v>146</v>
      </c>
      <c r="L12" s="9" t="s">
        <v>131</v>
      </c>
      <c r="M12" s="9" t="s">
        <v>239</v>
      </c>
      <c r="N12" s="9" t="s">
        <v>136</v>
      </c>
      <c r="O12" s="9" t="s">
        <v>137</v>
      </c>
      <c r="P12" s="9" t="s">
        <v>243</v>
      </c>
      <c r="R12" s="9">
        <v>7</v>
      </c>
      <c r="S12" s="9">
        <v>74547547</v>
      </c>
      <c r="T12" t="s">
        <v>232</v>
      </c>
      <c r="U12" s="9" t="s">
        <v>147</v>
      </c>
      <c r="W12" s="19" t="s">
        <v>138</v>
      </c>
      <c r="X12" s="9">
        <v>63</v>
      </c>
      <c r="Y12" s="9">
        <v>3</v>
      </c>
      <c r="Z12" s="9">
        <v>5</v>
      </c>
      <c r="AA12" s="9" t="str">
        <f>IF(Tabla152[[#This Row],[NOTA]]=15,"CUMPLE","NO CUMPLE")</f>
        <v>NO CUMPLE</v>
      </c>
      <c r="AB12" s="9" t="str">
        <f>IF(COUNTIF($A$10:A12,A12)=1,IF(COUNTIFS($A:$A,A12,$AA:$AA,"NO CUMPLE")&gt;0,"NO CUMPLE","CUMPLE"),"")</f>
        <v/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7"/>
      <c r="AR12" s="7"/>
      <c r="AS12" s="7"/>
      <c r="AT12" s="7"/>
      <c r="AU12" s="7"/>
      <c r="AV12" s="7"/>
      <c r="AW12" s="7">
        <v>2</v>
      </c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18"/>
      <c r="BX12" s="18">
        <f>IF($X12="","",AE12/$X$10)</f>
        <v>0</v>
      </c>
      <c r="BY12" s="18">
        <f>IF($X12="","",AF12/$X$10)</f>
        <v>0</v>
      </c>
      <c r="BZ12" s="18">
        <f>IF($X12="","",AG12/$X$10)</f>
        <v>0</v>
      </c>
      <c r="CA12" s="18">
        <f>IF($X12="","",AH12/$X$10)</f>
        <v>0</v>
      </c>
      <c r="CB12" s="18">
        <f t="shared" si="2"/>
        <v>0</v>
      </c>
      <c r="CC12" s="18">
        <f>IF($X12="","",AJ12/$X$10)</f>
        <v>0</v>
      </c>
      <c r="CD12" s="18">
        <f>IF($X12="","",AK12/$X$10)</f>
        <v>0</v>
      </c>
      <c r="CE12" s="18">
        <f>IF($X12="","",AL12/$X$10)</f>
        <v>0</v>
      </c>
      <c r="CF12" s="18">
        <f>IF($X12="","",AM12/$X$10)</f>
        <v>0</v>
      </c>
      <c r="CG12" s="18">
        <f>IF($X12="","",AN12/$X$10)</f>
        <v>0</v>
      </c>
      <c r="CH12" s="18">
        <f>IF($X12="","",AO12/$X$10)</f>
        <v>0</v>
      </c>
      <c r="CI12" s="18">
        <f>IF($X12="","",AP12/$X$10)</f>
        <v>0</v>
      </c>
      <c r="CJ12" s="18">
        <f>IF($X12="","",AQ12/$X$10)</f>
        <v>0</v>
      </c>
      <c r="CK12" s="18">
        <f>IF($X12="","",AR12/$X$10)</f>
        <v>0</v>
      </c>
      <c r="CL12" s="18">
        <f>IF($X12="","",AS12/$X$10)</f>
        <v>0</v>
      </c>
      <c r="CM12" s="18">
        <f>IF($X12="","",AT12/$X$10)</f>
        <v>0</v>
      </c>
      <c r="CN12" s="18">
        <f>IF($X12="","",AU12/$X$10)</f>
        <v>0</v>
      </c>
      <c r="CO12" s="18">
        <f>IF($X12="","",AV12/$X$10)</f>
        <v>0</v>
      </c>
      <c r="CP12" s="18">
        <f>IF($X12="","",AW12/$X$10)</f>
        <v>3.1746031746031744E-2</v>
      </c>
      <c r="CQ12" s="18">
        <f>IF($X12="","",AX12/$X$10)</f>
        <v>0</v>
      </c>
      <c r="CR12" s="18">
        <f>IF($X12="","",AY12/$X$10)</f>
        <v>0</v>
      </c>
      <c r="CS12" s="18">
        <f>IF($X12="","",AZ12/$X$10)</f>
        <v>0</v>
      </c>
      <c r="CT12" s="18">
        <f>IF($X12="","",BA12/$X$10)</f>
        <v>0</v>
      </c>
      <c r="CU12" s="18">
        <f>IF($X12="","",BB12/$X$10)</f>
        <v>0</v>
      </c>
      <c r="CV12" s="18">
        <f>IF($X12="","",BC12/$X$10)</f>
        <v>0</v>
      </c>
      <c r="CW12" s="18">
        <f>IF($X12="","",BD12/$X$10)</f>
        <v>0</v>
      </c>
      <c r="CX12" s="18">
        <f>IF($X12="","",BE12/$X$10)</f>
        <v>0</v>
      </c>
      <c r="CY12" s="18">
        <f>IF($X12="","",BF12/$X$10)</f>
        <v>0</v>
      </c>
      <c r="CZ12" s="18">
        <f>IF($X12="","",BG12/$X$10)</f>
        <v>0</v>
      </c>
      <c r="DA12" s="18">
        <f>IF($X12="","",BH12/$X$10)</f>
        <v>0</v>
      </c>
      <c r="DB12" s="18">
        <f>IF($X12="","",BI12/$X$10)</f>
        <v>0</v>
      </c>
      <c r="DC12" s="18">
        <f>IF($X12="","",BJ12/$X$10)</f>
        <v>0</v>
      </c>
      <c r="DD12" s="18">
        <f>IF($X12="","",BK12/$X$10)</f>
        <v>0</v>
      </c>
      <c r="DE12" s="18">
        <f>IF($X12="","",BL12/$X$10)</f>
        <v>0</v>
      </c>
      <c r="DF12" s="18">
        <f>IF($X12="","",BM12/$X$10)</f>
        <v>0</v>
      </c>
      <c r="DG12" s="18">
        <f t="shared" si="3"/>
        <v>0</v>
      </c>
      <c r="DH12" s="18">
        <f>IF($X12="","",BO12/$X$10)</f>
        <v>0</v>
      </c>
      <c r="DI12" s="18">
        <f>IF($X12="","",BP12/$X$10)</f>
        <v>0</v>
      </c>
      <c r="DJ12" s="18">
        <f>IF($X12="","",BQ12/$X$10)</f>
        <v>0</v>
      </c>
      <c r="DK12" s="18">
        <f>IF($X12="","",BR12/$X$10)</f>
        <v>0</v>
      </c>
      <c r="DL12" s="18">
        <f>IF($X12="","",BS12/$X$10)</f>
        <v>0</v>
      </c>
      <c r="DM12" s="18">
        <f>IF($X12="","",BT12/$X$10)</f>
        <v>0</v>
      </c>
      <c r="DN12" s="18">
        <f t="shared" si="4"/>
        <v>0</v>
      </c>
      <c r="DO12" s="16">
        <f>IF($X12="","",SUM(Tabla152[[#This Row],[PODRIDO]],Tabla152[[#This Row],[HONGO]],Tabla152[[#This Row],[PICADO DE AVE CON PUDRICIÓN]],Tabla152[[#This Row],[FUMAGINA]])/$X$10)</f>
        <v>0</v>
      </c>
      <c r="DP12" s="16">
        <f>IF($X12="","",SUM(Tabla152[[#This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12" s="16">
        <f>IF($X12="","",SUM(Tabla152[[#This Row],[BLANDO]:[COLAPSADO]])/$X$10)</f>
        <v>0</v>
      </c>
      <c r="DR12" s="16">
        <f>IF($X12="","",SUM(Tabla152[[#This Row],[DESHIDRATADO LEVE]:[DESHIDRATADO INMADURO]])/$X$10)</f>
        <v>0</v>
      </c>
      <c r="DS12" s="18">
        <f t="shared" si="1"/>
        <v>0</v>
      </c>
      <c r="DT12" s="16">
        <f>IF($X12="","",SUM(Tabla152[[#This Row],[PRESENCIA DE LARVA]],Tabla152[[#This Row],[CHANCHITO BLANCO]])/$X$10)</f>
        <v>0</v>
      </c>
      <c r="DU12" s="18">
        <f>IF($X12="","",SUM(Tabla152[[#This Row],[ROJO GRADO 2 A MÁS]],Tabla152[[#This Row],[IMMADURO VERDE]],Tabla152[[#This Row],[DESORDEN POR MADURACIÓN]],Tabla152[[#This Row],[ARO PEDICELAR VERDE EXTREMO]])/$X$10)</f>
        <v>0</v>
      </c>
      <c r="DV12" s="16">
        <f>IF($X12="","",SUM(Tabla152[[#This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2" s="16">
        <f>IF($X12="","",BU12/$X$10)</f>
        <v>0</v>
      </c>
      <c r="DX12" s="16">
        <f>IF($X12="","",AJ12/$X$10)</f>
        <v>0</v>
      </c>
      <c r="DY12" s="16">
        <f>IF($X12="","",SUM(Tabla152[[#This Row],[PRESENCIA DE COROLA]],Tabla152[[#This Row],[PRESENCIA DE RESTO FLORAL VERDE]],Tabla152[[#This Row],[PRESENCIA DE PEDÚNCULO]])/$X$10)</f>
        <v>0</v>
      </c>
      <c r="DZ12" s="16">
        <f>IF($X12="","",SUM(Tabla152[[#This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3" spans="1:132" x14ac:dyDescent="0.3">
      <c r="A13" s="9">
        <f>IF(W13="","",IF(ROW()=10,1,IF(W13=W12,A12,MAX($A$9:A12)+1)))</f>
        <v>2</v>
      </c>
      <c r="B13" s="9">
        <f>WEEKNUM(Tabla152[[#This Row],[FECHA DE COSECHA]],21)</f>
        <v>36</v>
      </c>
      <c r="C13" s="9"/>
      <c r="D13" s="17">
        <v>46267</v>
      </c>
      <c r="E13" s="17">
        <v>46267</v>
      </c>
      <c r="F13" s="9">
        <v>1</v>
      </c>
      <c r="G13" s="9" t="s">
        <v>77</v>
      </c>
      <c r="H13" s="9" t="s">
        <v>144</v>
      </c>
      <c r="I13" s="9" t="s">
        <v>134</v>
      </c>
      <c r="J13" s="9" t="s">
        <v>78</v>
      </c>
      <c r="K13" s="9" t="s">
        <v>153</v>
      </c>
      <c r="L13" s="9" t="s">
        <v>131</v>
      </c>
      <c r="M13" s="9" t="s">
        <v>239</v>
      </c>
      <c r="N13" s="9" t="s">
        <v>151</v>
      </c>
      <c r="O13" s="9" t="s">
        <v>244</v>
      </c>
      <c r="P13" s="9" t="s">
        <v>152</v>
      </c>
      <c r="Q13" s="9"/>
      <c r="R13" s="9">
        <v>8</v>
      </c>
      <c r="S13" s="9">
        <v>74547547</v>
      </c>
      <c r="T13" t="s">
        <v>232</v>
      </c>
      <c r="U13" s="9" t="s">
        <v>147</v>
      </c>
      <c r="V13" s="9"/>
      <c r="W13" s="19" t="s">
        <v>154</v>
      </c>
      <c r="X13" s="9">
        <v>61</v>
      </c>
      <c r="Y13" s="9">
        <v>1</v>
      </c>
      <c r="Z13" s="9">
        <v>15</v>
      </c>
      <c r="AA13" s="9" t="str">
        <f>IF(Tabla152[[#This Row],[NOTA]]=15,"CUMPLE","NO CUMPLE")</f>
        <v>CUMPLE</v>
      </c>
      <c r="AB13" s="9" t="str">
        <f>IF(COUNTIF($A$10:A13,A13)=1,IF(COUNTIFS($A:$A,A13,$AA:$AA,"NO CUMPLE")&gt;0,"NO CUMPLE","CUMPLE"),"")</f>
        <v>CUMPLE</v>
      </c>
      <c r="AC13" s="9" t="s">
        <v>140</v>
      </c>
      <c r="AD13" s="8"/>
      <c r="AE13" s="8"/>
      <c r="AF13" s="8"/>
      <c r="AG13" s="8"/>
      <c r="AH13" s="8"/>
      <c r="AI13" s="8"/>
      <c r="AJ13" s="8">
        <v>1</v>
      </c>
      <c r="AK13" s="8"/>
      <c r="AL13" s="8"/>
      <c r="AM13" s="8"/>
      <c r="AN13" s="8"/>
      <c r="AO13" s="8"/>
      <c r="AP13" s="8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18"/>
      <c r="BX13" s="18">
        <f>IF($X13="","",AE13/$X$10)</f>
        <v>0</v>
      </c>
      <c r="BY13" s="18">
        <f>IF($X13="","",AF13/$X$10)</f>
        <v>0</v>
      </c>
      <c r="BZ13" s="18">
        <f>IF($X13="","",AG13/$X$10)</f>
        <v>0</v>
      </c>
      <c r="CA13" s="18">
        <f>IF($X13="","",AH13/$X$10)</f>
        <v>0</v>
      </c>
      <c r="CB13" s="18">
        <f t="shared" si="2"/>
        <v>0</v>
      </c>
      <c r="CC13" s="18">
        <f>IF($X13="","",AJ13/$X$10)</f>
        <v>1.5873015873015872E-2</v>
      </c>
      <c r="CD13" s="18">
        <f>IF($X13="","",AK13/$X$10)</f>
        <v>0</v>
      </c>
      <c r="CE13" s="18">
        <f>IF($X13="","",AL13/$X$10)</f>
        <v>0</v>
      </c>
      <c r="CF13" s="18">
        <f>IF($X13="","",AM13/$X$10)</f>
        <v>0</v>
      </c>
      <c r="CG13" s="18">
        <f>IF($X13="","",AN13/$X$10)</f>
        <v>0</v>
      </c>
      <c r="CH13" s="18">
        <f>IF($X13="","",AO13/$X$10)</f>
        <v>0</v>
      </c>
      <c r="CI13" s="18">
        <f>IF($X13="","",AP13/$X$10)</f>
        <v>0</v>
      </c>
      <c r="CJ13" s="18">
        <f>IF($X13="","",AQ13/$X$10)</f>
        <v>0</v>
      </c>
      <c r="CK13" s="18">
        <f>IF($X13="","",AR13/$X$10)</f>
        <v>0</v>
      </c>
      <c r="CL13" s="18">
        <f>IF($X13="","",AS13/$X$10)</f>
        <v>0</v>
      </c>
      <c r="CM13" s="18">
        <f>IF($X13="","",AT13/$X$10)</f>
        <v>0</v>
      </c>
      <c r="CN13" s="18">
        <f>IF($X13="","",AU13/$X$10)</f>
        <v>0</v>
      </c>
      <c r="CO13" s="18">
        <f>IF($X13="","",AV13/$X$10)</f>
        <v>0</v>
      </c>
      <c r="CP13" s="18">
        <f>IF($X13="","",AW13/$X$10)</f>
        <v>0</v>
      </c>
      <c r="CQ13" s="18">
        <f>IF($X13="","",AX13/$X$10)</f>
        <v>0</v>
      </c>
      <c r="CR13" s="18">
        <f>IF($X13="","",AY13/$X$10)</f>
        <v>0</v>
      </c>
      <c r="CS13" s="18">
        <f>IF($X13="","",AZ13/$X$10)</f>
        <v>0</v>
      </c>
      <c r="CT13" s="18">
        <f>IF($X13="","",BA13/$X$10)</f>
        <v>0</v>
      </c>
      <c r="CU13" s="18">
        <f>IF($X13="","",BB13/$X$10)</f>
        <v>0</v>
      </c>
      <c r="CV13" s="18">
        <f>IF($X13="","",BC13/$X$10)</f>
        <v>0</v>
      </c>
      <c r="CW13" s="18">
        <f>IF($X13="","",BD13/$X$10)</f>
        <v>0</v>
      </c>
      <c r="CX13" s="18">
        <f>IF($X13="","",BE13/$X$10)</f>
        <v>0</v>
      </c>
      <c r="CY13" s="18">
        <f>IF($X13="","",BF13/$X$10)</f>
        <v>0</v>
      </c>
      <c r="CZ13" s="18">
        <f>IF($X13="","",BG13/$X$10)</f>
        <v>0</v>
      </c>
      <c r="DA13" s="18">
        <f>IF($X13="","",BH13/$X$10)</f>
        <v>0</v>
      </c>
      <c r="DB13" s="18">
        <f>IF($X13="","",BI13/$X$10)</f>
        <v>0</v>
      </c>
      <c r="DC13" s="18">
        <f>IF($X13="","",BJ13/$X$10)</f>
        <v>0</v>
      </c>
      <c r="DD13" s="18">
        <f>IF($X13="","",BK13/$X$10)</f>
        <v>0</v>
      </c>
      <c r="DE13" s="18">
        <f>IF($X13="","",BL13/$X$10)</f>
        <v>0</v>
      </c>
      <c r="DF13" s="18">
        <f>IF($X13="","",BM13/$X$10)</f>
        <v>0</v>
      </c>
      <c r="DG13" s="18">
        <f t="shared" si="3"/>
        <v>0</v>
      </c>
      <c r="DH13" s="18">
        <f>IF($X13="","",BO13/$X$10)</f>
        <v>0</v>
      </c>
      <c r="DI13" s="18">
        <f>IF($X13="","",BP13/$X$10)</f>
        <v>0</v>
      </c>
      <c r="DJ13" s="18">
        <f>IF($X13="","",BQ13/$X$10)</f>
        <v>0</v>
      </c>
      <c r="DK13" s="18">
        <f>IF($X13="","",BR13/$X$10)</f>
        <v>0</v>
      </c>
      <c r="DL13" s="18">
        <f>IF($X13="","",BS13/$X$10)</f>
        <v>0</v>
      </c>
      <c r="DM13" s="18">
        <f>IF($X13="","",BT13/$X$10)</f>
        <v>0</v>
      </c>
      <c r="DN13" s="18">
        <f>IF($X13="","",BU13/$X$10)</f>
        <v>0</v>
      </c>
      <c r="DO13" s="16">
        <f>IF($X13="","",SUM(Tabla152[[#This Row],[PODRIDO]],Tabla152[[#This Row],[HONGO]],Tabla152[[#This Row],[PICADO DE AVE CON PUDRICIÓN]],Tabla152[[#This Row],[FUMAGINA]])/$X$10)</f>
        <v>0</v>
      </c>
      <c r="DP13" s="16">
        <f>IF($X13="","",SUM(Tabla152[[#This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3" s="16">
        <f>IF($X13="","",SUM(Tabla152[[#This Row],[BLANDO]:[COLAPSADO]])/$X$10)</f>
        <v>0</v>
      </c>
      <c r="DR13" s="16">
        <f>IF($X13="","",SUM(Tabla152[[#This Row],[DESHIDRATADO LEVE]:[DESHIDRATADO INMADURO]])/$X$10)</f>
        <v>0</v>
      </c>
      <c r="DS13" s="18">
        <f t="shared" si="1"/>
        <v>0</v>
      </c>
      <c r="DT13" s="16">
        <f>IF($X13="","",SUM(Tabla152[[#This Row],[PRESENCIA DE LARVA]],Tabla152[[#This Row],[CHANCHITO BLANCO]])/$X$10)</f>
        <v>0</v>
      </c>
      <c r="DU13" s="18">
        <f>IF($X13="","",SUM(Tabla152[[#This Row],[ROJO GRADO 2 A MÁS]],Tabla152[[#This Row],[IMMADURO VERDE]],Tabla152[[#This Row],[DESORDEN POR MADURACIÓN]],Tabla152[[#This Row],[ARO PEDICELAR VERDE EXTREMO]])/$X$10)</f>
        <v>0</v>
      </c>
      <c r="DV13" s="16">
        <f>IF($X13="","",SUM(Tabla152[[#This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3" s="16">
        <f>IF($X13="","",BU13/$X$10)</f>
        <v>0</v>
      </c>
      <c r="DX13" s="16">
        <f>IF($X13="","",AJ13/$X$10)</f>
        <v>1.5873015873015872E-2</v>
      </c>
      <c r="DY13" s="16">
        <f>IF($X13="","",SUM(Tabla152[[#This Row],[PRESENCIA DE COROLA]],Tabla152[[#This Row],[PRESENCIA DE RESTO FLORAL VERDE]],Tabla152[[#This Row],[PRESENCIA DE PEDÚNCULO]])/$X$10)</f>
        <v>0</v>
      </c>
      <c r="DZ13" s="16">
        <f>IF($X13="","",SUM(Tabla152[[#This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4" spans="1:132" x14ac:dyDescent="0.3">
      <c r="A14" s="9">
        <f>IF(W14="","",IF(ROW()=10,1,IF(W14=W13,A13,MAX($A$9:A13)+1)))</f>
        <v>2</v>
      </c>
      <c r="B14" s="9">
        <f>WEEKNUM(Tabla152[[#This Row],[FECHA DE COSECHA]],21)</f>
        <v>36</v>
      </c>
      <c r="C14" s="9"/>
      <c r="D14" s="17">
        <v>46267</v>
      </c>
      <c r="E14" s="17">
        <v>46267</v>
      </c>
      <c r="F14" s="9">
        <v>1</v>
      </c>
      <c r="G14" s="9" t="s">
        <v>77</v>
      </c>
      <c r="H14" s="9" t="s">
        <v>144</v>
      </c>
      <c r="I14" s="9" t="s">
        <v>134</v>
      </c>
      <c r="J14" s="9" t="s">
        <v>78</v>
      </c>
      <c r="K14" s="9" t="s">
        <v>153</v>
      </c>
      <c r="L14" s="9" t="s">
        <v>131</v>
      </c>
      <c r="M14" s="9" t="s">
        <v>239</v>
      </c>
      <c r="N14" s="9" t="s">
        <v>151</v>
      </c>
      <c r="O14" s="9" t="s">
        <v>244</v>
      </c>
      <c r="P14" s="9" t="s">
        <v>152</v>
      </c>
      <c r="Q14" s="9"/>
      <c r="R14" s="9">
        <v>8</v>
      </c>
      <c r="S14" s="9">
        <v>74547547</v>
      </c>
      <c r="T14" t="s">
        <v>232</v>
      </c>
      <c r="U14" s="9" t="s">
        <v>147</v>
      </c>
      <c r="V14" s="9"/>
      <c r="W14" s="19" t="s">
        <v>154</v>
      </c>
      <c r="X14" s="9">
        <v>61</v>
      </c>
      <c r="Y14" s="9">
        <v>2</v>
      </c>
      <c r="Z14" s="9">
        <v>15</v>
      </c>
      <c r="AA14" s="9" t="str">
        <f>IF(Tabla152[[#This Row],[NOTA]]=15,"CUMPLE","NO CUMPLE")</f>
        <v>CUMPLE</v>
      </c>
      <c r="AB14" s="9" t="str">
        <f>IF(COUNTIF($A$10:A14,A14)=1,IF(COUNTIFS($A:$A,A14,$AA:$AA,"NO CUMPLE")&gt;0,"NO CUMPLE","CUMPLE"),"")</f>
        <v/>
      </c>
      <c r="AC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18"/>
      <c r="BX14" s="18">
        <f>IF($X14="","",AE14/$X$10)</f>
        <v>0</v>
      </c>
      <c r="BY14" s="18">
        <f>IF($X14="","",AF14/$X$10)</f>
        <v>0</v>
      </c>
      <c r="BZ14" s="18">
        <f>IF($X14="","",AG14/$X$10)</f>
        <v>0</v>
      </c>
      <c r="CA14" s="18">
        <f>IF($X14="","",AH14/$X$10)</f>
        <v>0</v>
      </c>
      <c r="CB14" s="18">
        <f t="shared" si="2"/>
        <v>0</v>
      </c>
      <c r="CC14" s="18">
        <f>IF($X14="","",AJ14/$X$10)</f>
        <v>0</v>
      </c>
      <c r="CD14" s="18">
        <f>IF($X14="","",AK14/$X$10)</f>
        <v>0</v>
      </c>
      <c r="CE14" s="18">
        <f>IF($X14="","",AL14/$X$10)</f>
        <v>0</v>
      </c>
      <c r="CF14" s="18">
        <f>IF($X14="","",AM14/$X$10)</f>
        <v>0</v>
      </c>
      <c r="CG14" s="18">
        <f>IF($X14="","",AN14/$X$10)</f>
        <v>0</v>
      </c>
      <c r="CH14" s="18">
        <f>IF($X14="","",AO14/$X$10)</f>
        <v>0</v>
      </c>
      <c r="CI14" s="18">
        <f>IF($X14="","",AP14/$X$10)</f>
        <v>0</v>
      </c>
      <c r="CJ14" s="18">
        <f>IF($X14="","",AQ14/$X$10)</f>
        <v>0</v>
      </c>
      <c r="CK14" s="18">
        <f>IF($X14="","",AR14/$X$10)</f>
        <v>0</v>
      </c>
      <c r="CL14" s="18">
        <f>IF($X14="","",AS14/$X$10)</f>
        <v>0</v>
      </c>
      <c r="CM14" s="18">
        <f>IF($X14="","",AT14/$X$10)</f>
        <v>0</v>
      </c>
      <c r="CN14" s="18">
        <f>IF($X14="","",AU14/$X$10)</f>
        <v>0</v>
      </c>
      <c r="CO14" s="18">
        <f>IF($X14="","",AV14/$X$10)</f>
        <v>0</v>
      </c>
      <c r="CP14" s="18">
        <f>IF($X14="","",AW14/$X$10)</f>
        <v>0</v>
      </c>
      <c r="CQ14" s="18">
        <f>IF($X14="","",AX14/$X$10)</f>
        <v>0</v>
      </c>
      <c r="CR14" s="18">
        <f>IF($X14="","",AY14/$X$10)</f>
        <v>0</v>
      </c>
      <c r="CS14" s="18">
        <f>IF($X14="","",AZ14/$X$10)</f>
        <v>0</v>
      </c>
      <c r="CT14" s="18">
        <f>IF($X14="","",BA14/$X$10)</f>
        <v>0</v>
      </c>
      <c r="CU14" s="18">
        <f>IF($X14="","",BB14/$X$10)</f>
        <v>0</v>
      </c>
      <c r="CV14" s="18">
        <f>IF($X14="","",BC14/$X$10)</f>
        <v>0</v>
      </c>
      <c r="CW14" s="18">
        <f>IF($X14="","",BD14/$X$10)</f>
        <v>0</v>
      </c>
      <c r="CX14" s="18">
        <f>IF($X14="","",BE14/$X$10)</f>
        <v>0</v>
      </c>
      <c r="CY14" s="18">
        <f>IF($X14="","",BF14/$X$10)</f>
        <v>0</v>
      </c>
      <c r="CZ14" s="18">
        <f>IF($X14="","",BG14/$X$10)</f>
        <v>0</v>
      </c>
      <c r="DA14" s="18">
        <f>IF($X14="","",BH14/$X$10)</f>
        <v>0</v>
      </c>
      <c r="DB14" s="18">
        <f>IF($X14="","",BI14/$X$10)</f>
        <v>0</v>
      </c>
      <c r="DC14" s="18">
        <f>IF($X14="","",BJ14/$X$10)</f>
        <v>0</v>
      </c>
      <c r="DD14" s="18">
        <f>IF($X14="","",BK14/$X$10)</f>
        <v>0</v>
      </c>
      <c r="DE14" s="18">
        <f>IF($X14="","",BL14/$X$10)</f>
        <v>0</v>
      </c>
      <c r="DF14" s="18">
        <f>IF($X14="","",BM14/$X$10)</f>
        <v>0</v>
      </c>
      <c r="DG14" s="18">
        <f t="shared" si="3"/>
        <v>0</v>
      </c>
      <c r="DH14" s="18">
        <f>IF($X14="","",BO14/$X$10)</f>
        <v>0</v>
      </c>
      <c r="DI14" s="18">
        <f>IF($X14="","",BP14/$X$10)</f>
        <v>0</v>
      </c>
      <c r="DJ14" s="18">
        <f>IF($X14="","",BQ14/$X$10)</f>
        <v>0</v>
      </c>
      <c r="DK14" s="18">
        <f>IF($X14="","",BR14/$X$10)</f>
        <v>0</v>
      </c>
      <c r="DL14" s="18">
        <f>IF($X14="","",BS14/$X$10)</f>
        <v>0</v>
      </c>
      <c r="DM14" s="18">
        <f>IF($X14="","",BT14/$X$10)</f>
        <v>0</v>
      </c>
      <c r="DN14" s="18">
        <f t="shared" ref="DN14:DN45" si="5">IF($X14="","",BU14/$X$10)</f>
        <v>0</v>
      </c>
      <c r="DO14" s="16">
        <f>IF($X14="","",SUM(Tabla152[[#This Row],[PODRIDO]],Tabla152[[#This Row],[HONGO]],Tabla152[[#This Row],[PICADO DE AVE CON PUDRICIÓN]],Tabla152[[#This Row],[FUMAGINA]])/$X$10)</f>
        <v>0</v>
      </c>
      <c r="DP14" s="16">
        <f>IF($X14="","",SUM(Tabla152[[#This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4" s="16">
        <f>IF($X14="","",SUM(Tabla152[[#This Row],[BLANDO]:[COLAPSADO]])/$X$10)</f>
        <v>0</v>
      </c>
      <c r="DR14" s="16">
        <f>IF($X14="","",SUM(Tabla152[[#This Row],[DESHIDRATADO LEVE]:[DESHIDRATADO INMADURO]])/$X$10)</f>
        <v>0</v>
      </c>
      <c r="DS14" s="18">
        <f t="shared" si="1"/>
        <v>0</v>
      </c>
      <c r="DT14" s="16">
        <f>IF($X14="","",SUM(Tabla152[[#This Row],[PRESENCIA DE LARVA]],Tabla152[[#This Row],[CHANCHITO BLANCO]])/$X$10)</f>
        <v>0</v>
      </c>
      <c r="DU14" s="18">
        <f>IF($X14="","",SUM(Tabla152[[#This Row],[ROJO GRADO 2 A MÁS]],Tabla152[[#This Row],[IMMADURO VERDE]],Tabla152[[#This Row],[DESORDEN POR MADURACIÓN]],Tabla152[[#This Row],[ARO PEDICELAR VERDE EXTREMO]])/$X$10)</f>
        <v>0</v>
      </c>
      <c r="DV14" s="16">
        <f>IF($X14="","",SUM(Tabla152[[#This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4" s="16">
        <f>IF($X14="","",BU14/$X$10)</f>
        <v>0</v>
      </c>
      <c r="DX14" s="16">
        <f>IF($X14="","",AJ14/$X$10)</f>
        <v>0</v>
      </c>
      <c r="DY14" s="16">
        <f>IF($X14="","",SUM(Tabla152[[#This Row],[PRESENCIA DE COROLA]],Tabla152[[#This Row],[PRESENCIA DE RESTO FLORAL VERDE]],Tabla152[[#This Row],[PRESENCIA DE PEDÚNCULO]])/$X$10)</f>
        <v>0</v>
      </c>
      <c r="DZ14" s="16">
        <f>IF($X14="","",SUM(Tabla152[[#This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5" spans="1:132" x14ac:dyDescent="0.3">
      <c r="A15" s="9">
        <f>IF(W15="","",IF(ROW()=10,1,IF(W15=W14,A14,MAX($A$9:A14)+1)))</f>
        <v>2</v>
      </c>
      <c r="B15" s="9">
        <f>WEEKNUM(Tabla152[[#This Row],[FECHA DE COSECHA]],21)</f>
        <v>36</v>
      </c>
      <c r="C15" s="9"/>
      <c r="D15" s="17">
        <v>46267</v>
      </c>
      <c r="E15" s="17">
        <v>46267</v>
      </c>
      <c r="F15" s="9">
        <v>1</v>
      </c>
      <c r="G15" s="9" t="s">
        <v>77</v>
      </c>
      <c r="H15" s="9" t="s">
        <v>144</v>
      </c>
      <c r="I15" s="9" t="s">
        <v>134</v>
      </c>
      <c r="J15" s="9" t="s">
        <v>78</v>
      </c>
      <c r="K15" s="9" t="s">
        <v>153</v>
      </c>
      <c r="L15" s="9" t="s">
        <v>131</v>
      </c>
      <c r="M15" s="9" t="s">
        <v>239</v>
      </c>
      <c r="N15" s="9" t="s">
        <v>151</v>
      </c>
      <c r="O15" s="9" t="s">
        <v>244</v>
      </c>
      <c r="P15" s="9" t="s">
        <v>152</v>
      </c>
      <c r="Q15" s="9"/>
      <c r="R15" s="9">
        <v>8</v>
      </c>
      <c r="S15" s="9">
        <v>74547547</v>
      </c>
      <c r="T15" t="s">
        <v>232</v>
      </c>
      <c r="U15" s="9" t="s">
        <v>147</v>
      </c>
      <c r="V15" s="9"/>
      <c r="W15" s="19" t="s">
        <v>154</v>
      </c>
      <c r="X15" s="9">
        <v>61</v>
      </c>
      <c r="Y15" s="9">
        <v>3</v>
      </c>
      <c r="Z15" s="9">
        <v>15</v>
      </c>
      <c r="AA15" s="9" t="str">
        <f>IF(Tabla152[[#This Row],[NOTA]]=15,"CUMPLE","NO CUMPLE")</f>
        <v>CUMPLE</v>
      </c>
      <c r="AB15" s="9" t="str">
        <f>IF(COUNTIF($A$10:A15,A15)=1,IF(COUNTIFS($A:$A,A15,$AA:$AA,"NO CUMPLE")&gt;0,"NO CUMPLE","CUMPLE"),"")</f>
        <v/>
      </c>
      <c r="AC15" s="9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18"/>
      <c r="BX15" s="18">
        <f>IF($X15="","",AE15/$X$10)</f>
        <v>0</v>
      </c>
      <c r="BY15" s="18">
        <f>IF($X15="","",AF15/$X$10)</f>
        <v>0</v>
      </c>
      <c r="BZ15" s="18">
        <f>IF($X15="","",AG15/$X$10)</f>
        <v>0</v>
      </c>
      <c r="CA15" s="18">
        <f>IF($X15="","",AH15/$X$10)</f>
        <v>0</v>
      </c>
      <c r="CB15" s="18">
        <f t="shared" si="2"/>
        <v>0</v>
      </c>
      <c r="CC15" s="18">
        <f>IF($X15="","",AJ15/$X$10)</f>
        <v>0</v>
      </c>
      <c r="CD15" s="18">
        <f>IF($X15="","",AK15/$X$10)</f>
        <v>0</v>
      </c>
      <c r="CE15" s="18">
        <f>IF($X15="","",AL15/$X$10)</f>
        <v>0</v>
      </c>
      <c r="CF15" s="18">
        <f>IF($X15="","",AM15/$X$10)</f>
        <v>0</v>
      </c>
      <c r="CG15" s="18">
        <f>IF($X15="","",AN15/$X$10)</f>
        <v>0</v>
      </c>
      <c r="CH15" s="18">
        <f>IF($X15="","",AO15/$X$10)</f>
        <v>0</v>
      </c>
      <c r="CI15" s="18">
        <f>IF($X15="","",AP15/$X$10)</f>
        <v>0</v>
      </c>
      <c r="CJ15" s="18">
        <f>IF($X15="","",AQ15/$X$10)</f>
        <v>0</v>
      </c>
      <c r="CK15" s="18">
        <f>IF($X15="","",AR15/$X$10)</f>
        <v>0</v>
      </c>
      <c r="CL15" s="18">
        <f>IF($X15="","",AS15/$X$10)</f>
        <v>0</v>
      </c>
      <c r="CM15" s="18">
        <f>IF($X15="","",AT15/$X$10)</f>
        <v>0</v>
      </c>
      <c r="CN15" s="18">
        <f>IF($X15="","",AU15/$X$10)</f>
        <v>0</v>
      </c>
      <c r="CO15" s="18">
        <f>IF($X15="","",AV15/$X$10)</f>
        <v>0</v>
      </c>
      <c r="CP15" s="18">
        <f>IF($X15="","",AW15/$X$10)</f>
        <v>0</v>
      </c>
      <c r="CQ15" s="18">
        <f>IF($X15="","",AX15/$X$10)</f>
        <v>0</v>
      </c>
      <c r="CR15" s="18">
        <f>IF($X15="","",AY15/$X$10)</f>
        <v>0</v>
      </c>
      <c r="CS15" s="18">
        <f>IF($X15="","",AZ15/$X$10)</f>
        <v>0</v>
      </c>
      <c r="CT15" s="18">
        <f>IF($X15="","",BA15/$X$10)</f>
        <v>0</v>
      </c>
      <c r="CU15" s="18">
        <f>IF($X15="","",BB15/$X$10)</f>
        <v>0</v>
      </c>
      <c r="CV15" s="18">
        <f>IF($X15="","",BC15/$X$10)</f>
        <v>0</v>
      </c>
      <c r="CW15" s="18">
        <f>IF($X15="","",BD15/$X$10)</f>
        <v>0</v>
      </c>
      <c r="CX15" s="18">
        <f>IF($X15="","",BE15/$X$10)</f>
        <v>0</v>
      </c>
      <c r="CY15" s="18">
        <f>IF($X15="","",BF15/$X$10)</f>
        <v>0</v>
      </c>
      <c r="CZ15" s="18">
        <f>IF($X15="","",BG15/$X$10)</f>
        <v>0</v>
      </c>
      <c r="DA15" s="18">
        <f>IF($X15="","",BH15/$X$10)</f>
        <v>0</v>
      </c>
      <c r="DB15" s="18">
        <f>IF($X15="","",BI15/$X$10)</f>
        <v>0</v>
      </c>
      <c r="DC15" s="18">
        <f>IF($X15="","",BJ15/$X$10)</f>
        <v>0</v>
      </c>
      <c r="DD15" s="18">
        <f>IF($X15="","",BK15/$X$10)</f>
        <v>0</v>
      </c>
      <c r="DE15" s="18">
        <f>IF($X15="","",BL15/$X$10)</f>
        <v>0</v>
      </c>
      <c r="DF15" s="18">
        <f>IF($X15="","",BM15/$X$10)</f>
        <v>0</v>
      </c>
      <c r="DG15" s="18">
        <f t="shared" si="3"/>
        <v>0</v>
      </c>
      <c r="DH15" s="18">
        <f>IF($X15="","",BO15/$X$10)</f>
        <v>0</v>
      </c>
      <c r="DI15" s="18">
        <f>IF($X15="","",BP15/$X$10)</f>
        <v>0</v>
      </c>
      <c r="DJ15" s="18">
        <f>IF($X15="","",BQ15/$X$10)</f>
        <v>0</v>
      </c>
      <c r="DK15" s="18">
        <f>IF($X15="","",BR15/$X$10)</f>
        <v>0</v>
      </c>
      <c r="DL15" s="18">
        <f>IF($X15="","",BS15/$X$10)</f>
        <v>0</v>
      </c>
      <c r="DM15" s="18">
        <f>IF($X15="","",BT15/$X$10)</f>
        <v>0</v>
      </c>
      <c r="DN15" s="18">
        <f t="shared" si="5"/>
        <v>0</v>
      </c>
      <c r="DO15" s="16">
        <f>IF($X15="","",SUM(Tabla152[[#This Row],[PODRIDO]],Tabla152[[#This Row],[HONGO]],Tabla152[[#This Row],[PICADO DE AVE CON PUDRICIÓN]],Tabla152[[#This Row],[FUMAGINA]])/$X$10)</f>
        <v>0</v>
      </c>
      <c r="DP15" s="16">
        <f>IF($X15="","",SUM(Tabla152[[#This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5" s="16">
        <f>IF($X15="","",SUM(Tabla152[[#This Row],[BLANDO]:[COLAPSADO]])/$X$10)</f>
        <v>0</v>
      </c>
      <c r="DR15" s="16">
        <f>IF($X15="","",SUM(Tabla152[[#This Row],[DESHIDRATADO LEVE]:[DESHIDRATADO INMADURO]])/$X$10)</f>
        <v>0</v>
      </c>
      <c r="DS15" s="18">
        <f t="shared" si="1"/>
        <v>0</v>
      </c>
      <c r="DT15" s="16">
        <f>IF($X15="","",SUM(Tabla152[[#This Row],[PRESENCIA DE LARVA]],Tabla152[[#This Row],[CHANCHITO BLANCO]])/$X$10)</f>
        <v>0</v>
      </c>
      <c r="DU15" s="18">
        <f>IF($X15="","",SUM(Tabla152[[#This Row],[ROJO GRADO 2 A MÁS]],Tabla152[[#This Row],[IMMADURO VERDE]],Tabla152[[#This Row],[DESORDEN POR MADURACIÓN]],Tabla152[[#This Row],[ARO PEDICELAR VERDE EXTREMO]])/$X$10)</f>
        <v>0</v>
      </c>
      <c r="DV15" s="16">
        <f>IF($X15="","",SUM(Tabla152[[#This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5" s="16">
        <f>IF($X15="","",BU15/$X$10)</f>
        <v>0</v>
      </c>
      <c r="DX15" s="16">
        <f>IF($X15="","",AJ15/$X$10)</f>
        <v>0</v>
      </c>
      <c r="DY15" s="16">
        <f>IF($X15="","",SUM(Tabla152[[#This Row],[PRESENCIA DE COROLA]],Tabla152[[#This Row],[PRESENCIA DE RESTO FLORAL VERDE]],Tabla152[[#This Row],[PRESENCIA DE PEDÚNCULO]])/$X$10)</f>
        <v>0</v>
      </c>
      <c r="DZ15" s="16">
        <f>IF($X15="","",SUM(Tabla152[[#This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6" spans="1:132" x14ac:dyDescent="0.3">
      <c r="A16" s="9">
        <f>IF(W16="","",IF(ROW()=10,1,IF(W16=W15,A15,MAX($A$9:A15)+1)))</f>
        <v>3</v>
      </c>
      <c r="B16" s="9">
        <f>WEEKNUM(Tabla152[[#This Row],[FECHA DE COSECHA]],21)</f>
        <v>36</v>
      </c>
      <c r="C16" s="9"/>
      <c r="D16" s="17">
        <v>46267</v>
      </c>
      <c r="E16" s="17">
        <v>46267</v>
      </c>
      <c r="F16" s="9">
        <v>1</v>
      </c>
      <c r="G16" s="9" t="s">
        <v>77</v>
      </c>
      <c r="H16" s="9" t="s">
        <v>144</v>
      </c>
      <c r="I16" s="9" t="s">
        <v>134</v>
      </c>
      <c r="J16" s="9" t="s">
        <v>78</v>
      </c>
      <c r="K16" s="9" t="s">
        <v>153</v>
      </c>
      <c r="L16" s="9" t="s">
        <v>131</v>
      </c>
      <c r="M16" s="9" t="s">
        <v>239</v>
      </c>
      <c r="N16" s="9" t="s">
        <v>151</v>
      </c>
      <c r="O16" s="9" t="s">
        <v>244</v>
      </c>
      <c r="P16" s="9" t="s">
        <v>152</v>
      </c>
      <c r="Q16" s="9"/>
      <c r="R16" s="9">
        <v>8</v>
      </c>
      <c r="S16" s="9">
        <v>74547547</v>
      </c>
      <c r="T16" t="s">
        <v>232</v>
      </c>
      <c r="U16" s="9" t="s">
        <v>147</v>
      </c>
      <c r="V16" s="9"/>
      <c r="W16" s="19" t="s">
        <v>155</v>
      </c>
      <c r="X16" s="9">
        <v>61</v>
      </c>
      <c r="Y16" s="9">
        <v>1</v>
      </c>
      <c r="Z16" s="9">
        <v>5</v>
      </c>
      <c r="AA16" s="9" t="str">
        <f>IF(Tabla152[[#This Row],[NOTA]]=15,"CUMPLE","NO CUMPLE")</f>
        <v>NO CUMPLE</v>
      </c>
      <c r="AB16" s="9" t="str">
        <f>IF(COUNTIF($A$10:A16,A16)=1,IF(COUNTIFS($A:$A,A16,$AA:$AA,"NO CUMPLE")&gt;0,"NO CUMPLE","CUMPLE"),"")</f>
        <v>NO CUMPLE</v>
      </c>
      <c r="AC16" s="9" t="s">
        <v>140</v>
      </c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7"/>
      <c r="AR16" s="7">
        <v>2</v>
      </c>
      <c r="AS16" s="7"/>
      <c r="AT16" s="7"/>
      <c r="AU16" s="7"/>
      <c r="AV16" s="7"/>
      <c r="AW16" s="7">
        <v>1</v>
      </c>
      <c r="AX16" s="7"/>
      <c r="AY16" s="7"/>
      <c r="AZ16" s="7"/>
      <c r="BA16" s="7"/>
      <c r="BB16" s="7"/>
      <c r="BC16" s="7">
        <v>1</v>
      </c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18"/>
      <c r="BX16" s="18">
        <f>IF($X16="","",AE16/$X$10)</f>
        <v>0</v>
      </c>
      <c r="BY16" s="18">
        <f>IF($X16="","",AF16/$X$10)</f>
        <v>0</v>
      </c>
      <c r="BZ16" s="18">
        <f>IF($X16="","",AG16/$X$10)</f>
        <v>0</v>
      </c>
      <c r="CA16" s="18">
        <f>IF($X16="","",AH16/$X$10)</f>
        <v>0</v>
      </c>
      <c r="CB16" s="18">
        <f t="shared" si="2"/>
        <v>0</v>
      </c>
      <c r="CC16" s="18">
        <f>IF($X16="","",AJ16/$X$10)</f>
        <v>0</v>
      </c>
      <c r="CD16" s="18">
        <f>IF($X16="","",AK16/$X$10)</f>
        <v>0</v>
      </c>
      <c r="CE16" s="18">
        <f>IF($X16="","",AL16/$X$10)</f>
        <v>0</v>
      </c>
      <c r="CF16" s="18">
        <f>IF($X16="","",AM16/$X$10)</f>
        <v>0</v>
      </c>
      <c r="CG16" s="18">
        <f>IF($X16="","",AN16/$X$10)</f>
        <v>0</v>
      </c>
      <c r="CH16" s="18">
        <f>IF($X16="","",AO16/$X$10)</f>
        <v>0</v>
      </c>
      <c r="CI16" s="18">
        <f>IF($X16="","",AP16/$X$10)</f>
        <v>0</v>
      </c>
      <c r="CJ16" s="18">
        <f>IF($X16="","",AQ16/$X$10)</f>
        <v>0</v>
      </c>
      <c r="CK16" s="18">
        <f>IF($X16="","",AR16/$X$10)</f>
        <v>3.1746031746031744E-2</v>
      </c>
      <c r="CL16" s="18">
        <f>IF($X16="","",AS16/$X$10)</f>
        <v>0</v>
      </c>
      <c r="CM16" s="18">
        <f>IF($X16="","",AT16/$X$10)</f>
        <v>0</v>
      </c>
      <c r="CN16" s="18">
        <f>IF($X16="","",AU16/$X$10)</f>
        <v>0</v>
      </c>
      <c r="CO16" s="18">
        <f>IF($X16="","",AV16/$X$10)</f>
        <v>0</v>
      </c>
      <c r="CP16" s="18">
        <f>IF($X16="","",AW16/$X$10)</f>
        <v>1.5873015873015872E-2</v>
      </c>
      <c r="CQ16" s="18">
        <f>IF($X16="","",AX16/$X$10)</f>
        <v>0</v>
      </c>
      <c r="CR16" s="18">
        <f>IF($X16="","",AY16/$X$10)</f>
        <v>0</v>
      </c>
      <c r="CS16" s="18">
        <f>IF($X16="","",AZ16/$X$10)</f>
        <v>0</v>
      </c>
      <c r="CT16" s="18">
        <f>IF($X16="","",BA16/$X$10)</f>
        <v>0</v>
      </c>
      <c r="CU16" s="18">
        <f>IF($X16="","",BB16/$X$10)</f>
        <v>0</v>
      </c>
      <c r="CV16" s="18">
        <f>IF($X16="","",BC16/$X$10)</f>
        <v>1.5873015873015872E-2</v>
      </c>
      <c r="CW16" s="18">
        <f>IF($X16="","",BD16/$X$10)</f>
        <v>0</v>
      </c>
      <c r="CX16" s="18">
        <f>IF($X16="","",BE16/$X$10)</f>
        <v>0</v>
      </c>
      <c r="CY16" s="18">
        <f>IF($X16="","",BF16/$X$10)</f>
        <v>0</v>
      </c>
      <c r="CZ16" s="18">
        <f>IF($X16="","",BG16/$X$10)</f>
        <v>0</v>
      </c>
      <c r="DA16" s="18">
        <f>IF($X16="","",BH16/$X$10)</f>
        <v>0</v>
      </c>
      <c r="DB16" s="18">
        <f>IF($X16="","",BI16/$X$10)</f>
        <v>0</v>
      </c>
      <c r="DC16" s="18">
        <f>IF($X16="","",BJ16/$X$10)</f>
        <v>0</v>
      </c>
      <c r="DD16" s="18">
        <f>IF($X16="","",BK16/$X$10)</f>
        <v>0</v>
      </c>
      <c r="DE16" s="18">
        <f>IF($X16="","",BL16/$X$10)</f>
        <v>0</v>
      </c>
      <c r="DF16" s="18">
        <f>IF($X16="","",BM16/$X$10)</f>
        <v>0</v>
      </c>
      <c r="DG16" s="18">
        <f t="shared" si="3"/>
        <v>0</v>
      </c>
      <c r="DH16" s="18">
        <f>IF($X16="","",BO16/$X$10)</f>
        <v>0</v>
      </c>
      <c r="DI16" s="18">
        <f>IF($X16="","",BP16/$X$10)</f>
        <v>0</v>
      </c>
      <c r="DJ16" s="18">
        <f>IF($X16="","",BQ16/$X$10)</f>
        <v>0</v>
      </c>
      <c r="DK16" s="18">
        <f>IF($X16="","",BR16/$X$10)</f>
        <v>0</v>
      </c>
      <c r="DL16" s="18">
        <f>IF($X16="","",BS16/$X$10)</f>
        <v>0</v>
      </c>
      <c r="DM16" s="18">
        <f>IF($X16="","",BT16/$X$10)</f>
        <v>0</v>
      </c>
      <c r="DN16" s="18">
        <f t="shared" si="5"/>
        <v>0</v>
      </c>
      <c r="DO16" s="16">
        <f>IF($X16="","",SUM(Tabla152[[#This Row],[PODRIDO]],Tabla152[[#This Row],[HONGO]],Tabla152[[#This Row],[PICADO DE AVE CON PUDRICIÓN]],Tabla152[[#This Row],[FUMAGINA]])/$X$10)</f>
        <v>0</v>
      </c>
      <c r="DP16" s="16">
        <f>IF($X16="","",SUM(Tabla152[[#This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1.5873015873015872E-2</v>
      </c>
      <c r="DQ16" s="16">
        <f>IF($X16="","",SUM(Tabla152[[#This Row],[BLANDO]:[COLAPSADO]])/$X$10)</f>
        <v>0</v>
      </c>
      <c r="DR16" s="16">
        <f>IF($X16="","",SUM(Tabla152[[#This Row],[DESHIDRATADO LEVE]:[DESHIDRATADO INMADURO]])/$X$10)</f>
        <v>3.1746031746031744E-2</v>
      </c>
      <c r="DS16" s="18">
        <f t="shared" si="1"/>
        <v>1.5873015873015872E-2</v>
      </c>
      <c r="DT16" s="16">
        <f>IF($X16="","",SUM(Tabla152[[#This Row],[PRESENCIA DE LARVA]],Tabla152[[#This Row],[CHANCHITO BLANCO]])/$X$10)</f>
        <v>0</v>
      </c>
      <c r="DU16" s="18">
        <f>IF($X16="","",SUM(Tabla152[[#This Row],[ROJO GRADO 2 A MÁS]],Tabla152[[#This Row],[IMMADURO VERDE]],Tabla152[[#This Row],[DESORDEN POR MADURACIÓN]],Tabla152[[#This Row],[ARO PEDICELAR VERDE EXTREMO]])/$X$10)</f>
        <v>0</v>
      </c>
      <c r="DV16" s="16">
        <f>IF($X16="","",SUM(Tabla152[[#This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6" s="16">
        <f>IF($X16="","",BU16/$X$10)</f>
        <v>0</v>
      </c>
      <c r="DX16" s="16">
        <f>IF($X16="","",AJ16/$X$10)</f>
        <v>0</v>
      </c>
      <c r="DY16" s="16">
        <f>IF($X16="","",SUM(Tabla152[[#This Row],[PRESENCIA DE COROLA]],Tabla152[[#This Row],[PRESENCIA DE RESTO FLORAL VERDE]],Tabla152[[#This Row],[PRESENCIA DE PEDÚNCULO]])/$X$10)</f>
        <v>0</v>
      </c>
      <c r="DZ16" s="16">
        <f>IF($X16="","",SUM(Tabla152[[#This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7" spans="1:130" x14ac:dyDescent="0.3">
      <c r="A17" s="9">
        <f>IF(W17="","",IF(ROW()=10,1,IF(W17=W16,A16,MAX($A$9:A16)+1)))</f>
        <v>3</v>
      </c>
      <c r="B17" s="9">
        <f>WEEKNUM(Tabla152[[#This Row],[FECHA DE COSECHA]],21)</f>
        <v>36</v>
      </c>
      <c r="C17" s="9"/>
      <c r="D17" s="17">
        <v>46267</v>
      </c>
      <c r="E17" s="17">
        <v>46267</v>
      </c>
      <c r="F17" s="9">
        <v>1</v>
      </c>
      <c r="G17" s="9" t="s">
        <v>77</v>
      </c>
      <c r="H17" s="9" t="s">
        <v>144</v>
      </c>
      <c r="I17" s="9" t="s">
        <v>134</v>
      </c>
      <c r="J17" s="9" t="s">
        <v>78</v>
      </c>
      <c r="K17" s="9" t="s">
        <v>153</v>
      </c>
      <c r="L17" s="9" t="s">
        <v>131</v>
      </c>
      <c r="M17" s="9" t="s">
        <v>239</v>
      </c>
      <c r="N17" s="9" t="s">
        <v>151</v>
      </c>
      <c r="O17" s="9" t="s">
        <v>244</v>
      </c>
      <c r="P17" s="9" t="s">
        <v>152</v>
      </c>
      <c r="Q17" s="9"/>
      <c r="R17" s="9">
        <v>8</v>
      </c>
      <c r="S17" s="9">
        <v>74547547</v>
      </c>
      <c r="T17" t="s">
        <v>232</v>
      </c>
      <c r="U17" s="9" t="s">
        <v>147</v>
      </c>
      <c r="V17" s="9"/>
      <c r="W17" s="19" t="s">
        <v>155</v>
      </c>
      <c r="X17" s="9">
        <v>61</v>
      </c>
      <c r="Y17" s="9">
        <v>2</v>
      </c>
      <c r="Z17" s="9">
        <v>5</v>
      </c>
      <c r="AA17" s="9" t="str">
        <f>IF(Tabla152[[#This Row],[NOTA]]=15,"CUMPLE","NO CUMPLE")</f>
        <v>NO CUMPLE</v>
      </c>
      <c r="AB17" s="9" t="str">
        <f>IF(COUNTIF($A$10:A17,A17)=1,IF(COUNTIFS($A:$A,A17,$AA:$AA,"NO CUMPLE")&gt;0,"NO CUMPLE","CUMPLE"),"")</f>
        <v/>
      </c>
      <c r="AC17" s="9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18"/>
      <c r="BX17" s="18">
        <f>IF($X17="","",AE17/$X$10)</f>
        <v>0</v>
      </c>
      <c r="BY17" s="18">
        <f>IF($X17="","",AF17/$X$10)</f>
        <v>0</v>
      </c>
      <c r="BZ17" s="18">
        <f>IF($X17="","",AG17/$X$10)</f>
        <v>0</v>
      </c>
      <c r="CA17" s="18">
        <f>IF($X17="","",AH17/$X$10)</f>
        <v>0</v>
      </c>
      <c r="CB17" s="18">
        <f t="shared" si="2"/>
        <v>0</v>
      </c>
      <c r="CC17" s="18">
        <f>IF($X17="","",AJ17/$X$10)</f>
        <v>0</v>
      </c>
      <c r="CD17" s="18">
        <f>IF($X17="","",AK17/$X$10)</f>
        <v>0</v>
      </c>
      <c r="CE17" s="18">
        <f>IF($X17="","",AL17/$X$10)</f>
        <v>0</v>
      </c>
      <c r="CF17" s="18">
        <f>IF($X17="","",AM17/$X$10)</f>
        <v>0</v>
      </c>
      <c r="CG17" s="18">
        <f>IF($X17="","",AN17/$X$10)</f>
        <v>0</v>
      </c>
      <c r="CH17" s="18">
        <f>IF($X17="","",AO17/$X$10)</f>
        <v>0</v>
      </c>
      <c r="CI17" s="18">
        <f>IF($X17="","",AP17/$X$10)</f>
        <v>0</v>
      </c>
      <c r="CJ17" s="18">
        <f>IF($X17="","",AQ17/$X$10)</f>
        <v>0</v>
      </c>
      <c r="CK17" s="18">
        <f>IF($X17="","",AR17/$X$10)</f>
        <v>0</v>
      </c>
      <c r="CL17" s="18">
        <f>IF($X17="","",AS17/$X$10)</f>
        <v>0</v>
      </c>
      <c r="CM17" s="18">
        <f>IF($X17="","",AT17/$X$10)</f>
        <v>0</v>
      </c>
      <c r="CN17" s="18">
        <f>IF($X17="","",AU17/$X$10)</f>
        <v>0</v>
      </c>
      <c r="CO17" s="18">
        <f>IF($X17="","",AV17/$X$10)</f>
        <v>0</v>
      </c>
      <c r="CP17" s="18">
        <f>IF($X17="","",AW17/$X$10)</f>
        <v>0</v>
      </c>
      <c r="CQ17" s="18">
        <f>IF($X17="","",AX17/$X$10)</f>
        <v>0</v>
      </c>
      <c r="CR17" s="18">
        <f>IF($X17="","",AY17/$X$10)</f>
        <v>0</v>
      </c>
      <c r="CS17" s="18">
        <f>IF($X17="","",AZ17/$X$10)</f>
        <v>0</v>
      </c>
      <c r="CT17" s="18">
        <f>IF($X17="","",BA17/$X$10)</f>
        <v>0</v>
      </c>
      <c r="CU17" s="18">
        <f>IF($X17="","",BB17/$X$10)</f>
        <v>0</v>
      </c>
      <c r="CV17" s="18">
        <f>IF($X17="","",BC17/$X$10)</f>
        <v>0</v>
      </c>
      <c r="CW17" s="18">
        <f>IF($X17="","",BD17/$X$10)</f>
        <v>0</v>
      </c>
      <c r="CX17" s="18">
        <f>IF($X17="","",BE17/$X$10)</f>
        <v>0</v>
      </c>
      <c r="CY17" s="18">
        <f>IF($X17="","",BF17/$X$10)</f>
        <v>0</v>
      </c>
      <c r="CZ17" s="18">
        <f>IF($X17="","",BG17/$X$10)</f>
        <v>0</v>
      </c>
      <c r="DA17" s="18">
        <f>IF($X17="","",BH17/$X$10)</f>
        <v>0</v>
      </c>
      <c r="DB17" s="18">
        <f>IF($X17="","",BI17/$X$10)</f>
        <v>0</v>
      </c>
      <c r="DC17" s="18">
        <f>IF($X17="","",BJ17/$X$10)</f>
        <v>0</v>
      </c>
      <c r="DD17" s="18">
        <f>IF($X17="","",BK17/$X$10)</f>
        <v>0</v>
      </c>
      <c r="DE17" s="18">
        <f>IF($X17="","",BL17/$X$10)</f>
        <v>0</v>
      </c>
      <c r="DF17" s="18">
        <f>IF($X17="","",BM17/$X$10)</f>
        <v>0</v>
      </c>
      <c r="DG17" s="18">
        <f t="shared" si="3"/>
        <v>0</v>
      </c>
      <c r="DH17" s="18">
        <f>IF($X17="","",BO17/$X$10)</f>
        <v>0</v>
      </c>
      <c r="DI17" s="18">
        <f>IF($X17="","",BP17/$X$10)</f>
        <v>0</v>
      </c>
      <c r="DJ17" s="18">
        <f>IF($X17="","",BQ17/$X$10)</f>
        <v>0</v>
      </c>
      <c r="DK17" s="18">
        <f>IF($X17="","",BR17/$X$10)</f>
        <v>0</v>
      </c>
      <c r="DL17" s="18">
        <f>IF($X17="","",BS17/$X$10)</f>
        <v>0</v>
      </c>
      <c r="DM17" s="18">
        <f>IF($X17="","",BT17/$X$10)</f>
        <v>0</v>
      </c>
      <c r="DN17" s="18">
        <f t="shared" si="5"/>
        <v>0</v>
      </c>
      <c r="DO17" s="16">
        <f>IF($X17="","",SUM(Tabla152[[#This Row],[PODRIDO]],Tabla152[[#This Row],[HONGO]],Tabla152[[#This Row],[PICADO DE AVE CON PUDRICIÓN]],Tabla152[[#This Row],[FUMAGINA]])/$X$10)</f>
        <v>0</v>
      </c>
      <c r="DP17" s="16">
        <f>IF($X17="","",SUM(Tabla152[[#This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7" s="16">
        <f>IF($X17="","",SUM(Tabla152[[#This Row],[BLANDO]:[COLAPSADO]])/$X$10)</f>
        <v>0</v>
      </c>
      <c r="DR17" s="16">
        <f>IF($X17="","",SUM(Tabla152[[#This Row],[DESHIDRATADO LEVE]:[DESHIDRATADO INMADURO]])/$X$10)</f>
        <v>0</v>
      </c>
      <c r="DS17" s="18">
        <f t="shared" si="1"/>
        <v>0</v>
      </c>
      <c r="DT17" s="16">
        <f>IF($X17="","",SUM(Tabla152[[#This Row],[PRESENCIA DE LARVA]],Tabla152[[#This Row],[CHANCHITO BLANCO]])/$X$10)</f>
        <v>0</v>
      </c>
      <c r="DU17" s="18">
        <f>IF($X17="","",SUM(Tabla152[[#This Row],[ROJO GRADO 2 A MÁS]],Tabla152[[#This Row],[IMMADURO VERDE]],Tabla152[[#This Row],[DESORDEN POR MADURACIÓN]],Tabla152[[#This Row],[ARO PEDICELAR VERDE EXTREMO]])/$X$10)</f>
        <v>0</v>
      </c>
      <c r="DV17" s="16">
        <f>IF($X17="","",SUM(Tabla152[[#This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7" s="16">
        <f>IF($X17="","",BU17/$X$10)</f>
        <v>0</v>
      </c>
      <c r="DX17" s="16">
        <f>IF($X17="","",AJ17/$X$10)</f>
        <v>0</v>
      </c>
      <c r="DY17" s="16">
        <f>IF($X17="","",SUM(Tabla152[[#This Row],[PRESENCIA DE COROLA]],Tabla152[[#This Row],[PRESENCIA DE RESTO FLORAL VERDE]],Tabla152[[#This Row],[PRESENCIA DE PEDÚNCULO]])/$X$10)</f>
        <v>0</v>
      </c>
      <c r="DZ17" s="16">
        <f>IF($X17="","",SUM(Tabla152[[#This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8" spans="1:130" x14ac:dyDescent="0.3">
      <c r="A18" s="9">
        <f>IF(W18="","",IF(ROW()=10,1,IF(W18=W17,A17,MAX($A$9:A17)+1)))</f>
        <v>3</v>
      </c>
      <c r="B18" s="9">
        <f>WEEKNUM(Tabla152[[#This Row],[FECHA DE COSECHA]],21)</f>
        <v>36</v>
      </c>
      <c r="C18" s="9"/>
      <c r="D18" s="17">
        <v>46267</v>
      </c>
      <c r="E18" s="17">
        <v>46267</v>
      </c>
      <c r="F18" s="9">
        <v>1</v>
      </c>
      <c r="G18" s="9" t="s">
        <v>77</v>
      </c>
      <c r="H18" s="9" t="s">
        <v>144</v>
      </c>
      <c r="I18" s="9" t="s">
        <v>134</v>
      </c>
      <c r="J18" s="9" t="s">
        <v>78</v>
      </c>
      <c r="K18" s="9" t="s">
        <v>153</v>
      </c>
      <c r="L18" s="9" t="s">
        <v>131</v>
      </c>
      <c r="M18" s="9" t="s">
        <v>239</v>
      </c>
      <c r="N18" s="9" t="s">
        <v>151</v>
      </c>
      <c r="O18" s="9" t="s">
        <v>244</v>
      </c>
      <c r="P18" s="9" t="s">
        <v>152</v>
      </c>
      <c r="Q18" s="9"/>
      <c r="R18" s="9">
        <v>8</v>
      </c>
      <c r="S18" s="9">
        <v>74547547</v>
      </c>
      <c r="T18" t="s">
        <v>232</v>
      </c>
      <c r="U18" s="9" t="s">
        <v>147</v>
      </c>
      <c r="V18" s="9"/>
      <c r="W18" s="19" t="s">
        <v>155</v>
      </c>
      <c r="X18" s="9">
        <v>61</v>
      </c>
      <c r="Y18" s="9">
        <v>3</v>
      </c>
      <c r="Z18" s="9">
        <v>5</v>
      </c>
      <c r="AA18" s="9" t="str">
        <f>IF(Tabla152[[#This Row],[NOTA]]=15,"CUMPLE","NO CUMPLE")</f>
        <v>NO CUMPLE</v>
      </c>
      <c r="AB18" s="9" t="str">
        <f>IF(COUNTIF($A$10:A18,A18)=1,IF(COUNTIFS($A:$A,A18,$AA:$AA,"NO CUMPLE")&gt;0,"NO CUMPLE","CUMPLE"),"")</f>
        <v/>
      </c>
      <c r="AC18" s="9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7"/>
      <c r="AR18" s="7">
        <v>2</v>
      </c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18"/>
      <c r="BX18" s="18">
        <f>IF($X18="","",AE18/$X$10)</f>
        <v>0</v>
      </c>
      <c r="BY18" s="18">
        <f>IF($X18="","",AF18/$X$10)</f>
        <v>0</v>
      </c>
      <c r="BZ18" s="18">
        <f>IF($X18="","",AG18/$X$10)</f>
        <v>0</v>
      </c>
      <c r="CA18" s="18">
        <f>IF($X18="","",AH18/$X$10)</f>
        <v>0</v>
      </c>
      <c r="CB18" s="18">
        <f t="shared" si="2"/>
        <v>0</v>
      </c>
      <c r="CC18" s="18">
        <f>IF($X18="","",AJ18/$X$10)</f>
        <v>0</v>
      </c>
      <c r="CD18" s="18">
        <f>IF($X18="","",AK18/$X$10)</f>
        <v>0</v>
      </c>
      <c r="CE18" s="18">
        <f>IF($X18="","",AL18/$X$10)</f>
        <v>0</v>
      </c>
      <c r="CF18" s="18">
        <f>IF($X18="","",AM18/$X$10)</f>
        <v>0</v>
      </c>
      <c r="CG18" s="18">
        <f>IF($X18="","",AN18/$X$10)</f>
        <v>0</v>
      </c>
      <c r="CH18" s="18">
        <f>IF($X18="","",AO18/$X$10)</f>
        <v>0</v>
      </c>
      <c r="CI18" s="18">
        <f>IF($X18="","",AP18/$X$10)</f>
        <v>0</v>
      </c>
      <c r="CJ18" s="18">
        <f>IF($X18="","",AQ18/$X$10)</f>
        <v>0</v>
      </c>
      <c r="CK18" s="18">
        <f>IF($X18="","",AR18/$X$10)</f>
        <v>3.1746031746031744E-2</v>
      </c>
      <c r="CL18" s="18">
        <f>IF($X18="","",AS18/$X$10)</f>
        <v>0</v>
      </c>
      <c r="CM18" s="18">
        <f>IF($X18="","",AT18/$X$10)</f>
        <v>0</v>
      </c>
      <c r="CN18" s="18">
        <f>IF($X18="","",AU18/$X$10)</f>
        <v>0</v>
      </c>
      <c r="CO18" s="18">
        <f>IF($X18="","",AV18/$X$10)</f>
        <v>0</v>
      </c>
      <c r="CP18" s="18">
        <f>IF($X18="","",AW18/$X$10)</f>
        <v>0</v>
      </c>
      <c r="CQ18" s="18">
        <f>IF($X18="","",AX18/$X$10)</f>
        <v>0</v>
      </c>
      <c r="CR18" s="18">
        <f>IF($X18="","",AY18/$X$10)</f>
        <v>0</v>
      </c>
      <c r="CS18" s="18">
        <f>IF($X18="","",AZ18/$X$10)</f>
        <v>0</v>
      </c>
      <c r="CT18" s="18">
        <f>IF($X18="","",BA18/$X$10)</f>
        <v>0</v>
      </c>
      <c r="CU18" s="18">
        <f>IF($X18="","",BB18/$X$10)</f>
        <v>0</v>
      </c>
      <c r="CV18" s="18">
        <f>IF($X18="","",BC18/$X$10)</f>
        <v>0</v>
      </c>
      <c r="CW18" s="18">
        <f>IF($X18="","",BD18/$X$10)</f>
        <v>0</v>
      </c>
      <c r="CX18" s="18">
        <f>IF($X18="","",BE18/$X$10)</f>
        <v>0</v>
      </c>
      <c r="CY18" s="18">
        <f>IF($X18="","",BF18/$X$10)</f>
        <v>0</v>
      </c>
      <c r="CZ18" s="18">
        <f>IF($X18="","",BG18/$X$10)</f>
        <v>0</v>
      </c>
      <c r="DA18" s="18">
        <f>IF($X18="","",BH18/$X$10)</f>
        <v>0</v>
      </c>
      <c r="DB18" s="18">
        <f>IF($X18="","",BI18/$X$10)</f>
        <v>0</v>
      </c>
      <c r="DC18" s="18">
        <f>IF($X18="","",BJ18/$X$10)</f>
        <v>0</v>
      </c>
      <c r="DD18" s="18">
        <f>IF($X18="","",BK18/$X$10)</f>
        <v>0</v>
      </c>
      <c r="DE18" s="18">
        <f>IF($X18="","",BL18/$X$10)</f>
        <v>0</v>
      </c>
      <c r="DF18" s="18">
        <f>IF($X18="","",BM18/$X$10)</f>
        <v>0</v>
      </c>
      <c r="DG18" s="18">
        <f t="shared" si="3"/>
        <v>0</v>
      </c>
      <c r="DH18" s="18">
        <f>IF($X18="","",BO18/$X$10)</f>
        <v>0</v>
      </c>
      <c r="DI18" s="18">
        <f>IF($X18="","",BP18/$X$10)</f>
        <v>0</v>
      </c>
      <c r="DJ18" s="18">
        <f>IF($X18="","",BQ18/$X$10)</f>
        <v>0</v>
      </c>
      <c r="DK18" s="18">
        <f>IF($X18="","",BR18/$X$10)</f>
        <v>0</v>
      </c>
      <c r="DL18" s="18">
        <f>IF($X18="","",BS18/$X$10)</f>
        <v>0</v>
      </c>
      <c r="DM18" s="18">
        <f>IF($X18="","",BT18/$X$10)</f>
        <v>0</v>
      </c>
      <c r="DN18" s="18">
        <f t="shared" si="5"/>
        <v>0</v>
      </c>
      <c r="DO18" s="16">
        <f>IF($X18="","",SUM(Tabla152[[#This Row],[PODRIDO]],Tabla152[[#This Row],[HONGO]],Tabla152[[#This Row],[PICADO DE AVE CON PUDRICIÓN]],Tabla152[[#This Row],[FUMAGINA]])/$X$10)</f>
        <v>0</v>
      </c>
      <c r="DP18" s="16">
        <f>IF($X18="","",SUM(Tabla152[[#This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8" s="16">
        <f>IF($X18="","",SUM(Tabla152[[#This Row],[BLANDO]:[COLAPSADO]])/$X$10)</f>
        <v>0</v>
      </c>
      <c r="DR18" s="16">
        <f>IF($X18="","",SUM(Tabla152[[#This Row],[DESHIDRATADO LEVE]:[DESHIDRATADO INMADURO]])/$X$10)</f>
        <v>3.1746031746031744E-2</v>
      </c>
      <c r="DS18" s="18">
        <f t="shared" si="1"/>
        <v>0</v>
      </c>
      <c r="DT18" s="16">
        <f>IF($X18="","",SUM(Tabla152[[#This Row],[PRESENCIA DE LARVA]],Tabla152[[#This Row],[CHANCHITO BLANCO]])/$X$10)</f>
        <v>0</v>
      </c>
      <c r="DU18" s="18">
        <f>IF($X18="","",SUM(Tabla152[[#This Row],[ROJO GRADO 2 A MÁS]],Tabla152[[#This Row],[IMMADURO VERDE]],Tabla152[[#This Row],[DESORDEN POR MADURACIÓN]],Tabla152[[#This Row],[ARO PEDICELAR VERDE EXTREMO]])/$X$10)</f>
        <v>0</v>
      </c>
      <c r="DV18" s="16">
        <f>IF($X18="","",SUM(Tabla152[[#This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8" s="16">
        <f>IF($X18="","",BU18/$X$10)</f>
        <v>0</v>
      </c>
      <c r="DX18" s="16">
        <f>IF($X18="","",AJ18/$X$10)</f>
        <v>0</v>
      </c>
      <c r="DY18" s="16">
        <f>IF($X18="","",SUM(Tabla152[[#This Row],[PRESENCIA DE COROLA]],Tabla152[[#This Row],[PRESENCIA DE RESTO FLORAL VERDE]],Tabla152[[#This Row],[PRESENCIA DE PEDÚNCULO]])/$X$10)</f>
        <v>0</v>
      </c>
      <c r="DZ18" s="16">
        <f>IF($X18="","",SUM(Tabla152[[#This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9" spans="1:130" x14ac:dyDescent="0.3">
      <c r="A19" s="9">
        <f>IF(W19="","",IF(ROW()=10,1,IF(W19=W18,A18,MAX($A$9:A18)+1)))</f>
        <v>4</v>
      </c>
      <c r="B19" s="9">
        <f>WEEKNUM(Tabla152[[#This Row],[FECHA DE COSECHA]],21)</f>
        <v>36</v>
      </c>
      <c r="C19" s="9"/>
      <c r="D19" s="17">
        <v>46267</v>
      </c>
      <c r="E19" s="17">
        <v>46267</v>
      </c>
      <c r="F19" s="9">
        <v>1</v>
      </c>
      <c r="G19" s="9" t="s">
        <v>77</v>
      </c>
      <c r="H19" s="9" t="s">
        <v>144</v>
      </c>
      <c r="I19" s="9" t="s">
        <v>134</v>
      </c>
      <c r="J19" s="9" t="s">
        <v>78</v>
      </c>
      <c r="K19" s="9" t="s">
        <v>153</v>
      </c>
      <c r="L19" s="9" t="s">
        <v>131</v>
      </c>
      <c r="M19" s="9" t="s">
        <v>239</v>
      </c>
      <c r="N19" s="9" t="s">
        <v>151</v>
      </c>
      <c r="O19" s="9" t="s">
        <v>244</v>
      </c>
      <c r="P19" s="9" t="s">
        <v>152</v>
      </c>
      <c r="Q19" s="9"/>
      <c r="R19" s="9">
        <v>8</v>
      </c>
      <c r="S19" s="9">
        <v>74547547</v>
      </c>
      <c r="T19" t="s">
        <v>232</v>
      </c>
      <c r="U19" s="9" t="s">
        <v>147</v>
      </c>
      <c r="V19" s="9"/>
      <c r="W19" s="19" t="s">
        <v>156</v>
      </c>
      <c r="X19" s="9">
        <v>61</v>
      </c>
      <c r="Y19" s="9">
        <v>1</v>
      </c>
      <c r="Z19" s="9">
        <v>15</v>
      </c>
      <c r="AA19" s="9" t="str">
        <f>IF(Tabla152[[#This Row],[NOTA]]=15,"CUMPLE","NO CUMPLE")</f>
        <v>CUMPLE</v>
      </c>
      <c r="AB19" s="9" t="str">
        <f>IF(COUNTIF($A$10:A19,A19)=1,IF(COUNTIFS($A:$A,A19,$AA:$AA,"NO CUMPLE")&gt;0,"NO CUMPLE","CUMPLE"),"")</f>
        <v>CUMPLE</v>
      </c>
      <c r="AC19" s="9" t="s">
        <v>140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7"/>
      <c r="AR19" s="7"/>
      <c r="AS19" s="7"/>
      <c r="AT19" s="7">
        <v>1</v>
      </c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18"/>
      <c r="BX19" s="18">
        <f>IF($X19="","",AE19/$X$10)</f>
        <v>0</v>
      </c>
      <c r="BY19" s="18">
        <f>IF($X19="","",AF19/$X$10)</f>
        <v>0</v>
      </c>
      <c r="BZ19" s="18">
        <f>IF($X19="","",AG19/$X$10)</f>
        <v>0</v>
      </c>
      <c r="CA19" s="18">
        <f>IF($X19="","",AH19/$X$10)</f>
        <v>0</v>
      </c>
      <c r="CB19" s="18">
        <f t="shared" si="2"/>
        <v>0</v>
      </c>
      <c r="CC19" s="18">
        <f>IF($X19="","",AJ19/$X$10)</f>
        <v>0</v>
      </c>
      <c r="CD19" s="18">
        <f>IF($X19="","",AK19/$X$10)</f>
        <v>0</v>
      </c>
      <c r="CE19" s="18">
        <f>IF($X19="","",AL19/$X$10)</f>
        <v>0</v>
      </c>
      <c r="CF19" s="18">
        <f>IF($X19="","",AM19/$X$10)</f>
        <v>0</v>
      </c>
      <c r="CG19" s="18">
        <f>IF($X19="","",AN19/$X$10)</f>
        <v>0</v>
      </c>
      <c r="CH19" s="18">
        <f>IF($X19="","",AO19/$X$10)</f>
        <v>0</v>
      </c>
      <c r="CI19" s="18">
        <f>IF($X19="","",AP19/$X$10)</f>
        <v>0</v>
      </c>
      <c r="CJ19" s="18">
        <f>IF($X19="","",AQ19/$X$10)</f>
        <v>0</v>
      </c>
      <c r="CK19" s="18">
        <f>IF($X19="","",AR19/$X$10)</f>
        <v>0</v>
      </c>
      <c r="CL19" s="18">
        <f>IF($X19="","",AS19/$X$10)</f>
        <v>0</v>
      </c>
      <c r="CM19" s="18">
        <f>IF($X19="","",AT19/$X$10)</f>
        <v>1.5873015873015872E-2</v>
      </c>
      <c r="CN19" s="18">
        <f>IF($X19="","",AU19/$X$10)</f>
        <v>0</v>
      </c>
      <c r="CO19" s="18">
        <f>IF($X19="","",AV19/$X$10)</f>
        <v>0</v>
      </c>
      <c r="CP19" s="18">
        <f>IF($X19="","",AW19/$X$10)</f>
        <v>0</v>
      </c>
      <c r="CQ19" s="18">
        <f>IF($X19="","",AX19/$X$10)</f>
        <v>0</v>
      </c>
      <c r="CR19" s="18">
        <f>IF($X19="","",AY19/$X$10)</f>
        <v>0</v>
      </c>
      <c r="CS19" s="18">
        <f>IF($X19="","",AZ19/$X$10)</f>
        <v>0</v>
      </c>
      <c r="CT19" s="18">
        <f>IF($X19="","",BA19/$X$10)</f>
        <v>0</v>
      </c>
      <c r="CU19" s="18">
        <f>IF($X19="","",BB19/$X$10)</f>
        <v>0</v>
      </c>
      <c r="CV19" s="18">
        <f>IF($X19="","",BC19/$X$10)</f>
        <v>0</v>
      </c>
      <c r="CW19" s="18">
        <f>IF($X19="","",BD19/$X$10)</f>
        <v>0</v>
      </c>
      <c r="CX19" s="18">
        <f>IF($X19="","",BE19/$X$10)</f>
        <v>0</v>
      </c>
      <c r="CY19" s="18">
        <f>IF($X19="","",BF19/$X$10)</f>
        <v>0</v>
      </c>
      <c r="CZ19" s="18">
        <f>IF($X19="","",BG19/$X$10)</f>
        <v>0</v>
      </c>
      <c r="DA19" s="18">
        <f>IF($X19="","",BH19/$X$10)</f>
        <v>0</v>
      </c>
      <c r="DB19" s="18">
        <f>IF($X19="","",BI19/$X$10)</f>
        <v>0</v>
      </c>
      <c r="DC19" s="18">
        <f>IF($X19="","",BJ19/$X$10)</f>
        <v>0</v>
      </c>
      <c r="DD19" s="18">
        <f>IF($X19="","",BK19/$X$10)</f>
        <v>0</v>
      </c>
      <c r="DE19" s="18">
        <f>IF($X19="","",BL19/$X$10)</f>
        <v>0</v>
      </c>
      <c r="DF19" s="18">
        <f>IF($X19="","",BM19/$X$10)</f>
        <v>0</v>
      </c>
      <c r="DG19" s="18">
        <f t="shared" si="3"/>
        <v>0</v>
      </c>
      <c r="DH19" s="18">
        <f>IF($X19="","",BO19/$X$10)</f>
        <v>0</v>
      </c>
      <c r="DI19" s="18">
        <f>IF($X19="","",BP19/$X$10)</f>
        <v>0</v>
      </c>
      <c r="DJ19" s="18">
        <f>IF($X19="","",BQ19/$X$10)</f>
        <v>0</v>
      </c>
      <c r="DK19" s="18">
        <f>IF($X19="","",BR19/$X$10)</f>
        <v>0</v>
      </c>
      <c r="DL19" s="18">
        <f>IF($X19="","",BS19/$X$10)</f>
        <v>0</v>
      </c>
      <c r="DM19" s="18">
        <f>IF($X19="","",BT19/$X$10)</f>
        <v>0</v>
      </c>
      <c r="DN19" s="18">
        <f t="shared" si="5"/>
        <v>0</v>
      </c>
      <c r="DO19" s="16">
        <f>IF($X19="","",SUM(Tabla152[[#This Row],[PODRIDO]],Tabla152[[#This Row],[HONGO]],Tabla152[[#This Row],[PICADO DE AVE CON PUDRICIÓN]],Tabla152[[#This Row],[FUMAGINA]])/$X$10)</f>
        <v>0</v>
      </c>
      <c r="DP19" s="16">
        <f>IF($X19="","",SUM(Tabla152[[#This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1.5873015873015872E-2</v>
      </c>
      <c r="DQ19" s="16">
        <f>IF($X19="","",SUM(Tabla152[[#This Row],[BLANDO]:[COLAPSADO]])/$X$10)</f>
        <v>0</v>
      </c>
      <c r="DR19" s="16">
        <f>IF($X19="","",SUM(Tabla152[[#This Row],[DESHIDRATADO LEVE]:[DESHIDRATADO INMADURO]])/$X$10)</f>
        <v>0</v>
      </c>
      <c r="DS19" s="18">
        <f t="shared" si="1"/>
        <v>0</v>
      </c>
      <c r="DT19" s="16">
        <f>IF($X19="","",SUM(Tabla152[[#This Row],[PRESENCIA DE LARVA]],Tabla152[[#This Row],[CHANCHITO BLANCO]])/$X$10)</f>
        <v>0</v>
      </c>
      <c r="DU19" s="18">
        <f>IF($X19="","",SUM(Tabla152[[#This Row],[ROJO GRADO 2 A MÁS]],Tabla152[[#This Row],[IMMADURO VERDE]],Tabla152[[#This Row],[DESORDEN POR MADURACIÓN]],Tabla152[[#This Row],[ARO PEDICELAR VERDE EXTREMO]])/$X$10)</f>
        <v>0</v>
      </c>
      <c r="DV19" s="16">
        <f>IF($X19="","",SUM(Tabla152[[#This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9" s="16">
        <f>IF($X19="","",BU19/$X$10)</f>
        <v>0</v>
      </c>
      <c r="DX19" s="16">
        <f>IF($X19="","",AJ19/$X$10)</f>
        <v>0</v>
      </c>
      <c r="DY19" s="16">
        <f>IF($X19="","",SUM(Tabla152[[#This Row],[PRESENCIA DE COROLA]],Tabla152[[#This Row],[PRESENCIA DE RESTO FLORAL VERDE]],Tabla152[[#This Row],[PRESENCIA DE PEDÚNCULO]])/$X$10)</f>
        <v>0</v>
      </c>
      <c r="DZ19" s="16">
        <f>IF($X19="","",SUM(Tabla152[[#This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0" spans="1:130" x14ac:dyDescent="0.3">
      <c r="A20" s="9">
        <f>IF(W20="","",IF(ROW()=10,1,IF(W20=W19,A19,MAX($A$9:A19)+1)))</f>
        <v>4</v>
      </c>
      <c r="B20" s="9">
        <f>WEEKNUM(Tabla152[[#This Row],[FECHA DE COSECHA]],21)</f>
        <v>36</v>
      </c>
      <c r="C20" s="9"/>
      <c r="D20" s="17">
        <v>46267</v>
      </c>
      <c r="E20" s="17">
        <v>46267</v>
      </c>
      <c r="F20" s="9">
        <v>1</v>
      </c>
      <c r="G20" s="9" t="s">
        <v>77</v>
      </c>
      <c r="H20" s="9" t="s">
        <v>144</v>
      </c>
      <c r="I20" s="9" t="s">
        <v>134</v>
      </c>
      <c r="J20" s="9" t="s">
        <v>78</v>
      </c>
      <c r="K20" s="9" t="s">
        <v>153</v>
      </c>
      <c r="L20" s="9" t="s">
        <v>131</v>
      </c>
      <c r="M20" s="9" t="s">
        <v>239</v>
      </c>
      <c r="N20" s="9" t="s">
        <v>151</v>
      </c>
      <c r="O20" s="9" t="s">
        <v>244</v>
      </c>
      <c r="P20" s="9" t="s">
        <v>152</v>
      </c>
      <c r="Q20" s="9"/>
      <c r="R20" s="9">
        <v>8</v>
      </c>
      <c r="S20" s="9">
        <v>74547547</v>
      </c>
      <c r="T20" t="s">
        <v>232</v>
      </c>
      <c r="U20" s="9" t="s">
        <v>147</v>
      </c>
      <c r="V20" s="9"/>
      <c r="W20" s="19" t="s">
        <v>156</v>
      </c>
      <c r="X20" s="9">
        <v>61</v>
      </c>
      <c r="Y20" s="9">
        <v>2</v>
      </c>
      <c r="Z20" s="9">
        <v>15</v>
      </c>
      <c r="AA20" s="9" t="str">
        <f>IF(Tabla152[[#This Row],[NOTA]]=15,"CUMPLE","NO CUMPLE")</f>
        <v>CUMPLE</v>
      </c>
      <c r="AB20" s="9" t="str">
        <f>IF(COUNTIF($A$10:A20,A20)=1,IF(COUNTIFS($A:$A,A20,$AA:$AA,"NO CUMPLE")&gt;0,"NO CUMPLE","CUMPLE"),"")</f>
        <v/>
      </c>
      <c r="AC20" s="9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18"/>
      <c r="BX20" s="18">
        <f>IF($X20="","",AE20/$X$10)</f>
        <v>0</v>
      </c>
      <c r="BY20" s="18">
        <f>IF($X20="","",AF20/$X$10)</f>
        <v>0</v>
      </c>
      <c r="BZ20" s="18">
        <f>IF($X20="","",AG20/$X$10)</f>
        <v>0</v>
      </c>
      <c r="CA20" s="18">
        <f>IF($X20="","",AH20/$X$10)</f>
        <v>0</v>
      </c>
      <c r="CB20" s="18">
        <f t="shared" si="2"/>
        <v>0</v>
      </c>
      <c r="CC20" s="18">
        <f>IF($X20="","",AJ20/$X$10)</f>
        <v>0</v>
      </c>
      <c r="CD20" s="18">
        <f>IF($X20="","",AK20/$X$10)</f>
        <v>0</v>
      </c>
      <c r="CE20" s="18">
        <f>IF($X20="","",AL20/$X$10)</f>
        <v>0</v>
      </c>
      <c r="CF20" s="18">
        <f>IF($X20="","",AM20/$X$10)</f>
        <v>0</v>
      </c>
      <c r="CG20" s="18">
        <f>IF($X20="","",AN20/$X$10)</f>
        <v>0</v>
      </c>
      <c r="CH20" s="18">
        <f>IF($X20="","",AO20/$X$10)</f>
        <v>0</v>
      </c>
      <c r="CI20" s="18">
        <f>IF($X20="","",AP20/$X$10)</f>
        <v>0</v>
      </c>
      <c r="CJ20" s="18">
        <f>IF($X20="","",AQ20/$X$10)</f>
        <v>0</v>
      </c>
      <c r="CK20" s="18">
        <f>IF($X20="","",AR20/$X$10)</f>
        <v>0</v>
      </c>
      <c r="CL20" s="18">
        <f>IF($X20="","",AS20/$X$10)</f>
        <v>0</v>
      </c>
      <c r="CM20" s="18">
        <f>IF($X20="","",AT20/$X$10)</f>
        <v>0</v>
      </c>
      <c r="CN20" s="18">
        <f>IF($X20="","",AU20/$X$10)</f>
        <v>0</v>
      </c>
      <c r="CO20" s="18">
        <f>IF($X20="","",AV20/$X$10)</f>
        <v>0</v>
      </c>
      <c r="CP20" s="18">
        <f>IF($X20="","",AW20/$X$10)</f>
        <v>0</v>
      </c>
      <c r="CQ20" s="18">
        <f>IF($X20="","",AX20/$X$10)</f>
        <v>0</v>
      </c>
      <c r="CR20" s="18">
        <f>IF($X20="","",AY20/$X$10)</f>
        <v>0</v>
      </c>
      <c r="CS20" s="18">
        <f>IF($X20="","",AZ20/$X$10)</f>
        <v>0</v>
      </c>
      <c r="CT20" s="18">
        <f>IF($X20="","",BA20/$X$10)</f>
        <v>0</v>
      </c>
      <c r="CU20" s="18">
        <f>IF($X20="","",BB20/$X$10)</f>
        <v>0</v>
      </c>
      <c r="CV20" s="18">
        <f>IF($X20="","",BC20/$X$10)</f>
        <v>0</v>
      </c>
      <c r="CW20" s="18">
        <f>IF($X20="","",BD20/$X$10)</f>
        <v>0</v>
      </c>
      <c r="CX20" s="18">
        <f>IF($X20="","",BE20/$X$10)</f>
        <v>0</v>
      </c>
      <c r="CY20" s="18">
        <f>IF($X20="","",BF20/$X$10)</f>
        <v>0</v>
      </c>
      <c r="CZ20" s="18">
        <f>IF($X20="","",BG20/$X$10)</f>
        <v>0</v>
      </c>
      <c r="DA20" s="18">
        <f>IF($X20="","",BH20/$X$10)</f>
        <v>0</v>
      </c>
      <c r="DB20" s="18">
        <f>IF($X20="","",BI20/$X$10)</f>
        <v>0</v>
      </c>
      <c r="DC20" s="18">
        <f>IF($X20="","",BJ20/$X$10)</f>
        <v>0</v>
      </c>
      <c r="DD20" s="18">
        <f>IF($X20="","",BK20/$X$10)</f>
        <v>0</v>
      </c>
      <c r="DE20" s="18">
        <f>IF($X20="","",BL20/$X$10)</f>
        <v>0</v>
      </c>
      <c r="DF20" s="18">
        <f>IF($X20="","",BM20/$X$10)</f>
        <v>0</v>
      </c>
      <c r="DG20" s="18">
        <f t="shared" si="3"/>
        <v>0</v>
      </c>
      <c r="DH20" s="18">
        <f>IF($X20="","",BO20/$X$10)</f>
        <v>0</v>
      </c>
      <c r="DI20" s="18">
        <f>IF($X20="","",BP20/$X$10)</f>
        <v>0</v>
      </c>
      <c r="DJ20" s="18">
        <f>IF($X20="","",BQ20/$X$10)</f>
        <v>0</v>
      </c>
      <c r="DK20" s="18">
        <f>IF($X20="","",BR20/$X$10)</f>
        <v>0</v>
      </c>
      <c r="DL20" s="18">
        <f>IF($X20="","",BS20/$X$10)</f>
        <v>0</v>
      </c>
      <c r="DM20" s="18">
        <f>IF($X20="","",BT20/$X$10)</f>
        <v>0</v>
      </c>
      <c r="DN20" s="18">
        <f t="shared" si="5"/>
        <v>0</v>
      </c>
      <c r="DO20" s="16">
        <f>IF($X20="","",SUM(Tabla152[[#This Row],[PODRIDO]],Tabla152[[#This Row],[HONGO]],Tabla152[[#This Row],[PICADO DE AVE CON PUDRICIÓN]],Tabla152[[#This Row],[FUMAGINA]])/$X$10)</f>
        <v>0</v>
      </c>
      <c r="DP20" s="16">
        <f>IF($X20="","",SUM(Tabla152[[#This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0" s="16">
        <f>IF($X20="","",SUM(Tabla152[[#This Row],[BLANDO]:[COLAPSADO]])/$X$10)</f>
        <v>0</v>
      </c>
      <c r="DR20" s="16">
        <f>IF($X20="","",SUM(Tabla152[[#This Row],[DESHIDRATADO LEVE]:[DESHIDRATADO INMADURO]])/$X$10)</f>
        <v>0</v>
      </c>
      <c r="DS20" s="18">
        <f t="shared" si="1"/>
        <v>0</v>
      </c>
      <c r="DT20" s="16">
        <f>IF($X20="","",SUM(Tabla152[[#This Row],[PRESENCIA DE LARVA]],Tabla152[[#This Row],[CHANCHITO BLANCO]])/$X$10)</f>
        <v>0</v>
      </c>
      <c r="DU20" s="18">
        <f>IF($X20="","",SUM(Tabla152[[#This Row],[ROJO GRADO 2 A MÁS]],Tabla152[[#This Row],[IMMADURO VERDE]],Tabla152[[#This Row],[DESORDEN POR MADURACIÓN]],Tabla152[[#This Row],[ARO PEDICELAR VERDE EXTREMO]])/$X$10)</f>
        <v>0</v>
      </c>
      <c r="DV20" s="16">
        <f>IF($X20="","",SUM(Tabla152[[#This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0" s="16">
        <f>IF($X20="","",BU20/$X$10)</f>
        <v>0</v>
      </c>
      <c r="DX20" s="16">
        <f>IF($X20="","",AJ20/$X$10)</f>
        <v>0</v>
      </c>
      <c r="DY20" s="16">
        <f>IF($X20="","",SUM(Tabla152[[#This Row],[PRESENCIA DE COROLA]],Tabla152[[#This Row],[PRESENCIA DE RESTO FLORAL VERDE]],Tabla152[[#This Row],[PRESENCIA DE PEDÚNCULO]])/$X$10)</f>
        <v>0</v>
      </c>
      <c r="DZ20" s="16">
        <f>IF($X20="","",SUM(Tabla152[[#This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1" spans="1:130" x14ac:dyDescent="0.3">
      <c r="A21" s="9">
        <f>IF(W21="","",IF(ROW()=10,1,IF(W21=W20,A20,MAX($A$9:A20)+1)))</f>
        <v>4</v>
      </c>
      <c r="B21" s="9">
        <f>WEEKNUM(Tabla152[[#This Row],[FECHA DE COSECHA]],21)</f>
        <v>36</v>
      </c>
      <c r="C21" s="9"/>
      <c r="D21" s="17">
        <v>46267</v>
      </c>
      <c r="E21" s="17">
        <v>46267</v>
      </c>
      <c r="F21" s="9">
        <v>1</v>
      </c>
      <c r="G21" s="9" t="s">
        <v>77</v>
      </c>
      <c r="H21" s="9" t="s">
        <v>144</v>
      </c>
      <c r="I21" s="9" t="s">
        <v>134</v>
      </c>
      <c r="J21" s="9" t="s">
        <v>78</v>
      </c>
      <c r="K21" s="9" t="s">
        <v>153</v>
      </c>
      <c r="L21" s="9" t="s">
        <v>131</v>
      </c>
      <c r="M21" s="9" t="s">
        <v>239</v>
      </c>
      <c r="N21" s="9" t="s">
        <v>151</v>
      </c>
      <c r="O21" s="9" t="s">
        <v>244</v>
      </c>
      <c r="P21" s="9" t="s">
        <v>152</v>
      </c>
      <c r="Q21" s="9"/>
      <c r="R21" s="9">
        <v>8</v>
      </c>
      <c r="S21" s="9">
        <v>74547547</v>
      </c>
      <c r="T21" t="s">
        <v>232</v>
      </c>
      <c r="U21" s="9" t="s">
        <v>147</v>
      </c>
      <c r="V21" s="9"/>
      <c r="W21" s="19" t="s">
        <v>156</v>
      </c>
      <c r="X21" s="9">
        <v>61</v>
      </c>
      <c r="Y21" s="9">
        <v>3</v>
      </c>
      <c r="Z21" s="9">
        <v>15</v>
      </c>
      <c r="AA21" s="9" t="str">
        <f>IF(Tabla152[[#This Row],[NOTA]]=15,"CUMPLE","NO CUMPLE")</f>
        <v>CUMPLE</v>
      </c>
      <c r="AB21" s="9" t="str">
        <f>IF(COUNTIF($A$10:A21,A21)=1,IF(COUNTIFS($A:$A,A21,$AA:$AA,"NO CUMPLE")&gt;0,"NO CUMPLE","CUMPLE"),"")</f>
        <v/>
      </c>
      <c r="AC21" s="9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18"/>
      <c r="BX21" s="18">
        <f>IF($X21="","",AE21/$X$10)</f>
        <v>0</v>
      </c>
      <c r="BY21" s="18">
        <f>IF($X21="","",AF21/$X$10)</f>
        <v>0</v>
      </c>
      <c r="BZ21" s="18">
        <f>IF($X21="","",AG21/$X$10)</f>
        <v>0</v>
      </c>
      <c r="CA21" s="18">
        <f>IF($X21="","",AH21/$X$10)</f>
        <v>0</v>
      </c>
      <c r="CB21" s="18">
        <f t="shared" si="2"/>
        <v>0</v>
      </c>
      <c r="CC21" s="18">
        <f>IF($X21="","",AJ21/$X$10)</f>
        <v>0</v>
      </c>
      <c r="CD21" s="18">
        <f>IF($X21="","",AK21/$X$10)</f>
        <v>0</v>
      </c>
      <c r="CE21" s="18">
        <f>IF($X21="","",AL21/$X$10)</f>
        <v>0</v>
      </c>
      <c r="CF21" s="18">
        <f>IF($X21="","",AM21/$X$10)</f>
        <v>0</v>
      </c>
      <c r="CG21" s="18">
        <f>IF($X21="","",AN21/$X$10)</f>
        <v>0</v>
      </c>
      <c r="CH21" s="18">
        <f>IF($X21="","",AO21/$X$10)</f>
        <v>0</v>
      </c>
      <c r="CI21" s="18">
        <f>IF($X21="","",AP21/$X$10)</f>
        <v>0</v>
      </c>
      <c r="CJ21" s="18">
        <f>IF($X21="","",AQ21/$X$10)</f>
        <v>0</v>
      </c>
      <c r="CK21" s="18">
        <f>IF($X21="","",AR21/$X$10)</f>
        <v>0</v>
      </c>
      <c r="CL21" s="18">
        <f>IF($X21="","",AS21/$X$10)</f>
        <v>0</v>
      </c>
      <c r="CM21" s="18">
        <f>IF($X21="","",AT21/$X$10)</f>
        <v>0</v>
      </c>
      <c r="CN21" s="18">
        <f>IF($X21="","",AU21/$X$10)</f>
        <v>0</v>
      </c>
      <c r="CO21" s="18">
        <f>IF($X21="","",AV21/$X$10)</f>
        <v>0</v>
      </c>
      <c r="CP21" s="18">
        <f>IF($X21="","",AW21/$X$10)</f>
        <v>0</v>
      </c>
      <c r="CQ21" s="18">
        <f>IF($X21="","",AX21/$X$10)</f>
        <v>0</v>
      </c>
      <c r="CR21" s="18">
        <f>IF($X21="","",AY21/$X$10)</f>
        <v>0</v>
      </c>
      <c r="CS21" s="18">
        <f>IF($X21="","",AZ21/$X$10)</f>
        <v>0</v>
      </c>
      <c r="CT21" s="18">
        <f>IF($X21="","",BA21/$X$10)</f>
        <v>0</v>
      </c>
      <c r="CU21" s="18">
        <f>IF($X21="","",BB21/$X$10)</f>
        <v>0</v>
      </c>
      <c r="CV21" s="18">
        <f>IF($X21="","",BC21/$X$10)</f>
        <v>0</v>
      </c>
      <c r="CW21" s="18">
        <f>IF($X21="","",BD21/$X$10)</f>
        <v>0</v>
      </c>
      <c r="CX21" s="18">
        <f>IF($X21="","",BE21/$X$10)</f>
        <v>0</v>
      </c>
      <c r="CY21" s="18">
        <f>IF($X21="","",BF21/$X$10)</f>
        <v>0</v>
      </c>
      <c r="CZ21" s="18">
        <f>IF($X21="","",BG21/$X$10)</f>
        <v>0</v>
      </c>
      <c r="DA21" s="18">
        <f>IF($X21="","",BH21/$X$10)</f>
        <v>0</v>
      </c>
      <c r="DB21" s="18">
        <f>IF($X21="","",BI21/$X$10)</f>
        <v>0</v>
      </c>
      <c r="DC21" s="18">
        <f>IF($X21="","",BJ21/$X$10)</f>
        <v>0</v>
      </c>
      <c r="DD21" s="18">
        <f>IF($X21="","",BK21/$X$10)</f>
        <v>0</v>
      </c>
      <c r="DE21" s="18">
        <f>IF($X21="","",BL21/$X$10)</f>
        <v>0</v>
      </c>
      <c r="DF21" s="18">
        <f>IF($X21="","",BM21/$X$10)</f>
        <v>0</v>
      </c>
      <c r="DG21" s="18">
        <f t="shared" si="3"/>
        <v>0</v>
      </c>
      <c r="DH21" s="18">
        <f>IF($X21="","",BO21/$X$10)</f>
        <v>0</v>
      </c>
      <c r="DI21" s="18">
        <f>IF($X21="","",BP21/$X$10)</f>
        <v>0</v>
      </c>
      <c r="DJ21" s="18">
        <f>IF($X21="","",BQ21/$X$10)</f>
        <v>0</v>
      </c>
      <c r="DK21" s="18">
        <f>IF($X21="","",BR21/$X$10)</f>
        <v>0</v>
      </c>
      <c r="DL21" s="18">
        <f>IF($X21="","",BS21/$X$10)</f>
        <v>0</v>
      </c>
      <c r="DM21" s="18">
        <f>IF($X21="","",BT21/$X$10)</f>
        <v>0</v>
      </c>
      <c r="DN21" s="18">
        <f t="shared" si="5"/>
        <v>0</v>
      </c>
      <c r="DO21" s="16">
        <f>IF($X21="","",SUM(Tabla152[[#This Row],[PODRIDO]],Tabla152[[#This Row],[HONGO]],Tabla152[[#This Row],[PICADO DE AVE CON PUDRICIÓN]],Tabla152[[#This Row],[FUMAGINA]])/$X$10)</f>
        <v>0</v>
      </c>
      <c r="DP21" s="16">
        <f>IF($X21="","",SUM(Tabla152[[#This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1" s="16">
        <f>IF($X21="","",SUM(Tabla152[[#This Row],[BLANDO]:[COLAPSADO]])/$X$10)</f>
        <v>0</v>
      </c>
      <c r="DR21" s="16">
        <f>IF($X21="","",SUM(Tabla152[[#This Row],[DESHIDRATADO LEVE]:[DESHIDRATADO INMADURO]])/$X$10)</f>
        <v>0</v>
      </c>
      <c r="DS21" s="18">
        <f t="shared" si="1"/>
        <v>0</v>
      </c>
      <c r="DT21" s="16">
        <f>IF($X21="","",SUM(Tabla152[[#This Row],[PRESENCIA DE LARVA]],Tabla152[[#This Row],[CHANCHITO BLANCO]])/$X$10)</f>
        <v>0</v>
      </c>
      <c r="DU21" s="18">
        <f>IF($X21="","",SUM(Tabla152[[#This Row],[ROJO GRADO 2 A MÁS]],Tabla152[[#This Row],[IMMADURO VERDE]],Tabla152[[#This Row],[DESORDEN POR MADURACIÓN]],Tabla152[[#This Row],[ARO PEDICELAR VERDE EXTREMO]])/$X$10)</f>
        <v>0</v>
      </c>
      <c r="DV21" s="16">
        <f>IF($X21="","",SUM(Tabla152[[#This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1" s="16">
        <f>IF($X21="","",BU21/$X$10)</f>
        <v>0</v>
      </c>
      <c r="DX21" s="16">
        <f>IF($X21="","",AJ21/$X$10)</f>
        <v>0</v>
      </c>
      <c r="DY21" s="16">
        <f>IF($X21="","",SUM(Tabla152[[#This Row],[PRESENCIA DE COROLA]],Tabla152[[#This Row],[PRESENCIA DE RESTO FLORAL VERDE]],Tabla152[[#This Row],[PRESENCIA DE PEDÚNCULO]])/$X$10)</f>
        <v>0</v>
      </c>
      <c r="DZ21" s="16">
        <f>IF($X21="","",SUM(Tabla152[[#This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2" spans="1:130" x14ac:dyDescent="0.3">
      <c r="A22" s="9">
        <f>IF(W22="","",IF(ROW()=10,1,IF(W22=W21,A21,MAX($A$9:A21)+1)))</f>
        <v>5</v>
      </c>
      <c r="B22" s="9">
        <f>WEEKNUM(Tabla152[[#This Row],[FECHA DE COSECHA]],21)</f>
        <v>36</v>
      </c>
      <c r="C22" s="9"/>
      <c r="D22" s="17">
        <v>46267</v>
      </c>
      <c r="E22" s="17">
        <v>46267</v>
      </c>
      <c r="F22" s="9">
        <v>1</v>
      </c>
      <c r="G22" s="9" t="s">
        <v>77</v>
      </c>
      <c r="H22" s="9" t="s">
        <v>144</v>
      </c>
      <c r="I22" s="9" t="s">
        <v>134</v>
      </c>
      <c r="J22" s="9" t="s">
        <v>78</v>
      </c>
      <c r="K22" s="9" t="s">
        <v>153</v>
      </c>
      <c r="L22" s="9" t="s">
        <v>131</v>
      </c>
      <c r="M22" s="9" t="s">
        <v>239</v>
      </c>
      <c r="N22" s="9" t="s">
        <v>151</v>
      </c>
      <c r="O22" s="9" t="s">
        <v>244</v>
      </c>
      <c r="P22" s="9" t="s">
        <v>152</v>
      </c>
      <c r="Q22" s="9"/>
      <c r="R22" s="9">
        <v>8</v>
      </c>
      <c r="S22" s="9">
        <v>74547547</v>
      </c>
      <c r="T22" t="s">
        <v>232</v>
      </c>
      <c r="U22" s="9" t="s">
        <v>147</v>
      </c>
      <c r="V22" s="9"/>
      <c r="W22" s="19" t="s">
        <v>157</v>
      </c>
      <c r="X22" s="9">
        <v>61</v>
      </c>
      <c r="Y22" s="9">
        <v>1</v>
      </c>
      <c r="Z22" s="9">
        <v>5</v>
      </c>
      <c r="AA22" s="9" t="str">
        <f>IF(Tabla152[[#This Row],[NOTA]]=15,"CUMPLE","NO CUMPLE")</f>
        <v>NO CUMPLE</v>
      </c>
      <c r="AB22" s="9" t="str">
        <f>IF(COUNTIF($A$10:A22,A22)=1,IF(COUNTIFS($A:$A,A22,$AA:$AA,"NO CUMPLE")&gt;0,"NO CUMPLE","CUMPLE"),"")</f>
        <v>NO CUMPLE</v>
      </c>
      <c r="AC22" s="9" t="s">
        <v>140</v>
      </c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18"/>
      <c r="BX22" s="18">
        <f>IF($X22="","",AE22/$X$10)</f>
        <v>0</v>
      </c>
      <c r="BY22" s="18">
        <f>IF($X22="","",AF22/$X$10)</f>
        <v>0</v>
      </c>
      <c r="BZ22" s="18">
        <f>IF($X22="","",AG22/$X$10)</f>
        <v>0</v>
      </c>
      <c r="CA22" s="18">
        <f>IF($X22="","",AH22/$X$10)</f>
        <v>0</v>
      </c>
      <c r="CB22" s="18">
        <f t="shared" si="2"/>
        <v>0</v>
      </c>
      <c r="CC22" s="18">
        <f>IF($X22="","",AJ22/$X$10)</f>
        <v>0</v>
      </c>
      <c r="CD22" s="18">
        <f>IF($X22="","",AK22/$X$10)</f>
        <v>0</v>
      </c>
      <c r="CE22" s="18">
        <f>IF($X22="","",AL22/$X$10)</f>
        <v>0</v>
      </c>
      <c r="CF22" s="18">
        <f>IF($X22="","",AM22/$X$10)</f>
        <v>0</v>
      </c>
      <c r="CG22" s="18">
        <f>IF($X22="","",AN22/$X$10)</f>
        <v>0</v>
      </c>
      <c r="CH22" s="18">
        <f>IF($X22="","",AO22/$X$10)</f>
        <v>0</v>
      </c>
      <c r="CI22" s="18">
        <f>IF($X22="","",AP22/$X$10)</f>
        <v>0</v>
      </c>
      <c r="CJ22" s="18">
        <f>IF($X22="","",AQ22/$X$10)</f>
        <v>0</v>
      </c>
      <c r="CK22" s="18">
        <f>IF($X22="","",AR22/$X$10)</f>
        <v>0</v>
      </c>
      <c r="CL22" s="18">
        <f>IF($X22="","",AS22/$X$10)</f>
        <v>0</v>
      </c>
      <c r="CM22" s="18">
        <f>IF($X22="","",AT22/$X$10)</f>
        <v>0</v>
      </c>
      <c r="CN22" s="18">
        <f>IF($X22="","",AU22/$X$10)</f>
        <v>0</v>
      </c>
      <c r="CO22" s="18">
        <f>IF($X22="","",AV22/$X$10)</f>
        <v>0</v>
      </c>
      <c r="CP22" s="18">
        <f>IF($X22="","",AW22/$X$10)</f>
        <v>0</v>
      </c>
      <c r="CQ22" s="18">
        <f>IF($X22="","",AX22/$X$10)</f>
        <v>0</v>
      </c>
      <c r="CR22" s="18">
        <f>IF($X22="","",AY22/$X$10)</f>
        <v>0</v>
      </c>
      <c r="CS22" s="18">
        <f>IF($X22="","",AZ22/$X$10)</f>
        <v>0</v>
      </c>
      <c r="CT22" s="18">
        <f>IF($X22="","",BA22/$X$10)</f>
        <v>0</v>
      </c>
      <c r="CU22" s="18">
        <f>IF($X22="","",BB22/$X$10)</f>
        <v>0</v>
      </c>
      <c r="CV22" s="18">
        <f>IF($X22="","",BC22/$X$10)</f>
        <v>0</v>
      </c>
      <c r="CW22" s="18">
        <f>IF($X22="","",BD22/$X$10)</f>
        <v>0</v>
      </c>
      <c r="CX22" s="18">
        <f>IF($X22="","",BE22/$X$10)</f>
        <v>0</v>
      </c>
      <c r="CY22" s="18">
        <f>IF($X22="","",BF22/$X$10)</f>
        <v>0</v>
      </c>
      <c r="CZ22" s="18">
        <f>IF($X22="","",BG22/$X$10)</f>
        <v>0</v>
      </c>
      <c r="DA22" s="18">
        <f>IF($X22="","",BH22/$X$10)</f>
        <v>0</v>
      </c>
      <c r="DB22" s="18">
        <f>IF($X22="","",BI22/$X$10)</f>
        <v>0</v>
      </c>
      <c r="DC22" s="18">
        <f>IF($X22="","",BJ22/$X$10)</f>
        <v>0</v>
      </c>
      <c r="DD22" s="18">
        <f>IF($X22="","",BK22/$X$10)</f>
        <v>0</v>
      </c>
      <c r="DE22" s="18">
        <f>IF($X22="","",BL22/$X$10)</f>
        <v>0</v>
      </c>
      <c r="DF22" s="18">
        <f>IF($X22="","",BM22/$X$10)</f>
        <v>0</v>
      </c>
      <c r="DG22" s="18">
        <f t="shared" si="3"/>
        <v>0</v>
      </c>
      <c r="DH22" s="18">
        <f>IF($X22="","",BO22/$X$10)</f>
        <v>0</v>
      </c>
      <c r="DI22" s="18">
        <f>IF($X22="","",BP22/$X$10)</f>
        <v>0</v>
      </c>
      <c r="DJ22" s="18">
        <f>IF($X22="","",BQ22/$X$10)</f>
        <v>0</v>
      </c>
      <c r="DK22" s="18">
        <f>IF($X22="","",BR22/$X$10)</f>
        <v>0</v>
      </c>
      <c r="DL22" s="18">
        <f>IF($X22="","",BS22/$X$10)</f>
        <v>0</v>
      </c>
      <c r="DM22" s="18">
        <f>IF($X22="","",BT22/$X$10)</f>
        <v>0</v>
      </c>
      <c r="DN22" s="18">
        <f t="shared" si="5"/>
        <v>0</v>
      </c>
      <c r="DO22" s="16">
        <f>IF($X22="","",SUM(Tabla152[[#This Row],[PODRIDO]],Tabla152[[#This Row],[HONGO]],Tabla152[[#This Row],[PICADO DE AVE CON PUDRICIÓN]],Tabla152[[#This Row],[FUMAGINA]])/$X$10)</f>
        <v>0</v>
      </c>
      <c r="DP22" s="16">
        <f>IF($X22="","",SUM(Tabla152[[#This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2" s="16">
        <f>IF($X22="","",SUM(Tabla152[[#This Row],[BLANDO]:[COLAPSADO]])/$X$10)</f>
        <v>0</v>
      </c>
      <c r="DR22" s="16">
        <f>IF($X22="","",SUM(Tabla152[[#This Row],[DESHIDRATADO LEVE]:[DESHIDRATADO INMADURO]])/$X$10)</f>
        <v>0</v>
      </c>
      <c r="DS22" s="18">
        <f t="shared" si="1"/>
        <v>0</v>
      </c>
      <c r="DT22" s="16">
        <f>IF($X22="","",SUM(Tabla152[[#This Row],[PRESENCIA DE LARVA]],Tabla152[[#This Row],[CHANCHITO BLANCO]])/$X$10)</f>
        <v>0</v>
      </c>
      <c r="DU22" s="18">
        <f>IF($X22="","",SUM(Tabla152[[#This Row],[ROJO GRADO 2 A MÁS]],Tabla152[[#This Row],[IMMADURO VERDE]],Tabla152[[#This Row],[DESORDEN POR MADURACIÓN]],Tabla152[[#This Row],[ARO PEDICELAR VERDE EXTREMO]])/$X$10)</f>
        <v>0</v>
      </c>
      <c r="DV22" s="16">
        <f>IF($X22="","",SUM(Tabla152[[#This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2" s="16">
        <f>IF($X22="","",BU22/$X$10)</f>
        <v>0</v>
      </c>
      <c r="DX22" s="16">
        <f>IF($X22="","",AJ22/$X$10)</f>
        <v>0</v>
      </c>
      <c r="DY22" s="16">
        <f>IF($X22="","",SUM(Tabla152[[#This Row],[PRESENCIA DE COROLA]],Tabla152[[#This Row],[PRESENCIA DE RESTO FLORAL VERDE]],Tabla152[[#This Row],[PRESENCIA DE PEDÚNCULO]])/$X$10)</f>
        <v>0</v>
      </c>
      <c r="DZ22" s="16">
        <f>IF($X22="","",SUM(Tabla152[[#This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3" spans="1:130" x14ac:dyDescent="0.3">
      <c r="A23" s="9">
        <f>IF(W23="","",IF(ROW()=10,1,IF(W23=W22,A22,MAX($A$9:A22)+1)))</f>
        <v>5</v>
      </c>
      <c r="B23" s="9">
        <f>WEEKNUM(Tabla152[[#This Row],[FECHA DE COSECHA]],21)</f>
        <v>36</v>
      </c>
      <c r="C23" s="9"/>
      <c r="D23" s="17">
        <v>46267</v>
      </c>
      <c r="E23" s="17">
        <v>46267</v>
      </c>
      <c r="F23" s="9">
        <v>1</v>
      </c>
      <c r="G23" s="9" t="s">
        <v>77</v>
      </c>
      <c r="H23" s="9" t="s">
        <v>144</v>
      </c>
      <c r="I23" s="9" t="s">
        <v>134</v>
      </c>
      <c r="J23" s="9" t="s">
        <v>78</v>
      </c>
      <c r="K23" s="9" t="s">
        <v>153</v>
      </c>
      <c r="L23" s="9" t="s">
        <v>131</v>
      </c>
      <c r="M23" s="9" t="s">
        <v>239</v>
      </c>
      <c r="N23" s="9" t="s">
        <v>151</v>
      </c>
      <c r="O23" s="9" t="s">
        <v>244</v>
      </c>
      <c r="P23" s="9" t="s">
        <v>152</v>
      </c>
      <c r="Q23" s="9"/>
      <c r="R23" s="9">
        <v>8</v>
      </c>
      <c r="S23" s="9">
        <v>74547547</v>
      </c>
      <c r="T23" t="s">
        <v>232</v>
      </c>
      <c r="U23" s="9" t="s">
        <v>147</v>
      </c>
      <c r="V23" s="9"/>
      <c r="W23" s="19" t="s">
        <v>157</v>
      </c>
      <c r="X23" s="9">
        <v>61</v>
      </c>
      <c r="Y23" s="9">
        <v>2</v>
      </c>
      <c r="Z23" s="9">
        <v>5</v>
      </c>
      <c r="AA23" s="9" t="str">
        <f>IF(Tabla152[[#This Row],[NOTA]]=15,"CUMPLE","NO CUMPLE")</f>
        <v>NO CUMPLE</v>
      </c>
      <c r="AB23" s="9" t="str">
        <f>IF(COUNTIF($A$10:A23,A23)=1,IF(COUNTIFS($A:$A,A23,$AA:$AA,"NO CUMPLE")&gt;0,"NO CUMPLE","CUMPLE"),"")</f>
        <v/>
      </c>
      <c r="AC23" s="9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18"/>
      <c r="BX23" s="18">
        <f>IF($X23="","",AE23/$X$10)</f>
        <v>0</v>
      </c>
      <c r="BY23" s="18">
        <f>IF($X23="","",AF23/$X$10)</f>
        <v>0</v>
      </c>
      <c r="BZ23" s="18">
        <f>IF($X23="","",AG23/$X$10)</f>
        <v>0</v>
      </c>
      <c r="CA23" s="18">
        <f>IF($X23="","",AH23/$X$10)</f>
        <v>0</v>
      </c>
      <c r="CB23" s="18">
        <f t="shared" si="2"/>
        <v>0</v>
      </c>
      <c r="CC23" s="18">
        <f>IF($X23="","",AJ23/$X$10)</f>
        <v>0</v>
      </c>
      <c r="CD23" s="18">
        <f>IF($X23="","",AK23/$X$10)</f>
        <v>0</v>
      </c>
      <c r="CE23" s="18">
        <f>IF($X23="","",AL23/$X$10)</f>
        <v>0</v>
      </c>
      <c r="CF23" s="18">
        <f>IF($X23="","",AM23/$X$10)</f>
        <v>0</v>
      </c>
      <c r="CG23" s="18">
        <f>IF($X23="","",AN23/$X$10)</f>
        <v>0</v>
      </c>
      <c r="CH23" s="18">
        <f>IF($X23="","",AO23/$X$10)</f>
        <v>0</v>
      </c>
      <c r="CI23" s="18">
        <f>IF($X23="","",AP23/$X$10)</f>
        <v>0</v>
      </c>
      <c r="CJ23" s="18">
        <f>IF($X23="","",AQ23/$X$10)</f>
        <v>0</v>
      </c>
      <c r="CK23" s="18">
        <f>IF($X23="","",AR23/$X$10)</f>
        <v>0</v>
      </c>
      <c r="CL23" s="18">
        <f>IF($X23="","",AS23/$X$10)</f>
        <v>0</v>
      </c>
      <c r="CM23" s="18">
        <f>IF($X23="","",AT23/$X$10)</f>
        <v>0</v>
      </c>
      <c r="CN23" s="18">
        <f>IF($X23="","",AU23/$X$10)</f>
        <v>0</v>
      </c>
      <c r="CO23" s="18">
        <f>IF($X23="","",AV23/$X$10)</f>
        <v>0</v>
      </c>
      <c r="CP23" s="18">
        <f>IF($X23="","",AW23/$X$10)</f>
        <v>0</v>
      </c>
      <c r="CQ23" s="18">
        <f>IF($X23="","",AX23/$X$10)</f>
        <v>0</v>
      </c>
      <c r="CR23" s="18">
        <f>IF($X23="","",AY23/$X$10)</f>
        <v>0</v>
      </c>
      <c r="CS23" s="18">
        <f>IF($X23="","",AZ23/$X$10)</f>
        <v>0</v>
      </c>
      <c r="CT23" s="18">
        <f>IF($X23="","",BA23/$X$10)</f>
        <v>0</v>
      </c>
      <c r="CU23" s="18">
        <f>IF($X23="","",BB23/$X$10)</f>
        <v>0</v>
      </c>
      <c r="CV23" s="18">
        <f>IF($X23="","",BC23/$X$10)</f>
        <v>0</v>
      </c>
      <c r="CW23" s="18">
        <f>IF($X23="","",BD23/$X$10)</f>
        <v>0</v>
      </c>
      <c r="CX23" s="18">
        <f>IF($X23="","",BE23/$X$10)</f>
        <v>0</v>
      </c>
      <c r="CY23" s="18">
        <f>IF($X23="","",BF23/$X$10)</f>
        <v>0</v>
      </c>
      <c r="CZ23" s="18">
        <f>IF($X23="","",BG23/$X$10)</f>
        <v>0</v>
      </c>
      <c r="DA23" s="18">
        <f>IF($X23="","",BH23/$X$10)</f>
        <v>0</v>
      </c>
      <c r="DB23" s="18">
        <f>IF($X23="","",BI23/$X$10)</f>
        <v>0</v>
      </c>
      <c r="DC23" s="18">
        <f>IF($X23="","",BJ23/$X$10)</f>
        <v>0</v>
      </c>
      <c r="DD23" s="18">
        <f>IF($X23="","",BK23/$X$10)</f>
        <v>0</v>
      </c>
      <c r="DE23" s="18">
        <f>IF($X23="","",BL23/$X$10)</f>
        <v>0</v>
      </c>
      <c r="DF23" s="18">
        <f>IF($X23="","",BM23/$X$10)</f>
        <v>0</v>
      </c>
      <c r="DG23" s="18">
        <f t="shared" si="3"/>
        <v>0</v>
      </c>
      <c r="DH23" s="18">
        <f>IF($X23="","",BO23/$X$10)</f>
        <v>0</v>
      </c>
      <c r="DI23" s="18">
        <f>IF($X23="","",BP23/$X$10)</f>
        <v>0</v>
      </c>
      <c r="DJ23" s="18">
        <f>IF($X23="","",BQ23/$X$10)</f>
        <v>0</v>
      </c>
      <c r="DK23" s="18">
        <f>IF($X23="","",BR23/$X$10)</f>
        <v>0</v>
      </c>
      <c r="DL23" s="18">
        <f>IF($X23="","",BS23/$X$10)</f>
        <v>0</v>
      </c>
      <c r="DM23" s="18">
        <f>IF($X23="","",BT23/$X$10)</f>
        <v>0</v>
      </c>
      <c r="DN23" s="18">
        <f t="shared" si="5"/>
        <v>0</v>
      </c>
      <c r="DO23" s="16">
        <f>IF($X23="","",SUM(Tabla152[[#This Row],[PODRIDO]],Tabla152[[#This Row],[HONGO]],Tabla152[[#This Row],[PICADO DE AVE CON PUDRICIÓN]],Tabla152[[#This Row],[FUMAGINA]])/$X$10)</f>
        <v>0</v>
      </c>
      <c r="DP23" s="16">
        <f>IF($X23="","",SUM(Tabla152[[#This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3" s="16">
        <f>IF($X23="","",SUM(Tabla152[[#This Row],[BLANDO]:[COLAPSADO]])/$X$10)</f>
        <v>0</v>
      </c>
      <c r="DR23" s="16">
        <f>IF($X23="","",SUM(Tabla152[[#This Row],[DESHIDRATADO LEVE]:[DESHIDRATADO INMADURO]])/$X$10)</f>
        <v>0</v>
      </c>
      <c r="DS23" s="18">
        <f t="shared" si="1"/>
        <v>0</v>
      </c>
      <c r="DT23" s="16">
        <f>IF($X23="","",SUM(Tabla152[[#This Row],[PRESENCIA DE LARVA]],Tabla152[[#This Row],[CHANCHITO BLANCO]])/$X$10)</f>
        <v>0</v>
      </c>
      <c r="DU23" s="18">
        <f>IF($X23="","",SUM(Tabla152[[#This Row],[ROJO GRADO 2 A MÁS]],Tabla152[[#This Row],[IMMADURO VERDE]],Tabla152[[#This Row],[DESORDEN POR MADURACIÓN]],Tabla152[[#This Row],[ARO PEDICELAR VERDE EXTREMO]])/$X$10)</f>
        <v>0</v>
      </c>
      <c r="DV23" s="16">
        <f>IF($X23="","",SUM(Tabla152[[#This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3" s="16">
        <f>IF($X23="","",BU23/$X$10)</f>
        <v>0</v>
      </c>
      <c r="DX23" s="16">
        <f>IF($X23="","",AJ23/$X$10)</f>
        <v>0</v>
      </c>
      <c r="DY23" s="16">
        <f>IF($X23="","",SUM(Tabla152[[#This Row],[PRESENCIA DE COROLA]],Tabla152[[#This Row],[PRESENCIA DE RESTO FLORAL VERDE]],Tabla152[[#This Row],[PRESENCIA DE PEDÚNCULO]])/$X$10)</f>
        <v>0</v>
      </c>
      <c r="DZ23" s="16">
        <f>IF($X23="","",SUM(Tabla152[[#This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4" spans="1:130" x14ac:dyDescent="0.3">
      <c r="A24" s="9">
        <f>IF(W24="","",IF(ROW()=10,1,IF(W24=W23,A23,MAX($A$9:A23)+1)))</f>
        <v>5</v>
      </c>
      <c r="B24" s="9">
        <f>WEEKNUM(Tabla152[[#This Row],[FECHA DE COSECHA]],21)</f>
        <v>36</v>
      </c>
      <c r="C24" s="9"/>
      <c r="D24" s="17">
        <v>46267</v>
      </c>
      <c r="E24" s="17">
        <v>46267</v>
      </c>
      <c r="F24" s="9">
        <v>1</v>
      </c>
      <c r="G24" s="9" t="s">
        <v>77</v>
      </c>
      <c r="H24" s="9" t="s">
        <v>144</v>
      </c>
      <c r="I24" s="9" t="s">
        <v>134</v>
      </c>
      <c r="J24" s="9" t="s">
        <v>78</v>
      </c>
      <c r="K24" s="9" t="s">
        <v>153</v>
      </c>
      <c r="L24" s="9" t="s">
        <v>131</v>
      </c>
      <c r="M24" s="9" t="s">
        <v>239</v>
      </c>
      <c r="N24" s="9" t="s">
        <v>151</v>
      </c>
      <c r="O24" s="9" t="s">
        <v>244</v>
      </c>
      <c r="P24" s="9" t="s">
        <v>152</v>
      </c>
      <c r="Q24" s="9"/>
      <c r="R24" s="9">
        <v>8</v>
      </c>
      <c r="S24" s="9">
        <v>74547547</v>
      </c>
      <c r="T24" t="s">
        <v>232</v>
      </c>
      <c r="U24" s="9" t="s">
        <v>147</v>
      </c>
      <c r="V24" s="9"/>
      <c r="W24" s="19" t="s">
        <v>157</v>
      </c>
      <c r="X24" s="9">
        <v>61</v>
      </c>
      <c r="Y24" s="9">
        <v>3</v>
      </c>
      <c r="Z24" s="9">
        <v>5</v>
      </c>
      <c r="AA24" s="9" t="str">
        <f>IF(Tabla152[[#This Row],[NOTA]]=15,"CUMPLE","NO CUMPLE")</f>
        <v>NO CUMPLE</v>
      </c>
      <c r="AB24" s="9" t="str">
        <f>IF(COUNTIF($A$10:A24,A24)=1,IF(COUNTIFS($A:$A,A24,$AA:$AA,"NO CUMPLE")&gt;0,"NO CUMPLE","CUMPLE"),"")</f>
        <v/>
      </c>
      <c r="AC24" s="9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7"/>
      <c r="AR24" s="7">
        <v>2</v>
      </c>
      <c r="AS24" s="7"/>
      <c r="AT24" s="7"/>
      <c r="AU24" s="7"/>
      <c r="AV24" s="7"/>
      <c r="AW24" s="7">
        <v>1</v>
      </c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18"/>
      <c r="BX24" s="18">
        <f>IF($X24="","",AE24/$X$10)</f>
        <v>0</v>
      </c>
      <c r="BY24" s="18">
        <f>IF($X24="","",AF24/$X$10)</f>
        <v>0</v>
      </c>
      <c r="BZ24" s="18">
        <f>IF($X24="","",AG24/$X$10)</f>
        <v>0</v>
      </c>
      <c r="CA24" s="18">
        <f>IF($X24="","",AH24/$X$10)</f>
        <v>0</v>
      </c>
      <c r="CB24" s="18">
        <f t="shared" si="2"/>
        <v>0</v>
      </c>
      <c r="CC24" s="18">
        <f>IF($X24="","",AJ24/$X$10)</f>
        <v>0</v>
      </c>
      <c r="CD24" s="18">
        <f>IF($X24="","",AK24/$X$10)</f>
        <v>0</v>
      </c>
      <c r="CE24" s="18">
        <f>IF($X24="","",AL24/$X$10)</f>
        <v>0</v>
      </c>
      <c r="CF24" s="18">
        <f>IF($X24="","",AM24/$X$10)</f>
        <v>0</v>
      </c>
      <c r="CG24" s="18">
        <f>IF($X24="","",AN24/$X$10)</f>
        <v>0</v>
      </c>
      <c r="CH24" s="18">
        <f>IF($X24="","",AO24/$X$10)</f>
        <v>0</v>
      </c>
      <c r="CI24" s="18">
        <f>IF($X24="","",AP24/$X$10)</f>
        <v>0</v>
      </c>
      <c r="CJ24" s="18">
        <f>IF($X24="","",AQ24/$X$10)</f>
        <v>0</v>
      </c>
      <c r="CK24" s="18">
        <f>IF($X24="","",AR24/$X$10)</f>
        <v>3.1746031746031744E-2</v>
      </c>
      <c r="CL24" s="18">
        <f>IF($X24="","",AS24/$X$10)</f>
        <v>0</v>
      </c>
      <c r="CM24" s="18">
        <f>IF($X24="","",AT24/$X$10)</f>
        <v>0</v>
      </c>
      <c r="CN24" s="18">
        <f>IF($X24="","",AU24/$X$10)</f>
        <v>0</v>
      </c>
      <c r="CO24" s="18">
        <f>IF($X24="","",AV24/$X$10)</f>
        <v>0</v>
      </c>
      <c r="CP24" s="18">
        <f>IF($X24="","",AW24/$X$10)</f>
        <v>1.5873015873015872E-2</v>
      </c>
      <c r="CQ24" s="18">
        <f>IF($X24="","",AX24/$X$10)</f>
        <v>0</v>
      </c>
      <c r="CR24" s="18">
        <f>IF($X24="","",AY24/$X$10)</f>
        <v>0</v>
      </c>
      <c r="CS24" s="18">
        <f>IF($X24="","",AZ24/$X$10)</f>
        <v>0</v>
      </c>
      <c r="CT24" s="18">
        <f>IF($X24="","",BA24/$X$10)</f>
        <v>0</v>
      </c>
      <c r="CU24" s="18">
        <f>IF($X24="","",BB24/$X$10)</f>
        <v>0</v>
      </c>
      <c r="CV24" s="18">
        <f>IF($X24="","",BC24/$X$10)</f>
        <v>0</v>
      </c>
      <c r="CW24" s="18">
        <f>IF($X24="","",BD24/$X$10)</f>
        <v>0</v>
      </c>
      <c r="CX24" s="18">
        <f>IF($X24="","",BE24/$X$10)</f>
        <v>0</v>
      </c>
      <c r="CY24" s="18">
        <f>IF($X24="","",BF24/$X$10)</f>
        <v>0</v>
      </c>
      <c r="CZ24" s="18">
        <f>IF($X24="","",BG24/$X$10)</f>
        <v>0</v>
      </c>
      <c r="DA24" s="18">
        <f>IF($X24="","",BH24/$X$10)</f>
        <v>0</v>
      </c>
      <c r="DB24" s="18">
        <f>IF($X24="","",BI24/$X$10)</f>
        <v>0</v>
      </c>
      <c r="DC24" s="18">
        <f>IF($X24="","",BJ24/$X$10)</f>
        <v>0</v>
      </c>
      <c r="DD24" s="18">
        <f>IF($X24="","",BK24/$X$10)</f>
        <v>0</v>
      </c>
      <c r="DE24" s="18">
        <f>IF($X24="","",BL24/$X$10)</f>
        <v>0</v>
      </c>
      <c r="DF24" s="18">
        <f>IF($X24="","",BM24/$X$10)</f>
        <v>0</v>
      </c>
      <c r="DG24" s="18">
        <f t="shared" si="3"/>
        <v>0</v>
      </c>
      <c r="DH24" s="18">
        <f>IF($X24="","",BO24/$X$10)</f>
        <v>0</v>
      </c>
      <c r="DI24" s="18">
        <f>IF($X24="","",BP24/$X$10)</f>
        <v>0</v>
      </c>
      <c r="DJ24" s="18">
        <f>IF($X24="","",BQ24/$X$10)</f>
        <v>0</v>
      </c>
      <c r="DK24" s="18">
        <f>IF($X24="","",BR24/$X$10)</f>
        <v>0</v>
      </c>
      <c r="DL24" s="18">
        <f>IF($X24="","",BS24/$X$10)</f>
        <v>0</v>
      </c>
      <c r="DM24" s="18">
        <f>IF($X24="","",BT24/$X$10)</f>
        <v>0</v>
      </c>
      <c r="DN24" s="18">
        <f t="shared" si="5"/>
        <v>0</v>
      </c>
      <c r="DO24" s="16">
        <f>IF($X24="","",SUM(Tabla152[[#This Row],[PODRIDO]],Tabla152[[#This Row],[HONGO]],Tabla152[[#This Row],[PICADO DE AVE CON PUDRICIÓN]],Tabla152[[#This Row],[FUMAGINA]])/$X$10)</f>
        <v>0</v>
      </c>
      <c r="DP24" s="16">
        <f>IF($X24="","",SUM(Tabla152[[#This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1.5873015873015872E-2</v>
      </c>
      <c r="DQ24" s="16">
        <f>IF($X24="","",SUM(Tabla152[[#This Row],[BLANDO]:[COLAPSADO]])/$X$10)</f>
        <v>0</v>
      </c>
      <c r="DR24" s="16">
        <f>IF($X24="","",SUM(Tabla152[[#This Row],[DESHIDRATADO LEVE]:[DESHIDRATADO INMADURO]])/$X$10)</f>
        <v>3.1746031746031744E-2</v>
      </c>
      <c r="DS24" s="18">
        <f t="shared" si="1"/>
        <v>0</v>
      </c>
      <c r="DT24" s="16">
        <f>IF($X24="","",SUM(Tabla152[[#This Row],[PRESENCIA DE LARVA]],Tabla152[[#This Row],[CHANCHITO BLANCO]])/$X$10)</f>
        <v>0</v>
      </c>
      <c r="DU24" s="18">
        <f>IF($X24="","",SUM(Tabla152[[#This Row],[ROJO GRADO 2 A MÁS]],Tabla152[[#This Row],[IMMADURO VERDE]],Tabla152[[#This Row],[DESORDEN POR MADURACIÓN]],Tabla152[[#This Row],[ARO PEDICELAR VERDE EXTREMO]])/$X$10)</f>
        <v>0</v>
      </c>
      <c r="DV24" s="16">
        <f>IF($X24="","",SUM(Tabla152[[#This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4" s="16">
        <f>IF($X24="","",BU24/$X$10)</f>
        <v>0</v>
      </c>
      <c r="DX24" s="16">
        <f>IF($X24="","",AJ24/$X$10)</f>
        <v>0</v>
      </c>
      <c r="DY24" s="16">
        <f>IF($X24="","",SUM(Tabla152[[#This Row],[PRESENCIA DE COROLA]],Tabla152[[#This Row],[PRESENCIA DE RESTO FLORAL VERDE]],Tabla152[[#This Row],[PRESENCIA DE PEDÚNCULO]])/$X$10)</f>
        <v>0</v>
      </c>
      <c r="DZ24" s="16">
        <f>IF($X24="","",SUM(Tabla152[[#This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5" spans="1:130" x14ac:dyDescent="0.3">
      <c r="A25" s="9">
        <f>IF(W25="","",IF(ROW()=10,1,IF(W25=W24,A24,MAX($A$9:A24)+1)))</f>
        <v>6</v>
      </c>
      <c r="B25" s="9">
        <f>WEEKNUM(Tabla152[[#This Row],[FECHA DE COSECHA]],21)</f>
        <v>36</v>
      </c>
      <c r="C25" s="9"/>
      <c r="D25" s="17">
        <v>46267</v>
      </c>
      <c r="E25" s="17">
        <v>46267</v>
      </c>
      <c r="F25" s="9">
        <v>1</v>
      </c>
      <c r="G25" s="9" t="s">
        <v>77</v>
      </c>
      <c r="H25" s="9" t="s">
        <v>144</v>
      </c>
      <c r="I25" s="9" t="s">
        <v>134</v>
      </c>
      <c r="J25" s="9" t="s">
        <v>78</v>
      </c>
      <c r="K25" s="9" t="s">
        <v>153</v>
      </c>
      <c r="L25" s="9" t="s">
        <v>131</v>
      </c>
      <c r="M25" s="9" t="s">
        <v>239</v>
      </c>
      <c r="N25" s="9" t="s">
        <v>151</v>
      </c>
      <c r="O25" s="9" t="s">
        <v>244</v>
      </c>
      <c r="P25" s="9" t="s">
        <v>152</v>
      </c>
      <c r="Q25" s="9"/>
      <c r="R25" s="9">
        <v>8</v>
      </c>
      <c r="S25" s="9">
        <v>74547547</v>
      </c>
      <c r="T25" t="s">
        <v>232</v>
      </c>
      <c r="U25" s="9" t="s">
        <v>147</v>
      </c>
      <c r="V25" s="9"/>
      <c r="W25" s="19" t="s">
        <v>158</v>
      </c>
      <c r="X25" s="9">
        <v>61</v>
      </c>
      <c r="Y25" s="9">
        <v>1</v>
      </c>
      <c r="Z25" s="9">
        <v>5</v>
      </c>
      <c r="AA25" s="9" t="str">
        <f>IF(Tabla152[[#This Row],[NOTA]]=15,"CUMPLE","NO CUMPLE")</f>
        <v>NO CUMPLE</v>
      </c>
      <c r="AB25" s="9" t="str">
        <f>IF(COUNTIF($A$10:A25,A25)=1,IF(COUNTIFS($A:$A,A25,$AA:$AA,"NO CUMPLE")&gt;0,"NO CUMPLE","CUMPLE"),"")</f>
        <v>NO CUMPLE</v>
      </c>
      <c r="AC25" s="9" t="s">
        <v>140</v>
      </c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7"/>
      <c r="AR25" s="7">
        <v>1</v>
      </c>
      <c r="AS25" s="7"/>
      <c r="AT25" s="7"/>
      <c r="AU25" s="7"/>
      <c r="AV25" s="7"/>
      <c r="AW25" s="7">
        <v>1</v>
      </c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18"/>
      <c r="BX25" s="18">
        <f>IF($X25="","",AE25/$X$10)</f>
        <v>0</v>
      </c>
      <c r="BY25" s="18">
        <f>IF($X25="","",AF25/$X$10)</f>
        <v>0</v>
      </c>
      <c r="BZ25" s="18">
        <f>IF($X25="","",AG25/$X$10)</f>
        <v>0</v>
      </c>
      <c r="CA25" s="18">
        <f>IF($X25="","",AH25/$X$10)</f>
        <v>0</v>
      </c>
      <c r="CB25" s="18">
        <f t="shared" si="2"/>
        <v>0</v>
      </c>
      <c r="CC25" s="18">
        <f>IF($X25="","",AJ25/$X$10)</f>
        <v>0</v>
      </c>
      <c r="CD25" s="18">
        <f>IF($X25="","",AK25/$X$10)</f>
        <v>0</v>
      </c>
      <c r="CE25" s="18">
        <f>IF($X25="","",AL25/$X$10)</f>
        <v>0</v>
      </c>
      <c r="CF25" s="18">
        <f>IF($X25="","",AM25/$X$10)</f>
        <v>0</v>
      </c>
      <c r="CG25" s="18">
        <f>IF($X25="","",AN25/$X$10)</f>
        <v>0</v>
      </c>
      <c r="CH25" s="18">
        <f>IF($X25="","",AO25/$X$10)</f>
        <v>0</v>
      </c>
      <c r="CI25" s="18">
        <f>IF($X25="","",AP25/$X$10)</f>
        <v>0</v>
      </c>
      <c r="CJ25" s="18">
        <f>IF($X25="","",AQ25/$X$10)</f>
        <v>0</v>
      </c>
      <c r="CK25" s="18">
        <f>IF($X25="","",AR25/$X$10)</f>
        <v>1.5873015873015872E-2</v>
      </c>
      <c r="CL25" s="18">
        <f>IF($X25="","",AS25/$X$10)</f>
        <v>0</v>
      </c>
      <c r="CM25" s="18">
        <f>IF($X25="","",AT25/$X$10)</f>
        <v>0</v>
      </c>
      <c r="CN25" s="18">
        <f>IF($X25="","",AU25/$X$10)</f>
        <v>0</v>
      </c>
      <c r="CO25" s="18">
        <f>IF($X25="","",AV25/$X$10)</f>
        <v>0</v>
      </c>
      <c r="CP25" s="18">
        <f>IF($X25="","",AW25/$X$10)</f>
        <v>1.5873015873015872E-2</v>
      </c>
      <c r="CQ25" s="18">
        <f>IF($X25="","",AX25/$X$10)</f>
        <v>0</v>
      </c>
      <c r="CR25" s="18">
        <f>IF($X25="","",AY25/$X$10)</f>
        <v>0</v>
      </c>
      <c r="CS25" s="18">
        <f>IF($X25="","",AZ25/$X$10)</f>
        <v>0</v>
      </c>
      <c r="CT25" s="18">
        <f>IF($X25="","",BA25/$X$10)</f>
        <v>0</v>
      </c>
      <c r="CU25" s="18">
        <f>IF($X25="","",BB25/$X$10)</f>
        <v>0</v>
      </c>
      <c r="CV25" s="18">
        <f>IF($X25="","",BC25/$X$10)</f>
        <v>0</v>
      </c>
      <c r="CW25" s="18">
        <f>IF($X25="","",BD25/$X$10)</f>
        <v>0</v>
      </c>
      <c r="CX25" s="18">
        <f>IF($X25="","",BE25/$X$10)</f>
        <v>0</v>
      </c>
      <c r="CY25" s="18">
        <f>IF($X25="","",BF25/$X$10)</f>
        <v>0</v>
      </c>
      <c r="CZ25" s="18">
        <f>IF($X25="","",BG25/$X$10)</f>
        <v>0</v>
      </c>
      <c r="DA25" s="18">
        <f>IF($X25="","",BH25/$X$10)</f>
        <v>0</v>
      </c>
      <c r="DB25" s="18">
        <f>IF($X25="","",BI25/$X$10)</f>
        <v>0</v>
      </c>
      <c r="DC25" s="18">
        <f>IF($X25="","",BJ25/$X$10)</f>
        <v>0</v>
      </c>
      <c r="DD25" s="18">
        <f>IF($X25="","",BK25/$X$10)</f>
        <v>0</v>
      </c>
      <c r="DE25" s="18">
        <f>IF($X25="","",BL25/$X$10)</f>
        <v>0</v>
      </c>
      <c r="DF25" s="18">
        <f>IF($X25="","",BM25/$X$10)</f>
        <v>0</v>
      </c>
      <c r="DG25" s="18">
        <f t="shared" si="3"/>
        <v>0</v>
      </c>
      <c r="DH25" s="18">
        <f>IF($X25="","",BO25/$X$10)</f>
        <v>0</v>
      </c>
      <c r="DI25" s="18">
        <f>IF($X25="","",BP25/$X$10)</f>
        <v>0</v>
      </c>
      <c r="DJ25" s="18">
        <f>IF($X25="","",BQ25/$X$10)</f>
        <v>0</v>
      </c>
      <c r="DK25" s="18">
        <f>IF($X25="","",BR25/$X$10)</f>
        <v>0</v>
      </c>
      <c r="DL25" s="18">
        <f>IF($X25="","",BS25/$X$10)</f>
        <v>0</v>
      </c>
      <c r="DM25" s="18">
        <f>IF($X25="","",BT25/$X$10)</f>
        <v>0</v>
      </c>
      <c r="DN25" s="18">
        <f t="shared" si="5"/>
        <v>0</v>
      </c>
      <c r="DO25" s="16">
        <f>IF($X25="","",SUM(Tabla152[[#This Row],[PODRIDO]],Tabla152[[#This Row],[HONGO]],Tabla152[[#This Row],[PICADO DE AVE CON PUDRICIÓN]],Tabla152[[#This Row],[FUMAGINA]])/$X$10)</f>
        <v>0</v>
      </c>
      <c r="DP25" s="16">
        <f>IF($X25="","",SUM(Tabla152[[#This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1.5873015873015872E-2</v>
      </c>
      <c r="DQ25" s="16">
        <f>IF($X25="","",SUM(Tabla152[[#This Row],[BLANDO]:[COLAPSADO]])/$X$10)</f>
        <v>0</v>
      </c>
      <c r="DR25" s="16">
        <f>IF($X25="","",SUM(Tabla152[[#This Row],[DESHIDRATADO LEVE]:[DESHIDRATADO INMADURO]])/$X$10)</f>
        <v>1.5873015873015872E-2</v>
      </c>
      <c r="DS25" s="18">
        <f t="shared" si="1"/>
        <v>0</v>
      </c>
      <c r="DT25" s="16">
        <f>IF($X25="","",SUM(Tabla152[[#This Row],[PRESENCIA DE LARVA]],Tabla152[[#This Row],[CHANCHITO BLANCO]])/$X$10)</f>
        <v>0</v>
      </c>
      <c r="DU25" s="18">
        <f>IF($X25="","",SUM(Tabla152[[#This Row],[ROJO GRADO 2 A MÁS]],Tabla152[[#This Row],[IMMADURO VERDE]],Tabla152[[#This Row],[DESORDEN POR MADURACIÓN]],Tabla152[[#This Row],[ARO PEDICELAR VERDE EXTREMO]])/$X$10)</f>
        <v>0</v>
      </c>
      <c r="DV25" s="16">
        <f>IF($X25="","",SUM(Tabla152[[#This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5" s="16">
        <f>IF($X25="","",BU25/$X$10)</f>
        <v>0</v>
      </c>
      <c r="DX25" s="16">
        <f>IF($X25="","",AJ25/$X$10)</f>
        <v>0</v>
      </c>
      <c r="DY25" s="16">
        <f>IF($X25="","",SUM(Tabla152[[#This Row],[PRESENCIA DE COROLA]],Tabla152[[#This Row],[PRESENCIA DE RESTO FLORAL VERDE]],Tabla152[[#This Row],[PRESENCIA DE PEDÚNCULO]])/$X$10)</f>
        <v>0</v>
      </c>
      <c r="DZ25" s="16">
        <f>IF($X25="","",SUM(Tabla152[[#This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6" spans="1:130" x14ac:dyDescent="0.3">
      <c r="A26" s="9">
        <f>IF(W26="","",IF(ROW()=10,1,IF(W26=W25,A25,MAX($A$9:A25)+1)))</f>
        <v>6</v>
      </c>
      <c r="B26" s="9">
        <f>WEEKNUM(Tabla152[[#This Row],[FECHA DE COSECHA]],21)</f>
        <v>36</v>
      </c>
      <c r="C26" s="9"/>
      <c r="D26" s="17">
        <v>46267</v>
      </c>
      <c r="E26" s="17">
        <v>46267</v>
      </c>
      <c r="F26" s="9">
        <v>1</v>
      </c>
      <c r="G26" s="9" t="s">
        <v>77</v>
      </c>
      <c r="H26" s="9" t="s">
        <v>144</v>
      </c>
      <c r="I26" s="9" t="s">
        <v>134</v>
      </c>
      <c r="J26" s="9" t="s">
        <v>78</v>
      </c>
      <c r="K26" s="9" t="s">
        <v>153</v>
      </c>
      <c r="L26" s="9" t="s">
        <v>131</v>
      </c>
      <c r="M26" s="9" t="s">
        <v>239</v>
      </c>
      <c r="N26" s="9" t="s">
        <v>151</v>
      </c>
      <c r="O26" s="9" t="s">
        <v>244</v>
      </c>
      <c r="P26" s="9" t="s">
        <v>152</v>
      </c>
      <c r="Q26" s="9"/>
      <c r="R26" s="9">
        <v>8</v>
      </c>
      <c r="S26" s="9">
        <v>74547547</v>
      </c>
      <c r="T26" t="s">
        <v>232</v>
      </c>
      <c r="U26" s="9" t="s">
        <v>147</v>
      </c>
      <c r="V26" s="9"/>
      <c r="W26" s="19" t="s">
        <v>158</v>
      </c>
      <c r="X26" s="9">
        <v>61</v>
      </c>
      <c r="Y26" s="9">
        <v>2</v>
      </c>
      <c r="Z26" s="9">
        <v>5</v>
      </c>
      <c r="AA26" s="9" t="str">
        <f>IF(Tabla152[[#This Row],[NOTA]]=15,"CUMPLE","NO CUMPLE")</f>
        <v>NO CUMPLE</v>
      </c>
      <c r="AB26" s="9" t="str">
        <f>IF(COUNTIF($A$10:A26,A26)=1,IF(COUNTIFS($A:$A,A26,$AA:$AA,"NO CUMPLE")&gt;0,"NO CUMPLE","CUMPLE"),"")</f>
        <v/>
      </c>
      <c r="AC26" s="9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7"/>
      <c r="AR26" s="7">
        <v>2</v>
      </c>
      <c r="AS26" s="7"/>
      <c r="AT26" s="7"/>
      <c r="AU26" s="7"/>
      <c r="AV26" s="7"/>
      <c r="AW26" s="7">
        <v>2</v>
      </c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18"/>
      <c r="BX26" s="18">
        <f>IF($X26="","",AE26/$X$10)</f>
        <v>0</v>
      </c>
      <c r="BY26" s="18">
        <f>IF($X26="","",AF26/$X$10)</f>
        <v>0</v>
      </c>
      <c r="BZ26" s="18">
        <f>IF($X26="","",AG26/$X$10)</f>
        <v>0</v>
      </c>
      <c r="CA26" s="18">
        <f>IF($X26="","",AH26/$X$10)</f>
        <v>0</v>
      </c>
      <c r="CB26" s="18">
        <f t="shared" si="2"/>
        <v>0</v>
      </c>
      <c r="CC26" s="18">
        <f>IF($X26="","",AJ26/$X$10)</f>
        <v>0</v>
      </c>
      <c r="CD26" s="18">
        <f>IF($X26="","",AK26/$X$10)</f>
        <v>0</v>
      </c>
      <c r="CE26" s="18">
        <f>IF($X26="","",AL26/$X$10)</f>
        <v>0</v>
      </c>
      <c r="CF26" s="18">
        <f>IF($X26="","",AM26/$X$10)</f>
        <v>0</v>
      </c>
      <c r="CG26" s="18">
        <f>IF($X26="","",AN26/$X$10)</f>
        <v>0</v>
      </c>
      <c r="CH26" s="18">
        <f>IF($X26="","",AO26/$X$10)</f>
        <v>0</v>
      </c>
      <c r="CI26" s="18">
        <f>IF($X26="","",AP26/$X$10)</f>
        <v>0</v>
      </c>
      <c r="CJ26" s="18">
        <f>IF($X26="","",AQ26/$X$10)</f>
        <v>0</v>
      </c>
      <c r="CK26" s="18">
        <f>IF($X26="","",AR26/$X$10)</f>
        <v>3.1746031746031744E-2</v>
      </c>
      <c r="CL26" s="18">
        <f>IF($X26="","",AS26/$X$10)</f>
        <v>0</v>
      </c>
      <c r="CM26" s="18">
        <f>IF($X26="","",AT26/$X$10)</f>
        <v>0</v>
      </c>
      <c r="CN26" s="18">
        <f>IF($X26="","",AU26/$X$10)</f>
        <v>0</v>
      </c>
      <c r="CO26" s="18">
        <f>IF($X26="","",AV26/$X$10)</f>
        <v>0</v>
      </c>
      <c r="CP26" s="18">
        <f>IF($X26="","",AW26/$X$10)</f>
        <v>3.1746031746031744E-2</v>
      </c>
      <c r="CQ26" s="18">
        <f>IF($X26="","",AX26/$X$10)</f>
        <v>0</v>
      </c>
      <c r="CR26" s="18">
        <f>IF($X26="","",AY26/$X$10)</f>
        <v>0</v>
      </c>
      <c r="CS26" s="18">
        <f>IF($X26="","",AZ26/$X$10)</f>
        <v>0</v>
      </c>
      <c r="CT26" s="18">
        <f>IF($X26="","",BA26/$X$10)</f>
        <v>0</v>
      </c>
      <c r="CU26" s="18">
        <f>IF($X26="","",BB26/$X$10)</f>
        <v>0</v>
      </c>
      <c r="CV26" s="18">
        <f>IF($X26="","",BC26/$X$10)</f>
        <v>0</v>
      </c>
      <c r="CW26" s="18">
        <f>IF($X26="","",BD26/$X$10)</f>
        <v>0</v>
      </c>
      <c r="CX26" s="18">
        <f>IF($X26="","",BE26/$X$10)</f>
        <v>0</v>
      </c>
      <c r="CY26" s="18">
        <f>IF($X26="","",BF26/$X$10)</f>
        <v>0</v>
      </c>
      <c r="CZ26" s="18">
        <f>IF($X26="","",BG26/$X$10)</f>
        <v>0</v>
      </c>
      <c r="DA26" s="18">
        <f>IF($X26="","",BH26/$X$10)</f>
        <v>0</v>
      </c>
      <c r="DB26" s="18">
        <f>IF($X26="","",BI26/$X$10)</f>
        <v>0</v>
      </c>
      <c r="DC26" s="18">
        <f>IF($X26="","",BJ26/$X$10)</f>
        <v>0</v>
      </c>
      <c r="DD26" s="18">
        <f>IF($X26="","",BK26/$X$10)</f>
        <v>0</v>
      </c>
      <c r="DE26" s="18">
        <f>IF($X26="","",BL26/$X$10)</f>
        <v>0</v>
      </c>
      <c r="DF26" s="18">
        <f>IF($X26="","",BM26/$X$10)</f>
        <v>0</v>
      </c>
      <c r="DG26" s="18">
        <f t="shared" si="3"/>
        <v>0</v>
      </c>
      <c r="DH26" s="18">
        <f>IF($X26="","",BO26/$X$10)</f>
        <v>0</v>
      </c>
      <c r="DI26" s="18">
        <f>IF($X26="","",BP26/$X$10)</f>
        <v>0</v>
      </c>
      <c r="DJ26" s="18">
        <f>IF($X26="","",BQ26/$X$10)</f>
        <v>0</v>
      </c>
      <c r="DK26" s="18">
        <f>IF($X26="","",BR26/$X$10)</f>
        <v>0</v>
      </c>
      <c r="DL26" s="18">
        <f>IF($X26="","",BS26/$X$10)</f>
        <v>0</v>
      </c>
      <c r="DM26" s="18">
        <f>IF($X26="","",BT26/$X$10)</f>
        <v>0</v>
      </c>
      <c r="DN26" s="18">
        <f t="shared" si="5"/>
        <v>0</v>
      </c>
      <c r="DO26" s="16">
        <f>IF($X26="","",SUM(Tabla152[[#This Row],[PODRIDO]],Tabla152[[#This Row],[HONGO]],Tabla152[[#This Row],[PICADO DE AVE CON PUDRICIÓN]],Tabla152[[#This Row],[FUMAGINA]])/$X$10)</f>
        <v>0</v>
      </c>
      <c r="DP26" s="16">
        <f>IF($X26="","",SUM(Tabla152[[#This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26" s="16">
        <f>IF($X26="","",SUM(Tabla152[[#This Row],[BLANDO]:[COLAPSADO]])/$X$10)</f>
        <v>0</v>
      </c>
      <c r="DR26" s="16">
        <f>IF($X26="","",SUM(Tabla152[[#This Row],[DESHIDRATADO LEVE]:[DESHIDRATADO INMADURO]])/$X$10)</f>
        <v>3.1746031746031744E-2</v>
      </c>
      <c r="DS26" s="18">
        <f t="shared" si="1"/>
        <v>0</v>
      </c>
      <c r="DT26" s="16">
        <f>IF($X26="","",SUM(Tabla152[[#This Row],[PRESENCIA DE LARVA]],Tabla152[[#This Row],[CHANCHITO BLANCO]])/$X$10)</f>
        <v>0</v>
      </c>
      <c r="DU26" s="18">
        <f>IF($X26="","",SUM(Tabla152[[#This Row],[ROJO GRADO 2 A MÁS]],Tabla152[[#This Row],[IMMADURO VERDE]],Tabla152[[#This Row],[DESORDEN POR MADURACIÓN]],Tabla152[[#This Row],[ARO PEDICELAR VERDE EXTREMO]])/$X$10)</f>
        <v>0</v>
      </c>
      <c r="DV26" s="16">
        <f>IF($X26="","",SUM(Tabla152[[#This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6" s="16">
        <f>IF($X26="","",BU26/$X$10)</f>
        <v>0</v>
      </c>
      <c r="DX26" s="16">
        <f>IF($X26="","",AJ26/$X$10)</f>
        <v>0</v>
      </c>
      <c r="DY26" s="16">
        <f>IF($X26="","",SUM(Tabla152[[#This Row],[PRESENCIA DE COROLA]],Tabla152[[#This Row],[PRESENCIA DE RESTO FLORAL VERDE]],Tabla152[[#This Row],[PRESENCIA DE PEDÚNCULO]])/$X$10)</f>
        <v>0</v>
      </c>
      <c r="DZ26" s="16">
        <f>IF($X26="","",SUM(Tabla152[[#This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7" spans="1:130" x14ac:dyDescent="0.3">
      <c r="A27" s="9">
        <f>IF(W27="","",IF(ROW()=10,1,IF(W27=W26,A26,MAX($A$9:A26)+1)))</f>
        <v>6</v>
      </c>
      <c r="B27" s="9">
        <f>WEEKNUM(Tabla152[[#This Row],[FECHA DE COSECHA]],21)</f>
        <v>36</v>
      </c>
      <c r="C27" s="9"/>
      <c r="D27" s="17">
        <v>46267</v>
      </c>
      <c r="E27" s="17">
        <v>46267</v>
      </c>
      <c r="F27" s="9">
        <v>1</v>
      </c>
      <c r="G27" s="9" t="s">
        <v>77</v>
      </c>
      <c r="H27" s="9" t="s">
        <v>144</v>
      </c>
      <c r="I27" s="9" t="s">
        <v>134</v>
      </c>
      <c r="J27" s="9" t="s">
        <v>78</v>
      </c>
      <c r="K27" s="9" t="s">
        <v>153</v>
      </c>
      <c r="L27" s="9" t="s">
        <v>131</v>
      </c>
      <c r="M27" s="9" t="s">
        <v>239</v>
      </c>
      <c r="N27" s="9" t="s">
        <v>151</v>
      </c>
      <c r="O27" s="9" t="s">
        <v>244</v>
      </c>
      <c r="P27" s="9" t="s">
        <v>152</v>
      </c>
      <c r="Q27" s="9"/>
      <c r="R27" s="9">
        <v>8</v>
      </c>
      <c r="S27" s="9">
        <v>74547547</v>
      </c>
      <c r="T27" t="s">
        <v>232</v>
      </c>
      <c r="U27" s="9" t="s">
        <v>147</v>
      </c>
      <c r="V27" s="9"/>
      <c r="W27" s="19" t="s">
        <v>158</v>
      </c>
      <c r="X27" s="9">
        <v>61</v>
      </c>
      <c r="Y27" s="9">
        <v>3</v>
      </c>
      <c r="Z27" s="9">
        <v>5</v>
      </c>
      <c r="AA27" s="9" t="str">
        <f>IF(Tabla152[[#This Row],[NOTA]]=15,"CUMPLE","NO CUMPLE")</f>
        <v>NO CUMPLE</v>
      </c>
      <c r="AB27" s="9" t="str">
        <f>IF(COUNTIF($A$10:A27,A27)=1,IF(COUNTIFS($A:$A,A27,$AA:$AA,"NO CUMPLE")&gt;0,"NO CUMPLE","CUMPLE"),"")</f>
        <v/>
      </c>
      <c r="AC27" s="9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7"/>
      <c r="AR27" s="7"/>
      <c r="AS27" s="7"/>
      <c r="AT27" s="7"/>
      <c r="AU27" s="7"/>
      <c r="AV27" s="7"/>
      <c r="AW27" s="7"/>
      <c r="AX27" s="7"/>
      <c r="AY27" s="7"/>
      <c r="AZ27" s="7">
        <v>3</v>
      </c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18"/>
      <c r="BX27" s="18">
        <f>IF($X27="","",AE27/$X$10)</f>
        <v>0</v>
      </c>
      <c r="BY27" s="18">
        <f>IF($X27="","",AF27/$X$10)</f>
        <v>0</v>
      </c>
      <c r="BZ27" s="18">
        <f>IF($X27="","",AG27/$X$10)</f>
        <v>0</v>
      </c>
      <c r="CA27" s="18">
        <f>IF($X27="","",AH27/$X$10)</f>
        <v>0</v>
      </c>
      <c r="CB27" s="18">
        <f t="shared" si="2"/>
        <v>0</v>
      </c>
      <c r="CC27" s="18">
        <f>IF($X27="","",AJ27/$X$10)</f>
        <v>0</v>
      </c>
      <c r="CD27" s="18">
        <f>IF($X27="","",AK27/$X$10)</f>
        <v>0</v>
      </c>
      <c r="CE27" s="18">
        <f>IF($X27="","",AL27/$X$10)</f>
        <v>0</v>
      </c>
      <c r="CF27" s="18">
        <f>IF($X27="","",AM27/$X$10)</f>
        <v>0</v>
      </c>
      <c r="CG27" s="18">
        <f>IF($X27="","",AN27/$X$10)</f>
        <v>0</v>
      </c>
      <c r="CH27" s="18">
        <f>IF($X27="","",AO27/$X$10)</f>
        <v>0</v>
      </c>
      <c r="CI27" s="18">
        <f>IF($X27="","",AP27/$X$10)</f>
        <v>0</v>
      </c>
      <c r="CJ27" s="18">
        <f>IF($X27="","",AQ27/$X$10)</f>
        <v>0</v>
      </c>
      <c r="CK27" s="18">
        <f>IF($X27="","",AR27/$X$10)</f>
        <v>0</v>
      </c>
      <c r="CL27" s="18">
        <f>IF($X27="","",AS27/$X$10)</f>
        <v>0</v>
      </c>
      <c r="CM27" s="18">
        <f>IF($X27="","",AT27/$X$10)</f>
        <v>0</v>
      </c>
      <c r="CN27" s="18">
        <f>IF($X27="","",AU27/$X$10)</f>
        <v>0</v>
      </c>
      <c r="CO27" s="18">
        <f>IF($X27="","",AV27/$X$10)</f>
        <v>0</v>
      </c>
      <c r="CP27" s="18">
        <f>IF($X27="","",AW27/$X$10)</f>
        <v>0</v>
      </c>
      <c r="CQ27" s="18">
        <f>IF($X27="","",AX27/$X$10)</f>
        <v>0</v>
      </c>
      <c r="CR27" s="18">
        <f>IF($X27="","",AY27/$X$10)</f>
        <v>0</v>
      </c>
      <c r="CS27" s="18">
        <f>IF($X27="","",AZ27/$X$10)</f>
        <v>4.7619047619047616E-2</v>
      </c>
      <c r="CT27" s="18">
        <f>IF($X27="","",BA27/$X$10)</f>
        <v>0</v>
      </c>
      <c r="CU27" s="18">
        <f>IF($X27="","",BB27/$X$10)</f>
        <v>0</v>
      </c>
      <c r="CV27" s="18">
        <f>IF($X27="","",BC27/$X$10)</f>
        <v>0</v>
      </c>
      <c r="CW27" s="18">
        <f>IF($X27="","",BD27/$X$10)</f>
        <v>0</v>
      </c>
      <c r="CX27" s="18">
        <f>IF($X27="","",BE27/$X$10)</f>
        <v>0</v>
      </c>
      <c r="CY27" s="18">
        <f>IF($X27="","",BF27/$X$10)</f>
        <v>0</v>
      </c>
      <c r="CZ27" s="18">
        <f>IF($X27="","",BG27/$X$10)</f>
        <v>0</v>
      </c>
      <c r="DA27" s="18">
        <f>IF($X27="","",BH27/$X$10)</f>
        <v>0</v>
      </c>
      <c r="DB27" s="18">
        <f>IF($X27="","",BI27/$X$10)</f>
        <v>0</v>
      </c>
      <c r="DC27" s="18">
        <f>IF($X27="","",BJ27/$X$10)</f>
        <v>0</v>
      </c>
      <c r="DD27" s="18">
        <f>IF($X27="","",BK27/$X$10)</f>
        <v>0</v>
      </c>
      <c r="DE27" s="18">
        <f>IF($X27="","",BL27/$X$10)</f>
        <v>0</v>
      </c>
      <c r="DF27" s="18">
        <f>IF($X27="","",BM27/$X$10)</f>
        <v>0</v>
      </c>
      <c r="DG27" s="18">
        <f t="shared" si="3"/>
        <v>0</v>
      </c>
      <c r="DH27" s="18">
        <f>IF($X27="","",BO27/$X$10)</f>
        <v>0</v>
      </c>
      <c r="DI27" s="18">
        <f>IF($X27="","",BP27/$X$10)</f>
        <v>0</v>
      </c>
      <c r="DJ27" s="18">
        <f>IF($X27="","",BQ27/$X$10)</f>
        <v>0</v>
      </c>
      <c r="DK27" s="18">
        <f>IF($X27="","",BR27/$X$10)</f>
        <v>0</v>
      </c>
      <c r="DL27" s="18">
        <f>IF($X27="","",BS27/$X$10)</f>
        <v>0</v>
      </c>
      <c r="DM27" s="18">
        <f>IF($X27="","",BT27/$X$10)</f>
        <v>0</v>
      </c>
      <c r="DN27" s="18">
        <f t="shared" si="5"/>
        <v>0</v>
      </c>
      <c r="DO27" s="16">
        <f>IF($X27="","",SUM(Tabla152[[#This Row],[PODRIDO]],Tabla152[[#This Row],[HONGO]],Tabla152[[#This Row],[PICADO DE AVE CON PUDRICIÓN]],Tabla152[[#This Row],[FUMAGINA]])/$X$10)</f>
        <v>0</v>
      </c>
      <c r="DP27" s="16">
        <f>IF($X27="","",SUM(Tabla152[[#This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4.7619047619047616E-2</v>
      </c>
      <c r="DQ27" s="16">
        <f>IF($X27="","",SUM(Tabla152[[#This Row],[BLANDO]:[COLAPSADO]])/$X$10)</f>
        <v>0</v>
      </c>
      <c r="DR27" s="16">
        <f>IF($X27="","",SUM(Tabla152[[#This Row],[DESHIDRATADO LEVE]:[DESHIDRATADO INMADURO]])/$X$10)</f>
        <v>0</v>
      </c>
      <c r="DS27" s="18">
        <f t="shared" si="1"/>
        <v>0</v>
      </c>
      <c r="DT27" s="16">
        <f>IF($X27="","",SUM(Tabla152[[#This Row],[PRESENCIA DE LARVA]],Tabla152[[#This Row],[CHANCHITO BLANCO]])/$X$10)</f>
        <v>0</v>
      </c>
      <c r="DU27" s="18">
        <f>IF($X27="","",SUM(Tabla152[[#This Row],[ROJO GRADO 2 A MÁS]],Tabla152[[#This Row],[IMMADURO VERDE]],Tabla152[[#This Row],[DESORDEN POR MADURACIÓN]],Tabla152[[#This Row],[ARO PEDICELAR VERDE EXTREMO]])/$X$10)</f>
        <v>0</v>
      </c>
      <c r="DV27" s="16">
        <f>IF($X27="","",SUM(Tabla152[[#This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7" s="16">
        <f>IF($X27="","",BU27/$X$10)</f>
        <v>0</v>
      </c>
      <c r="DX27" s="16">
        <f>IF($X27="","",AJ27/$X$10)</f>
        <v>0</v>
      </c>
      <c r="DY27" s="16">
        <f>IF($X27="","",SUM(Tabla152[[#This Row],[PRESENCIA DE COROLA]],Tabla152[[#This Row],[PRESENCIA DE RESTO FLORAL VERDE]],Tabla152[[#This Row],[PRESENCIA DE PEDÚNCULO]])/$X$10)</f>
        <v>0</v>
      </c>
      <c r="DZ27" s="16">
        <f>IF($X27="","",SUM(Tabla152[[#This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8" spans="1:130" x14ac:dyDescent="0.3">
      <c r="A28" s="9">
        <f>IF(W28="","",IF(ROW()=10,1,IF(W28=W27,A27,MAX($A$9:A27)+1)))</f>
        <v>7</v>
      </c>
      <c r="B28" s="9">
        <f>WEEKNUM(Tabla152[[#This Row],[FECHA DE COSECHA]],21)</f>
        <v>36</v>
      </c>
      <c r="C28" s="9"/>
      <c r="D28" s="17">
        <v>46267</v>
      </c>
      <c r="E28" s="17">
        <v>46267</v>
      </c>
      <c r="F28" s="9">
        <v>1</v>
      </c>
      <c r="G28" s="9" t="s">
        <v>77</v>
      </c>
      <c r="H28" s="9" t="s">
        <v>144</v>
      </c>
      <c r="I28" s="9" t="s">
        <v>134</v>
      </c>
      <c r="J28" s="9" t="s">
        <v>78</v>
      </c>
      <c r="K28" s="9" t="s">
        <v>153</v>
      </c>
      <c r="L28" s="9" t="s">
        <v>131</v>
      </c>
      <c r="M28" s="9" t="s">
        <v>239</v>
      </c>
      <c r="N28" s="9" t="s">
        <v>151</v>
      </c>
      <c r="O28" s="9" t="s">
        <v>244</v>
      </c>
      <c r="P28" s="9" t="s">
        <v>152</v>
      </c>
      <c r="Q28" s="9"/>
      <c r="R28" s="9">
        <v>8</v>
      </c>
      <c r="S28" s="9">
        <v>74547547</v>
      </c>
      <c r="T28" t="s">
        <v>232</v>
      </c>
      <c r="U28" s="9" t="s">
        <v>147</v>
      </c>
      <c r="V28" s="9"/>
      <c r="W28" s="19" t="s">
        <v>159</v>
      </c>
      <c r="X28" s="9">
        <v>61</v>
      </c>
      <c r="Y28" s="9">
        <v>1</v>
      </c>
      <c r="Z28" s="9">
        <v>5</v>
      </c>
      <c r="AA28" s="9" t="str">
        <f>IF(Tabla152[[#This Row],[NOTA]]=15,"CUMPLE","NO CUMPLE")</f>
        <v>NO CUMPLE</v>
      </c>
      <c r="AB28" s="9" t="str">
        <f>IF(COUNTIF($A$10:A28,A28)=1,IF(COUNTIFS($A:$A,A28,$AA:$AA,"NO CUMPLE")&gt;0,"NO CUMPLE","CUMPLE"),"")</f>
        <v>NO CUMPLE</v>
      </c>
      <c r="AC28" s="9" t="s">
        <v>140</v>
      </c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7"/>
      <c r="AR28" s="7"/>
      <c r="AS28" s="7"/>
      <c r="AT28" s="7"/>
      <c r="AU28" s="7"/>
      <c r="AV28" s="7"/>
      <c r="AW28" s="7">
        <v>2</v>
      </c>
      <c r="AX28" s="7"/>
      <c r="AY28" s="7"/>
      <c r="AZ28" s="7">
        <v>2</v>
      </c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18"/>
      <c r="BX28" s="18">
        <f>IF($X28="","",AE28/$X$10)</f>
        <v>0</v>
      </c>
      <c r="BY28" s="18">
        <f>IF($X28="","",AF28/$X$10)</f>
        <v>0</v>
      </c>
      <c r="BZ28" s="18">
        <f>IF($X28="","",AG28/$X$10)</f>
        <v>0</v>
      </c>
      <c r="CA28" s="18">
        <f>IF($X28="","",AH28/$X$10)</f>
        <v>0</v>
      </c>
      <c r="CB28" s="18">
        <f t="shared" si="2"/>
        <v>0</v>
      </c>
      <c r="CC28" s="18">
        <f>IF($X28="","",AJ28/$X$10)</f>
        <v>0</v>
      </c>
      <c r="CD28" s="18">
        <f>IF($X28="","",AK28/$X$10)</f>
        <v>0</v>
      </c>
      <c r="CE28" s="18">
        <f>IF($X28="","",AL28/$X$10)</f>
        <v>0</v>
      </c>
      <c r="CF28" s="18">
        <f>IF($X28="","",AM28/$X$10)</f>
        <v>0</v>
      </c>
      <c r="CG28" s="18">
        <f>IF($X28="","",AN28/$X$10)</f>
        <v>0</v>
      </c>
      <c r="CH28" s="18">
        <f>IF($X28="","",AO28/$X$10)</f>
        <v>0</v>
      </c>
      <c r="CI28" s="18">
        <f>IF($X28="","",AP28/$X$10)</f>
        <v>0</v>
      </c>
      <c r="CJ28" s="18">
        <f>IF($X28="","",AQ28/$X$10)</f>
        <v>0</v>
      </c>
      <c r="CK28" s="18">
        <f>IF($X28="","",AR28/$X$10)</f>
        <v>0</v>
      </c>
      <c r="CL28" s="18">
        <f>IF($X28="","",AS28/$X$10)</f>
        <v>0</v>
      </c>
      <c r="CM28" s="18">
        <f>IF($X28="","",AT28/$X$10)</f>
        <v>0</v>
      </c>
      <c r="CN28" s="18">
        <f>IF($X28="","",AU28/$X$10)</f>
        <v>0</v>
      </c>
      <c r="CO28" s="18">
        <f>IF($X28="","",AV28/$X$10)</f>
        <v>0</v>
      </c>
      <c r="CP28" s="18">
        <f>IF($X28="","",AW28/$X$10)</f>
        <v>3.1746031746031744E-2</v>
      </c>
      <c r="CQ28" s="18">
        <f>IF($X28="","",AX28/$X$10)</f>
        <v>0</v>
      </c>
      <c r="CR28" s="18">
        <f>IF($X28="","",AY28/$X$10)</f>
        <v>0</v>
      </c>
      <c r="CS28" s="18">
        <f>IF($X28="","",AZ28/$X$10)</f>
        <v>3.1746031746031744E-2</v>
      </c>
      <c r="CT28" s="18">
        <f>IF($X28="","",BA28/$X$10)</f>
        <v>0</v>
      </c>
      <c r="CU28" s="18">
        <f>IF($X28="","",BB28/$X$10)</f>
        <v>0</v>
      </c>
      <c r="CV28" s="18">
        <f>IF($X28="","",BC28/$X$10)</f>
        <v>0</v>
      </c>
      <c r="CW28" s="18">
        <f>IF($X28="","",BD28/$X$10)</f>
        <v>0</v>
      </c>
      <c r="CX28" s="18">
        <f>IF($X28="","",BE28/$X$10)</f>
        <v>0</v>
      </c>
      <c r="CY28" s="18">
        <f>IF($X28="","",BF28/$X$10)</f>
        <v>0</v>
      </c>
      <c r="CZ28" s="18">
        <f>IF($X28="","",BG28/$X$10)</f>
        <v>0</v>
      </c>
      <c r="DA28" s="18">
        <f>IF($X28="","",BH28/$X$10)</f>
        <v>0</v>
      </c>
      <c r="DB28" s="18">
        <f>IF($X28="","",BI28/$X$10)</f>
        <v>0</v>
      </c>
      <c r="DC28" s="18">
        <f>IF($X28="","",BJ28/$X$10)</f>
        <v>0</v>
      </c>
      <c r="DD28" s="18">
        <f>IF($X28="","",BK28/$X$10)</f>
        <v>0</v>
      </c>
      <c r="DE28" s="18">
        <f>IF($X28="","",BL28/$X$10)</f>
        <v>0</v>
      </c>
      <c r="DF28" s="18">
        <f>IF($X28="","",BM28/$X$10)</f>
        <v>0</v>
      </c>
      <c r="DG28" s="18">
        <f t="shared" si="3"/>
        <v>0</v>
      </c>
      <c r="DH28" s="18">
        <f>IF($X28="","",BO28/$X$10)</f>
        <v>0</v>
      </c>
      <c r="DI28" s="18">
        <f>IF($X28="","",BP28/$X$10)</f>
        <v>0</v>
      </c>
      <c r="DJ28" s="18">
        <f>IF($X28="","",BQ28/$X$10)</f>
        <v>0</v>
      </c>
      <c r="DK28" s="18">
        <f>IF($X28="","",BR28/$X$10)</f>
        <v>0</v>
      </c>
      <c r="DL28" s="18">
        <f>IF($X28="","",BS28/$X$10)</f>
        <v>0</v>
      </c>
      <c r="DM28" s="18">
        <f>IF($X28="","",BT28/$X$10)</f>
        <v>0</v>
      </c>
      <c r="DN28" s="18">
        <f t="shared" si="5"/>
        <v>0</v>
      </c>
      <c r="DO28" s="16">
        <f>IF($X28="","",SUM(Tabla152[[#This Row],[PODRIDO]],Tabla152[[#This Row],[HONGO]],Tabla152[[#This Row],[PICADO DE AVE CON PUDRICIÓN]],Tabla152[[#This Row],[FUMAGINA]])/$X$10)</f>
        <v>0</v>
      </c>
      <c r="DP28" s="16">
        <f>IF($X28="","",SUM(Tabla152[[#This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6.3492063492063489E-2</v>
      </c>
      <c r="DQ28" s="16">
        <f>IF($X28="","",SUM(Tabla152[[#This Row],[BLANDO]:[COLAPSADO]])/$X$10)</f>
        <v>0</v>
      </c>
      <c r="DR28" s="16">
        <f>IF($X28="","",SUM(Tabla152[[#This Row],[DESHIDRATADO LEVE]:[DESHIDRATADO INMADURO]])/$X$10)</f>
        <v>0</v>
      </c>
      <c r="DS28" s="18">
        <f t="shared" si="1"/>
        <v>0</v>
      </c>
      <c r="DT28" s="16">
        <f>IF($X28="","",SUM(Tabla152[[#This Row],[PRESENCIA DE LARVA]],Tabla152[[#This Row],[CHANCHITO BLANCO]])/$X$10)</f>
        <v>0</v>
      </c>
      <c r="DU28" s="18">
        <f>IF($X28="","",SUM(Tabla152[[#This Row],[ROJO GRADO 2 A MÁS]],Tabla152[[#This Row],[IMMADURO VERDE]],Tabla152[[#This Row],[DESORDEN POR MADURACIÓN]],Tabla152[[#This Row],[ARO PEDICELAR VERDE EXTREMO]])/$X$10)</f>
        <v>0</v>
      </c>
      <c r="DV28" s="16">
        <f>IF($X28="","",SUM(Tabla152[[#This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8" s="16">
        <f>IF($X28="","",BU28/$X$10)</f>
        <v>0</v>
      </c>
      <c r="DX28" s="16">
        <f>IF($X28="","",AJ28/$X$10)</f>
        <v>0</v>
      </c>
      <c r="DY28" s="16">
        <f>IF($X28="","",SUM(Tabla152[[#This Row],[PRESENCIA DE COROLA]],Tabla152[[#This Row],[PRESENCIA DE RESTO FLORAL VERDE]],Tabla152[[#This Row],[PRESENCIA DE PEDÚNCULO]])/$X$10)</f>
        <v>0</v>
      </c>
      <c r="DZ28" s="16">
        <f>IF($X28="","",SUM(Tabla152[[#This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9" spans="1:130" x14ac:dyDescent="0.3">
      <c r="A29" s="9">
        <f>IF(W29="","",IF(ROW()=10,1,IF(W29=W28,A28,MAX($A$9:A28)+1)))</f>
        <v>7</v>
      </c>
      <c r="B29" s="9">
        <f>WEEKNUM(Tabla152[[#This Row],[FECHA DE COSECHA]],21)</f>
        <v>36</v>
      </c>
      <c r="C29" s="9"/>
      <c r="D29" s="17">
        <v>46267</v>
      </c>
      <c r="E29" s="17">
        <v>46267</v>
      </c>
      <c r="F29" s="9">
        <v>1</v>
      </c>
      <c r="G29" s="9" t="s">
        <v>77</v>
      </c>
      <c r="H29" s="9" t="s">
        <v>144</v>
      </c>
      <c r="I29" s="9" t="s">
        <v>134</v>
      </c>
      <c r="J29" s="9" t="s">
        <v>78</v>
      </c>
      <c r="K29" s="9" t="s">
        <v>153</v>
      </c>
      <c r="L29" s="9" t="s">
        <v>131</v>
      </c>
      <c r="M29" s="9" t="s">
        <v>239</v>
      </c>
      <c r="N29" s="9" t="s">
        <v>151</v>
      </c>
      <c r="O29" s="9" t="s">
        <v>244</v>
      </c>
      <c r="P29" s="9" t="s">
        <v>152</v>
      </c>
      <c r="Q29" s="9"/>
      <c r="R29" s="9">
        <v>8</v>
      </c>
      <c r="S29" s="9">
        <v>74547547</v>
      </c>
      <c r="T29" t="s">
        <v>232</v>
      </c>
      <c r="U29" s="9" t="s">
        <v>147</v>
      </c>
      <c r="V29" s="9"/>
      <c r="W29" s="19" t="s">
        <v>159</v>
      </c>
      <c r="X29" s="9">
        <v>61</v>
      </c>
      <c r="Y29" s="9">
        <v>2</v>
      </c>
      <c r="Z29" s="9">
        <v>5</v>
      </c>
      <c r="AA29" s="9" t="str">
        <f>IF(Tabla152[[#This Row],[NOTA]]=15,"CUMPLE","NO CUMPLE")</f>
        <v>NO CUMPLE</v>
      </c>
      <c r="AB29" s="9" t="str">
        <f>IF(COUNTIF($A$10:A29,A29)=1,IF(COUNTIFS($A:$A,A29,$AA:$AA,"NO CUMPLE")&gt;0,"NO CUMPLE","CUMPLE"),"")</f>
        <v/>
      </c>
      <c r="AC29" s="9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7"/>
      <c r="AR29" s="7"/>
      <c r="AS29" s="7"/>
      <c r="AT29" s="7"/>
      <c r="AU29" s="7"/>
      <c r="AV29" s="7"/>
      <c r="AW29" s="7">
        <v>2</v>
      </c>
      <c r="AX29" s="7"/>
      <c r="AY29" s="7"/>
      <c r="AZ29" s="7">
        <v>2</v>
      </c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18"/>
      <c r="BX29" s="18">
        <f>IF($X29="","",AE29/$X$10)</f>
        <v>0</v>
      </c>
      <c r="BY29" s="18">
        <f>IF($X29="","",AF29/$X$10)</f>
        <v>0</v>
      </c>
      <c r="BZ29" s="18">
        <f>IF($X29="","",AG29/$X$10)</f>
        <v>0</v>
      </c>
      <c r="CA29" s="18">
        <f>IF($X29="","",AH29/$X$10)</f>
        <v>0</v>
      </c>
      <c r="CB29" s="18">
        <f t="shared" si="2"/>
        <v>0</v>
      </c>
      <c r="CC29" s="18">
        <f>IF($X29="","",AJ29/$X$10)</f>
        <v>0</v>
      </c>
      <c r="CD29" s="18">
        <f>IF($X29="","",AK29/$X$10)</f>
        <v>0</v>
      </c>
      <c r="CE29" s="18">
        <f>IF($X29="","",AL29/$X$10)</f>
        <v>0</v>
      </c>
      <c r="CF29" s="18">
        <f>IF($X29="","",AM29/$X$10)</f>
        <v>0</v>
      </c>
      <c r="CG29" s="18">
        <f>IF($X29="","",AN29/$X$10)</f>
        <v>0</v>
      </c>
      <c r="CH29" s="18">
        <f>IF($X29="","",AO29/$X$10)</f>
        <v>0</v>
      </c>
      <c r="CI29" s="18">
        <f>IF($X29="","",AP29/$X$10)</f>
        <v>0</v>
      </c>
      <c r="CJ29" s="18">
        <f>IF($X29="","",AQ29/$X$10)</f>
        <v>0</v>
      </c>
      <c r="CK29" s="18">
        <f>IF($X29="","",AR29/$X$10)</f>
        <v>0</v>
      </c>
      <c r="CL29" s="18">
        <f>IF($X29="","",AS29/$X$10)</f>
        <v>0</v>
      </c>
      <c r="CM29" s="18">
        <f>IF($X29="","",AT29/$X$10)</f>
        <v>0</v>
      </c>
      <c r="CN29" s="18">
        <f>IF($X29="","",AU29/$X$10)</f>
        <v>0</v>
      </c>
      <c r="CO29" s="18">
        <f>IF($X29="","",AV29/$X$10)</f>
        <v>0</v>
      </c>
      <c r="CP29" s="18">
        <f>IF($X29="","",AW29/$X$10)</f>
        <v>3.1746031746031744E-2</v>
      </c>
      <c r="CQ29" s="18">
        <f>IF($X29="","",AX29/$X$10)</f>
        <v>0</v>
      </c>
      <c r="CR29" s="18">
        <f>IF($X29="","",AY29/$X$10)</f>
        <v>0</v>
      </c>
      <c r="CS29" s="18">
        <f>IF($X29="","",AZ29/$X$10)</f>
        <v>3.1746031746031744E-2</v>
      </c>
      <c r="CT29" s="18">
        <f>IF($X29="","",BA29/$X$10)</f>
        <v>0</v>
      </c>
      <c r="CU29" s="18">
        <f>IF($X29="","",BB29/$X$10)</f>
        <v>0</v>
      </c>
      <c r="CV29" s="18">
        <f>IF($X29="","",BC29/$X$10)</f>
        <v>0</v>
      </c>
      <c r="CW29" s="18">
        <f>IF($X29="","",BD29/$X$10)</f>
        <v>0</v>
      </c>
      <c r="CX29" s="18">
        <f>IF($X29="","",BE29/$X$10)</f>
        <v>0</v>
      </c>
      <c r="CY29" s="18">
        <f>IF($X29="","",BF29/$X$10)</f>
        <v>0</v>
      </c>
      <c r="CZ29" s="18">
        <f>IF($X29="","",BG29/$X$10)</f>
        <v>0</v>
      </c>
      <c r="DA29" s="18">
        <f>IF($X29="","",BH29/$X$10)</f>
        <v>0</v>
      </c>
      <c r="DB29" s="18">
        <f>IF($X29="","",BI29/$X$10)</f>
        <v>0</v>
      </c>
      <c r="DC29" s="18">
        <f>IF($X29="","",BJ29/$X$10)</f>
        <v>0</v>
      </c>
      <c r="DD29" s="18">
        <f>IF($X29="","",BK29/$X$10)</f>
        <v>0</v>
      </c>
      <c r="DE29" s="18">
        <f>IF($X29="","",BL29/$X$10)</f>
        <v>0</v>
      </c>
      <c r="DF29" s="18">
        <f>IF($X29="","",BM29/$X$10)</f>
        <v>0</v>
      </c>
      <c r="DG29" s="18">
        <f t="shared" si="3"/>
        <v>0</v>
      </c>
      <c r="DH29" s="18">
        <f>IF($X29="","",BO29/$X$10)</f>
        <v>0</v>
      </c>
      <c r="DI29" s="18">
        <f>IF($X29="","",BP29/$X$10)</f>
        <v>0</v>
      </c>
      <c r="DJ29" s="18">
        <f>IF($X29="","",BQ29/$X$10)</f>
        <v>0</v>
      </c>
      <c r="DK29" s="18">
        <f>IF($X29="","",BR29/$X$10)</f>
        <v>0</v>
      </c>
      <c r="DL29" s="18">
        <f>IF($X29="","",BS29/$X$10)</f>
        <v>0</v>
      </c>
      <c r="DM29" s="18">
        <f>IF($X29="","",BT29/$X$10)</f>
        <v>0</v>
      </c>
      <c r="DN29" s="18">
        <f t="shared" si="5"/>
        <v>0</v>
      </c>
      <c r="DO29" s="16">
        <f>IF($X29="","",SUM(Tabla152[[#This Row],[PODRIDO]],Tabla152[[#This Row],[HONGO]],Tabla152[[#This Row],[PICADO DE AVE CON PUDRICIÓN]],Tabla152[[#This Row],[FUMAGINA]])/$X$10)</f>
        <v>0</v>
      </c>
      <c r="DP29" s="16">
        <f>IF($X29="","",SUM(Tabla152[[#This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6.3492063492063489E-2</v>
      </c>
      <c r="DQ29" s="16">
        <f>IF($X29="","",SUM(Tabla152[[#This Row],[BLANDO]:[COLAPSADO]])/$X$10)</f>
        <v>0</v>
      </c>
      <c r="DR29" s="16">
        <f>IF($X29="","",SUM(Tabla152[[#This Row],[DESHIDRATADO LEVE]:[DESHIDRATADO INMADURO]])/$X$10)</f>
        <v>0</v>
      </c>
      <c r="DS29" s="18">
        <f t="shared" si="1"/>
        <v>0</v>
      </c>
      <c r="DT29" s="16">
        <f>IF($X29="","",SUM(Tabla152[[#This Row],[PRESENCIA DE LARVA]],Tabla152[[#This Row],[CHANCHITO BLANCO]])/$X$10)</f>
        <v>0</v>
      </c>
      <c r="DU29" s="18">
        <f>IF($X29="","",SUM(Tabla152[[#This Row],[ROJO GRADO 2 A MÁS]],Tabla152[[#This Row],[IMMADURO VERDE]],Tabla152[[#This Row],[DESORDEN POR MADURACIÓN]],Tabla152[[#This Row],[ARO PEDICELAR VERDE EXTREMO]])/$X$10)</f>
        <v>0</v>
      </c>
      <c r="DV29" s="16">
        <f>IF($X29="","",SUM(Tabla152[[#This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9" s="16">
        <f>IF($X29="","",BU29/$X$10)</f>
        <v>0</v>
      </c>
      <c r="DX29" s="16">
        <f>IF($X29="","",AJ29/$X$10)</f>
        <v>0</v>
      </c>
      <c r="DY29" s="16">
        <f>IF($X29="","",SUM(Tabla152[[#This Row],[PRESENCIA DE COROLA]],Tabla152[[#This Row],[PRESENCIA DE RESTO FLORAL VERDE]],Tabla152[[#This Row],[PRESENCIA DE PEDÚNCULO]])/$X$10)</f>
        <v>0</v>
      </c>
      <c r="DZ29" s="16">
        <f>IF($X29="","",SUM(Tabla152[[#This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30" spans="1:130" x14ac:dyDescent="0.3">
      <c r="A30" s="9">
        <f>IF(W30="","",IF(ROW()=10,1,IF(W30=W29,A29,MAX($A$9:A29)+1)))</f>
        <v>7</v>
      </c>
      <c r="B30" s="9">
        <f>WEEKNUM(Tabla152[[#This Row],[FECHA DE COSECHA]],21)</f>
        <v>36</v>
      </c>
      <c r="C30" s="9"/>
      <c r="D30" s="17">
        <v>46267</v>
      </c>
      <c r="E30" s="17">
        <v>46267</v>
      </c>
      <c r="F30" s="9">
        <v>1</v>
      </c>
      <c r="G30" s="9" t="s">
        <v>77</v>
      </c>
      <c r="H30" s="9" t="s">
        <v>144</v>
      </c>
      <c r="I30" s="9" t="s">
        <v>134</v>
      </c>
      <c r="J30" s="9" t="s">
        <v>78</v>
      </c>
      <c r="K30" s="9" t="s">
        <v>153</v>
      </c>
      <c r="L30" s="9" t="s">
        <v>131</v>
      </c>
      <c r="M30" s="9" t="s">
        <v>239</v>
      </c>
      <c r="N30" s="9" t="s">
        <v>151</v>
      </c>
      <c r="O30" s="9" t="s">
        <v>244</v>
      </c>
      <c r="P30" s="9" t="s">
        <v>152</v>
      </c>
      <c r="Q30" s="9"/>
      <c r="R30" s="9">
        <v>8</v>
      </c>
      <c r="S30" s="9">
        <v>74547547</v>
      </c>
      <c r="T30" t="s">
        <v>232</v>
      </c>
      <c r="U30" s="9" t="s">
        <v>147</v>
      </c>
      <c r="V30" s="9"/>
      <c r="W30" s="19" t="s">
        <v>159</v>
      </c>
      <c r="X30" s="9">
        <v>61</v>
      </c>
      <c r="Y30" s="9">
        <v>3</v>
      </c>
      <c r="Z30" s="9">
        <v>5</v>
      </c>
      <c r="AA30" s="9" t="str">
        <f>IF(Tabla152[[#This Row],[NOTA]]=15,"CUMPLE","NO CUMPLE")</f>
        <v>NO CUMPLE</v>
      </c>
      <c r="AB30" s="9" t="str">
        <f>IF(COUNTIF($A$10:A30,A30)=1,IF(COUNTIFS($A:$A,A30,$AA:$AA,"NO CUMPLE")&gt;0,"NO CUMPLE","CUMPLE"),"")</f>
        <v/>
      </c>
      <c r="AC30" s="9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7"/>
      <c r="AR30" s="7"/>
      <c r="AS30" s="7"/>
      <c r="AT30" s="7"/>
      <c r="AU30" s="7"/>
      <c r="AV30" s="7"/>
      <c r="AW30" s="7">
        <v>2</v>
      </c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18"/>
      <c r="BX30" s="18">
        <f>IF($X30="","",AE30/$X$10)</f>
        <v>0</v>
      </c>
      <c r="BY30" s="18">
        <f>IF($X30="","",AF30/$X$10)</f>
        <v>0</v>
      </c>
      <c r="BZ30" s="18">
        <f>IF($X30="","",AG30/$X$10)</f>
        <v>0</v>
      </c>
      <c r="CA30" s="18">
        <f>IF($X30="","",AH30/$X$10)</f>
        <v>0</v>
      </c>
      <c r="CB30" s="18">
        <f t="shared" si="2"/>
        <v>0</v>
      </c>
      <c r="CC30" s="18">
        <f>IF($X30="","",AJ30/$X$10)</f>
        <v>0</v>
      </c>
      <c r="CD30" s="18">
        <f>IF($X30="","",AK30/$X$10)</f>
        <v>0</v>
      </c>
      <c r="CE30" s="18">
        <f>IF($X30="","",AL30/$X$10)</f>
        <v>0</v>
      </c>
      <c r="CF30" s="18">
        <f>IF($X30="","",AM30/$X$10)</f>
        <v>0</v>
      </c>
      <c r="CG30" s="18">
        <f>IF($X30="","",AN30/$X$10)</f>
        <v>0</v>
      </c>
      <c r="CH30" s="18">
        <f>IF($X30="","",AO30/$X$10)</f>
        <v>0</v>
      </c>
      <c r="CI30" s="18">
        <f>IF($X30="","",AP30/$X$10)</f>
        <v>0</v>
      </c>
      <c r="CJ30" s="18">
        <f>IF($X30="","",AQ30/$X$10)</f>
        <v>0</v>
      </c>
      <c r="CK30" s="18">
        <f>IF($X30="","",AR30/$X$10)</f>
        <v>0</v>
      </c>
      <c r="CL30" s="18">
        <f>IF($X30="","",AS30/$X$10)</f>
        <v>0</v>
      </c>
      <c r="CM30" s="18">
        <f>IF($X30="","",AT30/$X$10)</f>
        <v>0</v>
      </c>
      <c r="CN30" s="18">
        <f>IF($X30="","",AU30/$X$10)</f>
        <v>0</v>
      </c>
      <c r="CO30" s="18">
        <f>IF($X30="","",AV30/$X$10)</f>
        <v>0</v>
      </c>
      <c r="CP30" s="18">
        <f>IF($X30="","",AW30/$X$10)</f>
        <v>3.1746031746031744E-2</v>
      </c>
      <c r="CQ30" s="18">
        <f>IF($X30="","",AX30/$X$10)</f>
        <v>0</v>
      </c>
      <c r="CR30" s="18">
        <f>IF($X30="","",AY30/$X$10)</f>
        <v>0</v>
      </c>
      <c r="CS30" s="18">
        <f>IF($X30="","",AZ30/$X$10)</f>
        <v>0</v>
      </c>
      <c r="CT30" s="18">
        <f>IF($X30="","",BA30/$X$10)</f>
        <v>0</v>
      </c>
      <c r="CU30" s="18">
        <f>IF($X30="","",BB30/$X$10)</f>
        <v>0</v>
      </c>
      <c r="CV30" s="18">
        <f>IF($X30="","",BC30/$X$10)</f>
        <v>0</v>
      </c>
      <c r="CW30" s="18">
        <f>IF($X30="","",BD30/$X$10)</f>
        <v>0</v>
      </c>
      <c r="CX30" s="18">
        <f>IF($X30="","",BE30/$X$10)</f>
        <v>0</v>
      </c>
      <c r="CY30" s="18">
        <f>IF($X30="","",BF30/$X$10)</f>
        <v>0</v>
      </c>
      <c r="CZ30" s="18">
        <f>IF($X30="","",BG30/$X$10)</f>
        <v>0</v>
      </c>
      <c r="DA30" s="18">
        <f>IF($X30="","",BH30/$X$10)</f>
        <v>0</v>
      </c>
      <c r="DB30" s="18">
        <f>IF($X30="","",BI30/$X$10)</f>
        <v>0</v>
      </c>
      <c r="DC30" s="18">
        <f>IF($X30="","",BJ30/$X$10)</f>
        <v>0</v>
      </c>
      <c r="DD30" s="18">
        <f>IF($X30="","",BK30/$X$10)</f>
        <v>0</v>
      </c>
      <c r="DE30" s="18">
        <f>IF($X30="","",BL30/$X$10)</f>
        <v>0</v>
      </c>
      <c r="DF30" s="18">
        <f>IF($X30="","",BM30/$X$10)</f>
        <v>0</v>
      </c>
      <c r="DG30" s="18">
        <f t="shared" si="3"/>
        <v>0</v>
      </c>
      <c r="DH30" s="18">
        <f>IF($X30="","",BO30/$X$10)</f>
        <v>0</v>
      </c>
      <c r="DI30" s="18">
        <f>IF($X30="","",BP30/$X$10)</f>
        <v>0</v>
      </c>
      <c r="DJ30" s="18">
        <f>IF($X30="","",BQ30/$X$10)</f>
        <v>0</v>
      </c>
      <c r="DK30" s="18">
        <f>IF($X30="","",BR30/$X$10)</f>
        <v>0</v>
      </c>
      <c r="DL30" s="18">
        <f>IF($X30="","",BS30/$X$10)</f>
        <v>0</v>
      </c>
      <c r="DM30" s="18">
        <f>IF($X30="","",BT30/$X$10)</f>
        <v>0</v>
      </c>
      <c r="DN30" s="18">
        <f t="shared" si="5"/>
        <v>0</v>
      </c>
      <c r="DO30" s="16">
        <f>IF($X30="","",SUM(Tabla152[[#This Row],[PODRIDO]],Tabla152[[#This Row],[HONGO]],Tabla152[[#This Row],[PICADO DE AVE CON PUDRICIÓN]],Tabla152[[#This Row],[FUMAGINA]])/$X$10)</f>
        <v>0</v>
      </c>
      <c r="DP30" s="16">
        <f>IF($X30="","",SUM(Tabla152[[#This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30" s="16">
        <f>IF($X30="","",SUM(Tabla152[[#This Row],[BLANDO]:[COLAPSADO]])/$X$10)</f>
        <v>0</v>
      </c>
      <c r="DR30" s="16">
        <f>IF($X30="","",SUM(Tabla152[[#This Row],[DESHIDRATADO LEVE]:[DESHIDRATADO INMADURO]])/$X$10)</f>
        <v>0</v>
      </c>
      <c r="DS30" s="18">
        <f t="shared" si="1"/>
        <v>0</v>
      </c>
      <c r="DT30" s="16">
        <f>IF($X30="","",SUM(Tabla152[[#This Row],[PRESENCIA DE LARVA]],Tabla152[[#This Row],[CHANCHITO BLANCO]])/$X$10)</f>
        <v>0</v>
      </c>
      <c r="DU30" s="18">
        <f>IF($X30="","",SUM(Tabla152[[#This Row],[ROJO GRADO 2 A MÁS]],Tabla152[[#This Row],[IMMADURO VERDE]],Tabla152[[#This Row],[DESORDEN POR MADURACIÓN]],Tabla152[[#This Row],[ARO PEDICELAR VERDE EXTREMO]])/$X$10)</f>
        <v>0</v>
      </c>
      <c r="DV30" s="16">
        <f>IF($X30="","",SUM(Tabla152[[#This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30" s="16">
        <f>IF($X30="","",BU30/$X$10)</f>
        <v>0</v>
      </c>
      <c r="DX30" s="16">
        <f>IF($X30="","",AJ30/$X$10)</f>
        <v>0</v>
      </c>
      <c r="DY30" s="16">
        <f>IF($X30="","",SUM(Tabla152[[#This Row],[PRESENCIA DE COROLA]],Tabla152[[#This Row],[PRESENCIA DE RESTO FLORAL VERDE]],Tabla152[[#This Row],[PRESENCIA DE PEDÚNCULO]])/$X$10)</f>
        <v>0</v>
      </c>
      <c r="DZ30" s="16">
        <f>IF($X30="","",SUM(Tabla152[[#This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31" spans="1:130" x14ac:dyDescent="0.3">
      <c r="A31" s="9">
        <f>IF(W31="","",IF(ROW()=10,1,IF(W31=W30,A30,MAX($A$9:A30)+1)))</f>
        <v>8</v>
      </c>
      <c r="B31" s="9">
        <f>WEEKNUM(Tabla152[[#This Row],[FECHA DE COSECHA]],21)</f>
        <v>36</v>
      </c>
      <c r="C31" s="9"/>
      <c r="D31" s="17">
        <v>46267</v>
      </c>
      <c r="E31" s="17">
        <v>46267</v>
      </c>
      <c r="F31" s="9">
        <v>1</v>
      </c>
      <c r="G31" s="9" t="s">
        <v>77</v>
      </c>
      <c r="H31" s="9" t="s">
        <v>144</v>
      </c>
      <c r="I31" s="9" t="s">
        <v>134</v>
      </c>
      <c r="J31" s="9" t="s">
        <v>78</v>
      </c>
      <c r="K31" s="9" t="s">
        <v>153</v>
      </c>
      <c r="L31" s="9" t="s">
        <v>131</v>
      </c>
      <c r="M31" s="9" t="s">
        <v>239</v>
      </c>
      <c r="N31" s="9" t="s">
        <v>151</v>
      </c>
      <c r="O31" s="9" t="s">
        <v>244</v>
      </c>
      <c r="P31" s="9" t="s">
        <v>152</v>
      </c>
      <c r="Q31" s="9"/>
      <c r="R31" s="9">
        <v>8</v>
      </c>
      <c r="S31" s="9">
        <v>74547547</v>
      </c>
      <c r="T31" t="s">
        <v>232</v>
      </c>
      <c r="U31" s="9" t="s">
        <v>147</v>
      </c>
      <c r="V31" s="9"/>
      <c r="W31" s="19" t="s">
        <v>160</v>
      </c>
      <c r="X31" s="9">
        <v>61</v>
      </c>
      <c r="Y31" s="9">
        <v>1</v>
      </c>
      <c r="Z31" s="9">
        <v>15</v>
      </c>
      <c r="AA31" s="9" t="str">
        <f>IF(Tabla152[[#This Row],[NOTA]]=15,"CUMPLE","NO CUMPLE")</f>
        <v>CUMPLE</v>
      </c>
      <c r="AB31" s="9" t="str">
        <f>IF(COUNTIF($A$10:A31,A31)=1,IF(COUNTIFS($A:$A,A31,$AA:$AA,"NO CUMPLE")&gt;0,"NO CUMPLE","CUMPLE"),"")</f>
        <v>CUMPLE</v>
      </c>
      <c r="AC31" s="9" t="s">
        <v>140</v>
      </c>
      <c r="AD31" s="8"/>
      <c r="AE31" s="8">
        <v>1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18"/>
      <c r="BX31" s="18">
        <f>IF($X31="","",AE31/$X$10)</f>
        <v>1.5873015873015872E-2</v>
      </c>
      <c r="BY31" s="18">
        <f>IF($X31="","",AF31/$X$10)</f>
        <v>0</v>
      </c>
      <c r="BZ31" s="18">
        <f>IF($X31="","",AG31/$X$10)</f>
        <v>0</v>
      </c>
      <c r="CA31" s="18">
        <f>IF($X31="","",AH31/$X$10)</f>
        <v>0</v>
      </c>
      <c r="CB31" s="18">
        <f t="shared" si="2"/>
        <v>0</v>
      </c>
      <c r="CC31" s="18">
        <f>IF($X31="","",AJ31/$X$10)</f>
        <v>0</v>
      </c>
      <c r="CD31" s="18">
        <f>IF($X31="","",AK31/$X$10)</f>
        <v>0</v>
      </c>
      <c r="CE31" s="18">
        <f>IF($X31="","",AL31/$X$10)</f>
        <v>0</v>
      </c>
      <c r="CF31" s="18">
        <f>IF($X31="","",AM31/$X$10)</f>
        <v>0</v>
      </c>
      <c r="CG31" s="18">
        <f>IF($X31="","",AN31/$X$10)</f>
        <v>0</v>
      </c>
      <c r="CH31" s="18">
        <f>IF($X31="","",AO31/$X$10)</f>
        <v>0</v>
      </c>
      <c r="CI31" s="18">
        <f>IF($X31="","",AP31/$X$10)</f>
        <v>0</v>
      </c>
      <c r="CJ31" s="18">
        <f>IF($X31="","",AQ31/$X$10)</f>
        <v>0</v>
      </c>
      <c r="CK31" s="18">
        <f>IF($X31="","",AR31/$X$10)</f>
        <v>0</v>
      </c>
      <c r="CL31" s="18">
        <f>IF($X31="","",AS31/$X$10)</f>
        <v>0</v>
      </c>
      <c r="CM31" s="18">
        <f>IF($X31="","",AT31/$X$10)</f>
        <v>0</v>
      </c>
      <c r="CN31" s="18">
        <f>IF($X31="","",AU31/$X$10)</f>
        <v>0</v>
      </c>
      <c r="CO31" s="18">
        <f>IF($X31="","",AV31/$X$10)</f>
        <v>0</v>
      </c>
      <c r="CP31" s="18">
        <f>IF($X31="","",AW31/$X$10)</f>
        <v>0</v>
      </c>
      <c r="CQ31" s="18">
        <f>IF($X31="","",AX31/$X$10)</f>
        <v>0</v>
      </c>
      <c r="CR31" s="18">
        <f>IF($X31="","",AY31/$X$10)</f>
        <v>0</v>
      </c>
      <c r="CS31" s="18">
        <f>IF($X31="","",AZ31/$X$10)</f>
        <v>0</v>
      </c>
      <c r="CT31" s="18">
        <f>IF($X31="","",BA31/$X$10)</f>
        <v>0</v>
      </c>
      <c r="CU31" s="18">
        <f>IF($X31="","",BB31/$X$10)</f>
        <v>0</v>
      </c>
      <c r="CV31" s="18">
        <f>IF($X31="","",BC31/$X$10)</f>
        <v>0</v>
      </c>
      <c r="CW31" s="18">
        <f>IF($X31="","",BD31/$X$10)</f>
        <v>0</v>
      </c>
      <c r="CX31" s="18">
        <f>IF($X31="","",BE31/$X$10)</f>
        <v>0</v>
      </c>
      <c r="CY31" s="18">
        <f>IF($X31="","",BF31/$X$10)</f>
        <v>0</v>
      </c>
      <c r="CZ31" s="18">
        <f>IF($X31="","",BG31/$X$10)</f>
        <v>0</v>
      </c>
      <c r="DA31" s="18">
        <f>IF($X31="","",BH31/$X$10)</f>
        <v>0</v>
      </c>
      <c r="DB31" s="18">
        <f>IF($X31="","",BI31/$X$10)</f>
        <v>0</v>
      </c>
      <c r="DC31" s="18">
        <f>IF($X31="","",BJ31/$X$10)</f>
        <v>0</v>
      </c>
      <c r="DD31" s="18">
        <f>IF($X31="","",BK31/$X$10)</f>
        <v>0</v>
      </c>
      <c r="DE31" s="18">
        <f>IF($X31="","",BL31/$X$10)</f>
        <v>0</v>
      </c>
      <c r="DF31" s="18">
        <f>IF($X31="","",BM31/$X$10)</f>
        <v>0</v>
      </c>
      <c r="DG31" s="18">
        <f t="shared" si="3"/>
        <v>0</v>
      </c>
      <c r="DH31" s="18">
        <f>IF($X31="","",BO31/$X$10)</f>
        <v>0</v>
      </c>
      <c r="DI31" s="18">
        <f>IF($X31="","",BP31/$X$10)</f>
        <v>0</v>
      </c>
      <c r="DJ31" s="18">
        <f>IF($X31="","",BQ31/$X$10)</f>
        <v>0</v>
      </c>
      <c r="DK31" s="18">
        <f>IF($X31="","",BR31/$X$10)</f>
        <v>0</v>
      </c>
      <c r="DL31" s="18">
        <f>IF($X31="","",BS31/$X$10)</f>
        <v>0</v>
      </c>
      <c r="DM31" s="18">
        <f>IF($X31="","",BT31/$X$10)</f>
        <v>0</v>
      </c>
      <c r="DN31" s="18">
        <f t="shared" si="5"/>
        <v>0</v>
      </c>
      <c r="DO31" s="16">
        <f>IF($X31="","",SUM(Tabla152[[#This Row],[PODRIDO]],Tabla152[[#This Row],[HONGO]],Tabla152[[#This Row],[PICADO DE AVE CON PUDRICIÓN]],Tabla152[[#This Row],[FUMAGINA]])/$X$10)</f>
        <v>0</v>
      </c>
      <c r="DP31" s="16">
        <f>IF($X31="","",SUM(Tabla152[[#This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31" s="16">
        <f>IF($X31="","",SUM(Tabla152[[#This Row],[BLANDO]:[COLAPSADO]])/$X$10)</f>
        <v>0</v>
      </c>
      <c r="DR31" s="16">
        <f>IF($X31="","",SUM(Tabla152[[#This Row],[DESHIDRATADO LEVE]:[DESHIDRATADO INMADURO]])/$X$10)</f>
        <v>0</v>
      </c>
      <c r="DS31" s="18">
        <f t="shared" si="1"/>
        <v>0</v>
      </c>
      <c r="DT31" s="16">
        <f>IF($X31="","",SUM(Tabla152[[#This Row],[PRESENCIA DE LARVA]],Tabla152[[#This Row],[CHANCHITO BLANCO]])/$X$10)</f>
        <v>0</v>
      </c>
      <c r="DU31" s="18">
        <f>IF($X31="","",SUM(Tabla152[[#This Row],[ROJO GRADO 2 A MÁS]],Tabla152[[#This Row],[IMMADURO VERDE]],Tabla152[[#This Row],[DESORDEN POR MADURACIÓN]],Tabla152[[#This Row],[ARO PEDICELAR VERDE EXTREMO]])/$X$10)</f>
        <v>0</v>
      </c>
      <c r="DV31" s="16">
        <f>IF($X31="","",SUM(Tabla152[[#This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31" s="16">
        <f>IF($X31="","",BU31/$X$10)</f>
        <v>0</v>
      </c>
      <c r="DX31" s="16">
        <f>IF($X31="","",AJ31/$X$10)</f>
        <v>0</v>
      </c>
      <c r="DY31" s="16">
        <f>IF($X31="","",SUM(Tabla152[[#This Row],[PRESENCIA DE COROLA]],Tabla152[[#This Row],[PRESENCIA DE RESTO FLORAL VERDE]],Tabla152[[#This Row],[PRESENCIA DE PEDÚNCULO]])/$X$10)</f>
        <v>1.5873015873015872E-2</v>
      </c>
      <c r="DZ31" s="16">
        <f>IF($X31="","",SUM(Tabla152[[#This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32" spans="1:130" x14ac:dyDescent="0.3">
      <c r="A32" s="9">
        <f>IF(W32="","",IF(ROW()=10,1,IF(W32=W31,A31,MAX($A$9:A31)+1)))</f>
        <v>8</v>
      </c>
      <c r="B32" s="9">
        <f>WEEKNUM(Tabla152[[#This Row],[FECHA DE COSECHA]],21)</f>
        <v>36</v>
      </c>
      <c r="C32" s="9"/>
      <c r="D32" s="17">
        <v>46267</v>
      </c>
      <c r="E32" s="17">
        <v>46267</v>
      </c>
      <c r="F32" s="9">
        <v>1</v>
      </c>
      <c r="G32" s="9" t="s">
        <v>77</v>
      </c>
      <c r="H32" s="9" t="s">
        <v>144</v>
      </c>
      <c r="I32" s="9" t="s">
        <v>134</v>
      </c>
      <c r="J32" s="9" t="s">
        <v>78</v>
      </c>
      <c r="K32" s="9" t="s">
        <v>153</v>
      </c>
      <c r="L32" s="9" t="s">
        <v>131</v>
      </c>
      <c r="M32" s="9" t="s">
        <v>239</v>
      </c>
      <c r="N32" s="9" t="s">
        <v>151</v>
      </c>
      <c r="O32" s="9" t="s">
        <v>244</v>
      </c>
      <c r="P32" s="9" t="s">
        <v>152</v>
      </c>
      <c r="Q32" s="9"/>
      <c r="R32" s="9">
        <v>8</v>
      </c>
      <c r="S32" s="9">
        <v>74547547</v>
      </c>
      <c r="T32" t="s">
        <v>232</v>
      </c>
      <c r="U32" s="9" t="s">
        <v>147</v>
      </c>
      <c r="V32" s="9"/>
      <c r="W32" s="19" t="s">
        <v>160</v>
      </c>
      <c r="X32" s="9">
        <v>61</v>
      </c>
      <c r="Y32" s="9">
        <v>2</v>
      </c>
      <c r="Z32" s="9">
        <v>15</v>
      </c>
      <c r="AA32" s="9" t="str">
        <f>IF(Tabla152[[#This Row],[NOTA]]=15,"CUMPLE","NO CUMPLE")</f>
        <v>CUMPLE</v>
      </c>
      <c r="AB32" s="9" t="str">
        <f>IF(COUNTIF($A$10:A32,A32)=1,IF(COUNTIFS($A:$A,A32,$AA:$AA,"NO CUMPLE")&gt;0,"NO CUMPLE","CUMPLE"),"")</f>
        <v/>
      </c>
      <c r="AC32" s="9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18"/>
      <c r="BX32" s="18">
        <f>IF($X32="","",AE32/$X$10)</f>
        <v>0</v>
      </c>
      <c r="BY32" s="18">
        <f>IF($X32="","",AF32/$X$10)</f>
        <v>0</v>
      </c>
      <c r="BZ32" s="18">
        <f>IF($X32="","",AG32/$X$10)</f>
        <v>0</v>
      </c>
      <c r="CA32" s="18">
        <f>IF($X32="","",AH32/$X$10)</f>
        <v>0</v>
      </c>
      <c r="CB32" s="18">
        <f t="shared" si="2"/>
        <v>0</v>
      </c>
      <c r="CC32" s="18">
        <f>IF($X32="","",AJ32/$X$10)</f>
        <v>0</v>
      </c>
      <c r="CD32" s="18">
        <f>IF($X32="","",AK32/$X$10)</f>
        <v>0</v>
      </c>
      <c r="CE32" s="18">
        <f>IF($X32="","",AL32/$X$10)</f>
        <v>0</v>
      </c>
      <c r="CF32" s="18">
        <f>IF($X32="","",AM32/$X$10)</f>
        <v>0</v>
      </c>
      <c r="CG32" s="18">
        <f>IF($X32="","",AN32/$X$10)</f>
        <v>0</v>
      </c>
      <c r="CH32" s="18">
        <f>IF($X32="","",AO32/$X$10)</f>
        <v>0</v>
      </c>
      <c r="CI32" s="18">
        <f>IF($X32="","",AP32/$X$10)</f>
        <v>0</v>
      </c>
      <c r="CJ32" s="18">
        <f>IF($X32="","",AQ32/$X$10)</f>
        <v>0</v>
      </c>
      <c r="CK32" s="18">
        <f>IF($X32="","",AR32/$X$10)</f>
        <v>0</v>
      </c>
      <c r="CL32" s="18">
        <f>IF($X32="","",AS32/$X$10)</f>
        <v>0</v>
      </c>
      <c r="CM32" s="18">
        <f>IF($X32="","",AT32/$X$10)</f>
        <v>0</v>
      </c>
      <c r="CN32" s="18">
        <f>IF($X32="","",AU32/$X$10)</f>
        <v>0</v>
      </c>
      <c r="CO32" s="18">
        <f>IF($X32="","",AV32/$X$10)</f>
        <v>0</v>
      </c>
      <c r="CP32" s="18">
        <f>IF($X32="","",AW32/$X$10)</f>
        <v>0</v>
      </c>
      <c r="CQ32" s="18">
        <f>IF($X32="","",AX32/$X$10)</f>
        <v>0</v>
      </c>
      <c r="CR32" s="18">
        <f>IF($X32="","",AY32/$X$10)</f>
        <v>0</v>
      </c>
      <c r="CS32" s="18">
        <f>IF($X32="","",AZ32/$X$10)</f>
        <v>0</v>
      </c>
      <c r="CT32" s="18">
        <f>IF($X32="","",BA32/$X$10)</f>
        <v>0</v>
      </c>
      <c r="CU32" s="18">
        <f>IF($X32="","",BB32/$X$10)</f>
        <v>0</v>
      </c>
      <c r="CV32" s="18">
        <f>IF($X32="","",BC32/$X$10)</f>
        <v>0</v>
      </c>
      <c r="CW32" s="18">
        <f>IF($X32="","",BD32/$X$10)</f>
        <v>0</v>
      </c>
      <c r="CX32" s="18">
        <f>IF($X32="","",BE32/$X$10)</f>
        <v>0</v>
      </c>
      <c r="CY32" s="18">
        <f>IF($X32="","",BF32/$X$10)</f>
        <v>0</v>
      </c>
      <c r="CZ32" s="18">
        <f>IF($X32="","",BG32/$X$10)</f>
        <v>0</v>
      </c>
      <c r="DA32" s="18">
        <f>IF($X32="","",BH32/$X$10)</f>
        <v>0</v>
      </c>
      <c r="DB32" s="18">
        <f>IF($X32="","",BI32/$X$10)</f>
        <v>0</v>
      </c>
      <c r="DC32" s="18">
        <f>IF($X32="","",BJ32/$X$10)</f>
        <v>0</v>
      </c>
      <c r="DD32" s="18">
        <f>IF($X32="","",BK32/$X$10)</f>
        <v>0</v>
      </c>
      <c r="DE32" s="18">
        <f>IF($X32="","",BL32/$X$10)</f>
        <v>0</v>
      </c>
      <c r="DF32" s="18">
        <f>IF($X32="","",BM32/$X$10)</f>
        <v>0</v>
      </c>
      <c r="DG32" s="18">
        <f t="shared" si="3"/>
        <v>0</v>
      </c>
      <c r="DH32" s="18">
        <f>IF($X32="","",BO32/$X$10)</f>
        <v>0</v>
      </c>
      <c r="DI32" s="18">
        <f>IF($X32="","",BP32/$X$10)</f>
        <v>0</v>
      </c>
      <c r="DJ32" s="18">
        <f>IF($X32="","",BQ32/$X$10)</f>
        <v>0</v>
      </c>
      <c r="DK32" s="18">
        <f>IF($X32="","",BR32/$X$10)</f>
        <v>0</v>
      </c>
      <c r="DL32" s="18">
        <f>IF($X32="","",BS32/$X$10)</f>
        <v>0</v>
      </c>
      <c r="DM32" s="18">
        <f>IF($X32="","",BT32/$X$10)</f>
        <v>0</v>
      </c>
      <c r="DN32" s="18">
        <f t="shared" si="5"/>
        <v>0</v>
      </c>
      <c r="DO32" s="16">
        <f>IF($X32="","",SUM(Tabla152[[#This Row],[PODRIDO]],Tabla152[[#This Row],[HONGO]],Tabla152[[#This Row],[PICADO DE AVE CON PUDRICIÓN]],Tabla152[[#This Row],[FUMAGINA]])/$X$10)</f>
        <v>0</v>
      </c>
      <c r="DP32" s="16">
        <f>IF($X32="","",SUM(Tabla152[[#This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32" s="16">
        <f>IF($X32="","",SUM(Tabla152[[#This Row],[BLANDO]:[COLAPSADO]])/$X$10)</f>
        <v>0</v>
      </c>
      <c r="DR32" s="16">
        <f>IF($X32="","",SUM(Tabla152[[#This Row],[DESHIDRATADO LEVE]:[DESHIDRATADO INMADURO]])/$X$10)</f>
        <v>0</v>
      </c>
      <c r="DS32" s="18">
        <f t="shared" si="1"/>
        <v>0</v>
      </c>
      <c r="DT32" s="16">
        <f>IF($X32="","",SUM(Tabla152[[#This Row],[PRESENCIA DE LARVA]],Tabla152[[#This Row],[CHANCHITO BLANCO]])/$X$10)</f>
        <v>0</v>
      </c>
      <c r="DU32" s="18">
        <f>IF($X32="","",SUM(Tabla152[[#This Row],[ROJO GRADO 2 A MÁS]],Tabla152[[#This Row],[IMMADURO VERDE]],Tabla152[[#This Row],[DESORDEN POR MADURACIÓN]],Tabla152[[#This Row],[ARO PEDICELAR VERDE EXTREMO]])/$X$10)</f>
        <v>0</v>
      </c>
      <c r="DV32" s="16">
        <f>IF($X32="","",SUM(Tabla152[[#This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32" s="16">
        <f>IF($X32="","",BU32/$X$10)</f>
        <v>0</v>
      </c>
      <c r="DX32" s="16">
        <f>IF($X32="","",AJ32/$X$10)</f>
        <v>0</v>
      </c>
      <c r="DY32" s="16">
        <f>IF($X32="","",SUM(Tabla152[[#This Row],[PRESENCIA DE COROLA]],Tabla152[[#This Row],[PRESENCIA DE RESTO FLORAL VERDE]],Tabla152[[#This Row],[PRESENCIA DE PEDÚNCULO]])/$X$10)</f>
        <v>0</v>
      </c>
      <c r="DZ32" s="16">
        <f>IF($X32="","",SUM(Tabla152[[#This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33" spans="1:130" x14ac:dyDescent="0.3">
      <c r="A33" s="9">
        <f>IF(W33="","",IF(ROW()=10,1,IF(W33=W32,A32,MAX($A$9:A32)+1)))</f>
        <v>8</v>
      </c>
      <c r="B33" s="9">
        <f>WEEKNUM(Tabla152[[#This Row],[FECHA DE COSECHA]],21)</f>
        <v>36</v>
      </c>
      <c r="C33" s="9"/>
      <c r="D33" s="17">
        <v>46267</v>
      </c>
      <c r="E33" s="17">
        <v>46267</v>
      </c>
      <c r="F33" s="9">
        <v>1</v>
      </c>
      <c r="G33" s="9" t="s">
        <v>77</v>
      </c>
      <c r="H33" s="9" t="s">
        <v>144</v>
      </c>
      <c r="I33" s="9" t="s">
        <v>134</v>
      </c>
      <c r="J33" s="9" t="s">
        <v>78</v>
      </c>
      <c r="K33" s="9" t="s">
        <v>153</v>
      </c>
      <c r="L33" s="9" t="s">
        <v>131</v>
      </c>
      <c r="M33" s="9" t="s">
        <v>239</v>
      </c>
      <c r="N33" s="9" t="s">
        <v>151</v>
      </c>
      <c r="O33" s="9" t="s">
        <v>244</v>
      </c>
      <c r="P33" s="9" t="s">
        <v>152</v>
      </c>
      <c r="Q33" s="9"/>
      <c r="R33" s="9">
        <v>8</v>
      </c>
      <c r="S33" s="9">
        <v>74547547</v>
      </c>
      <c r="T33" t="s">
        <v>232</v>
      </c>
      <c r="U33" s="9" t="s">
        <v>147</v>
      </c>
      <c r="V33" s="9"/>
      <c r="W33" s="19" t="s">
        <v>160</v>
      </c>
      <c r="X33" s="9">
        <v>61</v>
      </c>
      <c r="Y33" s="9">
        <v>3</v>
      </c>
      <c r="Z33" s="9">
        <v>15</v>
      </c>
      <c r="AA33" s="9" t="str">
        <f>IF(Tabla152[[#This Row],[NOTA]]=15,"CUMPLE","NO CUMPLE")</f>
        <v>CUMPLE</v>
      </c>
      <c r="AB33" s="9" t="str">
        <f>IF(COUNTIF($A$10:A33,A33)=1,IF(COUNTIFS($A:$A,A33,$AA:$AA,"NO CUMPLE")&gt;0,"NO CUMPLE","CUMPLE"),"")</f>
        <v/>
      </c>
      <c r="AC33" s="9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18"/>
      <c r="BX33" s="18">
        <f>IF($X33="","",AE33/$X$10)</f>
        <v>0</v>
      </c>
      <c r="BY33" s="18">
        <f>IF($X33="","",AF33/$X$10)</f>
        <v>0</v>
      </c>
      <c r="BZ33" s="18">
        <f>IF($X33="","",AG33/$X$10)</f>
        <v>0</v>
      </c>
      <c r="CA33" s="18">
        <f>IF($X33="","",AH33/$X$10)</f>
        <v>0</v>
      </c>
      <c r="CB33" s="18">
        <f t="shared" si="2"/>
        <v>0</v>
      </c>
      <c r="CC33" s="18">
        <f>IF($X33="","",AJ33/$X$10)</f>
        <v>0</v>
      </c>
      <c r="CD33" s="18">
        <f>IF($X33="","",AK33/$X$10)</f>
        <v>0</v>
      </c>
      <c r="CE33" s="18">
        <f>IF($X33="","",AL33/$X$10)</f>
        <v>0</v>
      </c>
      <c r="CF33" s="18">
        <f>IF($X33="","",AM33/$X$10)</f>
        <v>0</v>
      </c>
      <c r="CG33" s="18">
        <f>IF($X33="","",AN33/$X$10)</f>
        <v>0</v>
      </c>
      <c r="CH33" s="18">
        <f>IF($X33="","",AO33/$X$10)</f>
        <v>0</v>
      </c>
      <c r="CI33" s="18">
        <f>IF($X33="","",AP33/$X$10)</f>
        <v>0</v>
      </c>
      <c r="CJ33" s="18">
        <f>IF($X33="","",AQ33/$X$10)</f>
        <v>0</v>
      </c>
      <c r="CK33" s="18">
        <f>IF($X33="","",AR33/$X$10)</f>
        <v>0</v>
      </c>
      <c r="CL33" s="18">
        <f>IF($X33="","",AS33/$X$10)</f>
        <v>0</v>
      </c>
      <c r="CM33" s="18">
        <f>IF($X33="","",AT33/$X$10)</f>
        <v>0</v>
      </c>
      <c r="CN33" s="18">
        <f>IF($X33="","",AU33/$X$10)</f>
        <v>0</v>
      </c>
      <c r="CO33" s="18">
        <f>IF($X33="","",AV33/$X$10)</f>
        <v>0</v>
      </c>
      <c r="CP33" s="18">
        <f>IF($X33="","",AW33/$X$10)</f>
        <v>0</v>
      </c>
      <c r="CQ33" s="18">
        <f>IF($X33="","",AX33/$X$10)</f>
        <v>0</v>
      </c>
      <c r="CR33" s="18">
        <f>IF($X33="","",AY33/$X$10)</f>
        <v>0</v>
      </c>
      <c r="CS33" s="18">
        <f>IF($X33="","",AZ33/$X$10)</f>
        <v>0</v>
      </c>
      <c r="CT33" s="18">
        <f>IF($X33="","",BA33/$X$10)</f>
        <v>0</v>
      </c>
      <c r="CU33" s="18">
        <f>IF($X33="","",BB33/$X$10)</f>
        <v>0</v>
      </c>
      <c r="CV33" s="18">
        <f>IF($X33="","",BC33/$X$10)</f>
        <v>0</v>
      </c>
      <c r="CW33" s="18">
        <f>IF($X33="","",BD33/$X$10)</f>
        <v>0</v>
      </c>
      <c r="CX33" s="18">
        <f>IF($X33="","",BE33/$X$10)</f>
        <v>0</v>
      </c>
      <c r="CY33" s="18">
        <f>IF($X33="","",BF33/$X$10)</f>
        <v>0</v>
      </c>
      <c r="CZ33" s="18">
        <f>IF($X33="","",BG33/$X$10)</f>
        <v>0</v>
      </c>
      <c r="DA33" s="18">
        <f>IF($X33="","",BH33/$X$10)</f>
        <v>0</v>
      </c>
      <c r="DB33" s="18">
        <f>IF($X33="","",BI33/$X$10)</f>
        <v>0</v>
      </c>
      <c r="DC33" s="18">
        <f>IF($X33="","",BJ33/$X$10)</f>
        <v>0</v>
      </c>
      <c r="DD33" s="18">
        <f>IF($X33="","",BK33/$X$10)</f>
        <v>0</v>
      </c>
      <c r="DE33" s="18">
        <f>IF($X33="","",BL33/$X$10)</f>
        <v>0</v>
      </c>
      <c r="DF33" s="18">
        <f>IF($X33="","",BM33/$X$10)</f>
        <v>0</v>
      </c>
      <c r="DG33" s="18">
        <f t="shared" si="3"/>
        <v>0</v>
      </c>
      <c r="DH33" s="18">
        <f>IF($X33="","",BO33/$X$10)</f>
        <v>0</v>
      </c>
      <c r="DI33" s="18">
        <f>IF($X33="","",BP33/$X$10)</f>
        <v>0</v>
      </c>
      <c r="DJ33" s="18">
        <f>IF($X33="","",BQ33/$X$10)</f>
        <v>0</v>
      </c>
      <c r="DK33" s="18">
        <f>IF($X33="","",BR33/$X$10)</f>
        <v>0</v>
      </c>
      <c r="DL33" s="18">
        <f>IF($X33="","",BS33/$X$10)</f>
        <v>0</v>
      </c>
      <c r="DM33" s="18">
        <f>IF($X33="","",BT33/$X$10)</f>
        <v>0</v>
      </c>
      <c r="DN33" s="18">
        <f t="shared" si="5"/>
        <v>0</v>
      </c>
      <c r="DO33" s="16">
        <f>IF($X33="","",SUM(Tabla152[[#This Row],[PODRIDO]],Tabla152[[#This Row],[HONGO]],Tabla152[[#This Row],[PICADO DE AVE CON PUDRICIÓN]],Tabla152[[#This Row],[FUMAGINA]])/$X$10)</f>
        <v>0</v>
      </c>
      <c r="DP33" s="16">
        <f>IF($X33="","",SUM(Tabla152[[#This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33" s="16">
        <f>IF($X33="","",SUM(Tabla152[[#This Row],[BLANDO]:[COLAPSADO]])/$X$10)</f>
        <v>0</v>
      </c>
      <c r="DR33" s="16">
        <f>IF($X33="","",SUM(Tabla152[[#This Row],[DESHIDRATADO LEVE]:[DESHIDRATADO INMADURO]])/$X$10)</f>
        <v>0</v>
      </c>
      <c r="DS33" s="18">
        <f t="shared" si="1"/>
        <v>0</v>
      </c>
      <c r="DT33" s="16">
        <f>IF($X33="","",SUM(Tabla152[[#This Row],[PRESENCIA DE LARVA]],Tabla152[[#This Row],[CHANCHITO BLANCO]])/$X$10)</f>
        <v>0</v>
      </c>
      <c r="DU33" s="18">
        <f>IF($X33="","",SUM(Tabla152[[#This Row],[ROJO GRADO 2 A MÁS]],Tabla152[[#This Row],[IMMADURO VERDE]],Tabla152[[#This Row],[DESORDEN POR MADURACIÓN]],Tabla152[[#This Row],[ARO PEDICELAR VERDE EXTREMO]])/$X$10)</f>
        <v>0</v>
      </c>
      <c r="DV33" s="16">
        <f>IF($X33="","",SUM(Tabla152[[#This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33" s="16">
        <f>IF($X33="","",BU33/$X$10)</f>
        <v>0</v>
      </c>
      <c r="DX33" s="16">
        <f>IF($X33="","",AJ33/$X$10)</f>
        <v>0</v>
      </c>
      <c r="DY33" s="16">
        <f>IF($X33="","",SUM(Tabla152[[#This Row],[PRESENCIA DE COROLA]],Tabla152[[#This Row],[PRESENCIA DE RESTO FLORAL VERDE]],Tabla152[[#This Row],[PRESENCIA DE PEDÚNCULO]])/$X$10)</f>
        <v>0</v>
      </c>
      <c r="DZ33" s="16">
        <f>IF($X33="","",SUM(Tabla152[[#This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34" spans="1:130" x14ac:dyDescent="0.3">
      <c r="A34" s="9">
        <f>IF(W34="","",IF(ROW()=10,1,IF(W34=W33,A33,MAX($A$9:A33)+1)))</f>
        <v>9</v>
      </c>
      <c r="B34" s="9">
        <f>WEEKNUM(Tabla152[[#This Row],[FECHA DE COSECHA]],21)</f>
        <v>36</v>
      </c>
      <c r="C34" s="9"/>
      <c r="D34" s="17">
        <v>46267</v>
      </c>
      <c r="E34" s="17">
        <v>46267</v>
      </c>
      <c r="F34" s="9">
        <v>1</v>
      </c>
      <c r="G34" s="9" t="s">
        <v>77</v>
      </c>
      <c r="H34" s="9" t="s">
        <v>144</v>
      </c>
      <c r="I34" s="9" t="s">
        <v>134</v>
      </c>
      <c r="J34" s="9" t="s">
        <v>78</v>
      </c>
      <c r="K34" s="9" t="s">
        <v>153</v>
      </c>
      <c r="L34" s="9" t="s">
        <v>131</v>
      </c>
      <c r="M34" s="9" t="s">
        <v>239</v>
      </c>
      <c r="N34" s="9" t="s">
        <v>151</v>
      </c>
      <c r="O34" s="9" t="s">
        <v>244</v>
      </c>
      <c r="P34" s="9" t="s">
        <v>152</v>
      </c>
      <c r="Q34" s="9"/>
      <c r="R34" s="9">
        <v>8</v>
      </c>
      <c r="S34" s="9">
        <v>74547547</v>
      </c>
      <c r="T34" t="s">
        <v>232</v>
      </c>
      <c r="U34" s="9" t="s">
        <v>147</v>
      </c>
      <c r="V34" s="9"/>
      <c r="W34" s="19" t="s">
        <v>161</v>
      </c>
      <c r="X34" s="9">
        <v>61</v>
      </c>
      <c r="Y34" s="9">
        <v>1</v>
      </c>
      <c r="Z34" s="9">
        <v>15</v>
      </c>
      <c r="AA34" s="9" t="str">
        <f>IF(Tabla152[[#This Row],[NOTA]]=15,"CUMPLE","NO CUMPLE")</f>
        <v>CUMPLE</v>
      </c>
      <c r="AB34" s="9" t="str">
        <f>IF(COUNTIF($A$10:A34,A34)=1,IF(COUNTIFS($A:$A,A34,$AA:$AA,"NO CUMPLE")&gt;0,"NO CUMPLE","CUMPLE"),"")</f>
        <v>CUMPLE</v>
      </c>
      <c r="AC34" s="9" t="s">
        <v>140</v>
      </c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18"/>
      <c r="BX34" s="18">
        <f>IF($X34="","",AE34/$X$10)</f>
        <v>0</v>
      </c>
      <c r="BY34" s="18">
        <f>IF($X34="","",AF34/$X$10)</f>
        <v>0</v>
      </c>
      <c r="BZ34" s="18">
        <f>IF($X34="","",AG34/$X$10)</f>
        <v>0</v>
      </c>
      <c r="CA34" s="18">
        <f>IF($X34="","",AH34/$X$10)</f>
        <v>0</v>
      </c>
      <c r="CB34" s="18">
        <f t="shared" si="2"/>
        <v>0</v>
      </c>
      <c r="CC34" s="18">
        <f>IF($X34="","",AJ34/$X$10)</f>
        <v>0</v>
      </c>
      <c r="CD34" s="18">
        <f>IF($X34="","",AK34/$X$10)</f>
        <v>0</v>
      </c>
      <c r="CE34" s="18">
        <f>IF($X34="","",AL34/$X$10)</f>
        <v>0</v>
      </c>
      <c r="CF34" s="18">
        <f>IF($X34="","",AM34/$X$10)</f>
        <v>0</v>
      </c>
      <c r="CG34" s="18">
        <f>IF($X34="","",AN34/$X$10)</f>
        <v>0</v>
      </c>
      <c r="CH34" s="18">
        <f>IF($X34="","",AO34/$X$10)</f>
        <v>0</v>
      </c>
      <c r="CI34" s="18">
        <f>IF($X34="","",AP34/$X$10)</f>
        <v>0</v>
      </c>
      <c r="CJ34" s="18">
        <f>IF($X34="","",AQ34/$X$10)</f>
        <v>0</v>
      </c>
      <c r="CK34" s="18">
        <f>IF($X34="","",AR34/$X$10)</f>
        <v>0</v>
      </c>
      <c r="CL34" s="18">
        <f>IF($X34="","",AS34/$X$10)</f>
        <v>0</v>
      </c>
      <c r="CM34" s="18">
        <f>IF($X34="","",AT34/$X$10)</f>
        <v>0</v>
      </c>
      <c r="CN34" s="18">
        <f>IF($X34="","",AU34/$X$10)</f>
        <v>0</v>
      </c>
      <c r="CO34" s="18">
        <f>IF($X34="","",AV34/$X$10)</f>
        <v>0</v>
      </c>
      <c r="CP34" s="18">
        <f>IF($X34="","",AW34/$X$10)</f>
        <v>0</v>
      </c>
      <c r="CQ34" s="18">
        <f>IF($X34="","",AX34/$X$10)</f>
        <v>0</v>
      </c>
      <c r="CR34" s="18">
        <f>IF($X34="","",AY34/$X$10)</f>
        <v>0</v>
      </c>
      <c r="CS34" s="18">
        <f>IF($X34="","",AZ34/$X$10)</f>
        <v>0</v>
      </c>
      <c r="CT34" s="18">
        <f>IF($X34="","",BA34/$X$10)</f>
        <v>0</v>
      </c>
      <c r="CU34" s="18">
        <f>IF($X34="","",BB34/$X$10)</f>
        <v>0</v>
      </c>
      <c r="CV34" s="18">
        <f>IF($X34="","",BC34/$X$10)</f>
        <v>0</v>
      </c>
      <c r="CW34" s="18">
        <f>IF($X34="","",BD34/$X$10)</f>
        <v>0</v>
      </c>
      <c r="CX34" s="18">
        <f>IF($X34="","",BE34/$X$10)</f>
        <v>0</v>
      </c>
      <c r="CY34" s="18">
        <f>IF($X34="","",BF34/$X$10)</f>
        <v>0</v>
      </c>
      <c r="CZ34" s="18">
        <f>IF($X34="","",BG34/$X$10)</f>
        <v>0</v>
      </c>
      <c r="DA34" s="18">
        <f>IF($X34="","",BH34/$X$10)</f>
        <v>0</v>
      </c>
      <c r="DB34" s="18">
        <f>IF($X34="","",BI34/$X$10)</f>
        <v>0</v>
      </c>
      <c r="DC34" s="18">
        <f>IF($X34="","",BJ34/$X$10)</f>
        <v>0</v>
      </c>
      <c r="DD34" s="18">
        <f>IF($X34="","",BK34/$X$10)</f>
        <v>0</v>
      </c>
      <c r="DE34" s="18">
        <f>IF($X34="","",BL34/$X$10)</f>
        <v>0</v>
      </c>
      <c r="DF34" s="18">
        <f>IF($X34="","",BM34/$X$10)</f>
        <v>0</v>
      </c>
      <c r="DG34" s="18">
        <f t="shared" si="3"/>
        <v>0</v>
      </c>
      <c r="DH34" s="18">
        <f>IF($X34="","",BO34/$X$10)</f>
        <v>0</v>
      </c>
      <c r="DI34" s="18">
        <f>IF($X34="","",BP34/$X$10)</f>
        <v>0</v>
      </c>
      <c r="DJ34" s="18">
        <f>IF($X34="","",BQ34/$X$10)</f>
        <v>0</v>
      </c>
      <c r="DK34" s="18">
        <f>IF($X34="","",BR34/$X$10)</f>
        <v>0</v>
      </c>
      <c r="DL34" s="18">
        <f>IF($X34="","",BS34/$X$10)</f>
        <v>0</v>
      </c>
      <c r="DM34" s="18">
        <f>IF($X34="","",BT34/$X$10)</f>
        <v>0</v>
      </c>
      <c r="DN34" s="18">
        <f t="shared" si="5"/>
        <v>0</v>
      </c>
      <c r="DO34" s="16">
        <f>IF($X34="","",SUM(Tabla152[[#This Row],[PODRIDO]],Tabla152[[#This Row],[HONGO]],Tabla152[[#This Row],[PICADO DE AVE CON PUDRICIÓN]],Tabla152[[#This Row],[FUMAGINA]])/$X$10)</f>
        <v>0</v>
      </c>
      <c r="DP34" s="16">
        <f>IF($X34="","",SUM(Tabla152[[#This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34" s="16">
        <f>IF($X34="","",SUM(Tabla152[[#This Row],[BLANDO]:[COLAPSADO]])/$X$10)</f>
        <v>0</v>
      </c>
      <c r="DR34" s="16">
        <f>IF($X34="","",SUM(Tabla152[[#This Row],[DESHIDRATADO LEVE]:[DESHIDRATADO INMADURO]])/$X$10)</f>
        <v>0</v>
      </c>
      <c r="DS34" s="18">
        <f t="shared" si="1"/>
        <v>0</v>
      </c>
      <c r="DT34" s="16">
        <f>IF($X34="","",SUM(Tabla152[[#This Row],[PRESENCIA DE LARVA]],Tabla152[[#This Row],[CHANCHITO BLANCO]])/$X$10)</f>
        <v>0</v>
      </c>
      <c r="DU34" s="18">
        <f>IF($X34="","",SUM(Tabla152[[#This Row],[ROJO GRADO 2 A MÁS]],Tabla152[[#This Row],[IMMADURO VERDE]],Tabla152[[#This Row],[DESORDEN POR MADURACIÓN]],Tabla152[[#This Row],[ARO PEDICELAR VERDE EXTREMO]])/$X$10)</f>
        <v>0</v>
      </c>
      <c r="DV34" s="16">
        <f>IF($X34="","",SUM(Tabla152[[#This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34" s="16">
        <f>IF($X34="","",BU34/$X$10)</f>
        <v>0</v>
      </c>
      <c r="DX34" s="16">
        <f>IF($X34="","",AJ34/$X$10)</f>
        <v>0</v>
      </c>
      <c r="DY34" s="16">
        <f>IF($X34="","",SUM(Tabla152[[#This Row],[PRESENCIA DE COROLA]],Tabla152[[#This Row],[PRESENCIA DE RESTO FLORAL VERDE]],Tabla152[[#This Row],[PRESENCIA DE PEDÚNCULO]])/$X$10)</f>
        <v>0</v>
      </c>
      <c r="DZ34" s="16">
        <f>IF($X34="","",SUM(Tabla152[[#This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35" spans="1:130" x14ac:dyDescent="0.3">
      <c r="A35" s="9">
        <f>IF(W35="","",IF(ROW()=10,1,IF(W35=W34,A34,MAX($A$9:A34)+1)))</f>
        <v>9</v>
      </c>
      <c r="B35" s="9">
        <f>WEEKNUM(Tabla152[[#This Row],[FECHA DE COSECHA]],21)</f>
        <v>36</v>
      </c>
      <c r="C35" s="9"/>
      <c r="D35" s="17">
        <v>46267</v>
      </c>
      <c r="E35" s="17">
        <v>46267</v>
      </c>
      <c r="F35" s="9">
        <v>1</v>
      </c>
      <c r="G35" s="9" t="s">
        <v>77</v>
      </c>
      <c r="H35" s="9" t="s">
        <v>144</v>
      </c>
      <c r="I35" s="9" t="s">
        <v>134</v>
      </c>
      <c r="J35" s="9" t="s">
        <v>78</v>
      </c>
      <c r="K35" s="9" t="s">
        <v>153</v>
      </c>
      <c r="L35" s="9" t="s">
        <v>131</v>
      </c>
      <c r="M35" s="9" t="s">
        <v>239</v>
      </c>
      <c r="N35" s="9" t="s">
        <v>151</v>
      </c>
      <c r="O35" s="9" t="s">
        <v>244</v>
      </c>
      <c r="P35" s="9" t="s">
        <v>152</v>
      </c>
      <c r="Q35" s="9"/>
      <c r="R35" s="9">
        <v>8</v>
      </c>
      <c r="S35" s="9">
        <v>74547547</v>
      </c>
      <c r="T35" t="s">
        <v>232</v>
      </c>
      <c r="U35" s="9" t="s">
        <v>147</v>
      </c>
      <c r="V35" s="9"/>
      <c r="W35" s="19" t="s">
        <v>161</v>
      </c>
      <c r="X35" s="9">
        <v>61</v>
      </c>
      <c r="Y35" s="9">
        <v>2</v>
      </c>
      <c r="Z35" s="9">
        <v>15</v>
      </c>
      <c r="AA35" s="9" t="str">
        <f>IF(Tabla152[[#This Row],[NOTA]]=15,"CUMPLE","NO CUMPLE")</f>
        <v>CUMPLE</v>
      </c>
      <c r="AB35" s="9" t="str">
        <f>IF(COUNTIF($A$10:A35,A35)=1,IF(COUNTIFS($A:$A,A35,$AA:$AA,"NO CUMPLE")&gt;0,"NO CUMPLE","CUMPLE"),"")</f>
        <v/>
      </c>
      <c r="AC35" s="9"/>
      <c r="AD35" s="8">
        <v>1</v>
      </c>
      <c r="AE35" s="8"/>
      <c r="AF35" s="8"/>
      <c r="AG35" s="8"/>
      <c r="AH35" s="8"/>
      <c r="AI35" s="8"/>
      <c r="AJ35" s="8">
        <v>1</v>
      </c>
      <c r="AK35" s="8"/>
      <c r="AL35" s="8"/>
      <c r="AM35" s="8"/>
      <c r="AN35" s="8"/>
      <c r="AO35" s="8"/>
      <c r="AP35" s="8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18"/>
      <c r="BX35" s="18">
        <f>IF($X35="","",AE35/$X$10)</f>
        <v>0</v>
      </c>
      <c r="BY35" s="18">
        <f>IF($X35="","",AF35/$X$10)</f>
        <v>0</v>
      </c>
      <c r="BZ35" s="18">
        <f>IF($X35="","",AG35/$X$10)</f>
        <v>0</v>
      </c>
      <c r="CA35" s="18">
        <f>IF($X35="","",AH35/$X$10)</f>
        <v>0</v>
      </c>
      <c r="CB35" s="18">
        <f t="shared" si="2"/>
        <v>0</v>
      </c>
      <c r="CC35" s="18">
        <f>IF($X35="","",AJ35/$X$10)</f>
        <v>1.5873015873015872E-2</v>
      </c>
      <c r="CD35" s="18">
        <f>IF($X35="","",AK35/$X$10)</f>
        <v>0</v>
      </c>
      <c r="CE35" s="18">
        <f>IF($X35="","",AL35/$X$10)</f>
        <v>0</v>
      </c>
      <c r="CF35" s="18">
        <f>IF($X35="","",AM35/$X$10)</f>
        <v>0</v>
      </c>
      <c r="CG35" s="18">
        <f>IF($X35="","",AN35/$X$10)</f>
        <v>0</v>
      </c>
      <c r="CH35" s="18">
        <f>IF($X35="","",AO35/$X$10)</f>
        <v>0</v>
      </c>
      <c r="CI35" s="18">
        <f>IF($X35="","",AP35/$X$10)</f>
        <v>0</v>
      </c>
      <c r="CJ35" s="18">
        <f>IF($X35="","",AQ35/$X$10)</f>
        <v>0</v>
      </c>
      <c r="CK35" s="18">
        <f>IF($X35="","",AR35/$X$10)</f>
        <v>0</v>
      </c>
      <c r="CL35" s="18">
        <f>IF($X35="","",AS35/$X$10)</f>
        <v>0</v>
      </c>
      <c r="CM35" s="18">
        <f>IF($X35="","",AT35/$X$10)</f>
        <v>0</v>
      </c>
      <c r="CN35" s="18">
        <f>IF($X35="","",AU35/$X$10)</f>
        <v>0</v>
      </c>
      <c r="CO35" s="18">
        <f>IF($X35="","",AV35/$X$10)</f>
        <v>0</v>
      </c>
      <c r="CP35" s="18">
        <f>IF($X35="","",AW35/$X$10)</f>
        <v>0</v>
      </c>
      <c r="CQ35" s="18">
        <f>IF($X35="","",AX35/$X$10)</f>
        <v>0</v>
      </c>
      <c r="CR35" s="18">
        <f>IF($X35="","",AY35/$X$10)</f>
        <v>0</v>
      </c>
      <c r="CS35" s="18">
        <f>IF($X35="","",AZ35/$X$10)</f>
        <v>0</v>
      </c>
      <c r="CT35" s="18">
        <f>IF($X35="","",BA35/$X$10)</f>
        <v>0</v>
      </c>
      <c r="CU35" s="18">
        <f>IF($X35="","",BB35/$X$10)</f>
        <v>0</v>
      </c>
      <c r="CV35" s="18">
        <f>IF($X35="","",BC35/$X$10)</f>
        <v>0</v>
      </c>
      <c r="CW35" s="18">
        <f>IF($X35="","",BD35/$X$10)</f>
        <v>0</v>
      </c>
      <c r="CX35" s="18">
        <f>IF($X35="","",BE35/$X$10)</f>
        <v>0</v>
      </c>
      <c r="CY35" s="18">
        <f>IF($X35="","",BF35/$X$10)</f>
        <v>0</v>
      </c>
      <c r="CZ35" s="18">
        <f>IF($X35="","",BG35/$X$10)</f>
        <v>0</v>
      </c>
      <c r="DA35" s="18">
        <f>IF($X35="","",BH35/$X$10)</f>
        <v>0</v>
      </c>
      <c r="DB35" s="18">
        <f>IF($X35="","",BI35/$X$10)</f>
        <v>0</v>
      </c>
      <c r="DC35" s="18">
        <f>IF($X35="","",BJ35/$X$10)</f>
        <v>0</v>
      </c>
      <c r="DD35" s="18">
        <f>IF($X35="","",BK35/$X$10)</f>
        <v>0</v>
      </c>
      <c r="DE35" s="18">
        <f>IF($X35="","",BL35/$X$10)</f>
        <v>0</v>
      </c>
      <c r="DF35" s="18">
        <f>IF($X35="","",BM35/$X$10)</f>
        <v>0</v>
      </c>
      <c r="DG35" s="18">
        <f t="shared" si="3"/>
        <v>0</v>
      </c>
      <c r="DH35" s="18">
        <f>IF($X35="","",BO35/$X$10)</f>
        <v>0</v>
      </c>
      <c r="DI35" s="18">
        <f>IF($X35="","",BP35/$X$10)</f>
        <v>0</v>
      </c>
      <c r="DJ35" s="18">
        <f>IF($X35="","",BQ35/$X$10)</f>
        <v>0</v>
      </c>
      <c r="DK35" s="18">
        <f>IF($X35="","",BR35/$X$10)</f>
        <v>0</v>
      </c>
      <c r="DL35" s="18">
        <f>IF($X35="","",BS35/$X$10)</f>
        <v>0</v>
      </c>
      <c r="DM35" s="18">
        <f>IF($X35="","",BT35/$X$10)</f>
        <v>0</v>
      </c>
      <c r="DN35" s="18">
        <f t="shared" si="5"/>
        <v>0</v>
      </c>
      <c r="DO35" s="16">
        <f>IF($X35="","",SUM(Tabla152[[#This Row],[PODRIDO]],Tabla152[[#This Row],[HONGO]],Tabla152[[#This Row],[PICADO DE AVE CON PUDRICIÓN]],Tabla152[[#This Row],[FUMAGINA]])/$X$10)</f>
        <v>0</v>
      </c>
      <c r="DP35" s="16">
        <f>IF($X35="","",SUM(Tabla152[[#This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35" s="16">
        <f>IF($X35="","",SUM(Tabla152[[#This Row],[BLANDO]:[COLAPSADO]])/$X$10)</f>
        <v>0</v>
      </c>
      <c r="DR35" s="16">
        <f>IF($X35="","",SUM(Tabla152[[#This Row],[DESHIDRATADO LEVE]:[DESHIDRATADO INMADURO]])/$X$10)</f>
        <v>0</v>
      </c>
      <c r="DS35" s="18">
        <f t="shared" si="1"/>
        <v>0</v>
      </c>
      <c r="DT35" s="16">
        <f>IF($X35="","",SUM(Tabla152[[#This Row],[PRESENCIA DE LARVA]],Tabla152[[#This Row],[CHANCHITO BLANCO]])/$X$10)</f>
        <v>0</v>
      </c>
      <c r="DU35" s="18">
        <f>IF($X35="","",SUM(Tabla152[[#This Row],[ROJO GRADO 2 A MÁS]],Tabla152[[#This Row],[IMMADURO VERDE]],Tabla152[[#This Row],[DESORDEN POR MADURACIÓN]],Tabla152[[#This Row],[ARO PEDICELAR VERDE EXTREMO]])/$X$10)</f>
        <v>0</v>
      </c>
      <c r="DV35" s="16">
        <f>IF($X35="","",SUM(Tabla152[[#This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35" s="16">
        <f>IF($X35="","",BU35/$X$10)</f>
        <v>0</v>
      </c>
      <c r="DX35" s="16">
        <f>IF($X35="","",AJ35/$X$10)</f>
        <v>1.5873015873015872E-2</v>
      </c>
      <c r="DY35" s="16">
        <f>IF($X35="","",SUM(Tabla152[[#This Row],[PRESENCIA DE COROLA]],Tabla152[[#This Row],[PRESENCIA DE RESTO FLORAL VERDE]],Tabla152[[#This Row],[PRESENCIA DE PEDÚNCULO]])/$X$10)</f>
        <v>0</v>
      </c>
      <c r="DZ35" s="16">
        <f>IF($X35="","",SUM(Tabla152[[#This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1.5873015873015872E-2</v>
      </c>
    </row>
    <row r="36" spans="1:130" x14ac:dyDescent="0.3">
      <c r="A36" s="9">
        <f>IF(W36="","",IF(ROW()=10,1,IF(W36=W35,A35,MAX($A$9:A35)+1)))</f>
        <v>9</v>
      </c>
      <c r="B36" s="9">
        <f>WEEKNUM(Tabla152[[#This Row],[FECHA DE COSECHA]],21)</f>
        <v>36</v>
      </c>
      <c r="C36" s="9"/>
      <c r="D36" s="17">
        <v>46267</v>
      </c>
      <c r="E36" s="17">
        <v>46267</v>
      </c>
      <c r="F36" s="9">
        <v>1</v>
      </c>
      <c r="G36" s="9" t="s">
        <v>77</v>
      </c>
      <c r="H36" s="9" t="s">
        <v>144</v>
      </c>
      <c r="I36" s="9" t="s">
        <v>134</v>
      </c>
      <c r="J36" s="9" t="s">
        <v>78</v>
      </c>
      <c r="K36" s="9" t="s">
        <v>153</v>
      </c>
      <c r="L36" s="9" t="s">
        <v>131</v>
      </c>
      <c r="M36" s="9" t="s">
        <v>239</v>
      </c>
      <c r="N36" s="9" t="s">
        <v>151</v>
      </c>
      <c r="O36" s="9" t="s">
        <v>244</v>
      </c>
      <c r="P36" s="9" t="s">
        <v>152</v>
      </c>
      <c r="Q36" s="9"/>
      <c r="R36" s="9">
        <v>8</v>
      </c>
      <c r="S36" s="9">
        <v>74547547</v>
      </c>
      <c r="T36" t="s">
        <v>232</v>
      </c>
      <c r="U36" s="9" t="s">
        <v>147</v>
      </c>
      <c r="V36" s="9"/>
      <c r="W36" s="19" t="s">
        <v>161</v>
      </c>
      <c r="X36" s="9">
        <v>61</v>
      </c>
      <c r="Y36" s="9">
        <v>3</v>
      </c>
      <c r="Z36" s="9">
        <v>15</v>
      </c>
      <c r="AA36" s="9" t="str">
        <f>IF(Tabla152[[#This Row],[NOTA]]=15,"CUMPLE","NO CUMPLE")</f>
        <v>CUMPLE</v>
      </c>
      <c r="AB36" s="9" t="str">
        <f>IF(COUNTIF($A$10:A36,A36)=1,IF(COUNTIFS($A:$A,A36,$AA:$AA,"NO CUMPLE")&gt;0,"NO CUMPLE","CUMPLE"),"")</f>
        <v/>
      </c>
      <c r="AC36" s="9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18"/>
      <c r="BX36" s="18">
        <f>IF($X36="","",AE36/$X$10)</f>
        <v>0</v>
      </c>
      <c r="BY36" s="18">
        <f>IF($X36="","",AF36/$X$10)</f>
        <v>0</v>
      </c>
      <c r="BZ36" s="18">
        <f>IF($X36="","",AG36/$X$10)</f>
        <v>0</v>
      </c>
      <c r="CA36" s="18">
        <f>IF($X36="","",AH36/$X$10)</f>
        <v>0</v>
      </c>
      <c r="CB36" s="18">
        <f t="shared" si="2"/>
        <v>0</v>
      </c>
      <c r="CC36" s="18">
        <f>IF($X36="","",AJ36/$X$10)</f>
        <v>0</v>
      </c>
      <c r="CD36" s="18">
        <f>IF($X36="","",AK36/$X$10)</f>
        <v>0</v>
      </c>
      <c r="CE36" s="18">
        <f>IF($X36="","",AL36/$X$10)</f>
        <v>0</v>
      </c>
      <c r="CF36" s="18">
        <f>IF($X36="","",AM36/$X$10)</f>
        <v>0</v>
      </c>
      <c r="CG36" s="18">
        <f>IF($X36="","",AN36/$X$10)</f>
        <v>0</v>
      </c>
      <c r="CH36" s="18">
        <f>IF($X36="","",AO36/$X$10)</f>
        <v>0</v>
      </c>
      <c r="CI36" s="18">
        <f>IF($X36="","",AP36/$X$10)</f>
        <v>0</v>
      </c>
      <c r="CJ36" s="18">
        <f>IF($X36="","",AQ36/$X$10)</f>
        <v>0</v>
      </c>
      <c r="CK36" s="18">
        <f>IF($X36="","",AR36/$X$10)</f>
        <v>0</v>
      </c>
      <c r="CL36" s="18">
        <f>IF($X36="","",AS36/$X$10)</f>
        <v>0</v>
      </c>
      <c r="CM36" s="18">
        <f>IF($X36="","",AT36/$X$10)</f>
        <v>0</v>
      </c>
      <c r="CN36" s="18">
        <f>IF($X36="","",AU36/$X$10)</f>
        <v>0</v>
      </c>
      <c r="CO36" s="18">
        <f>IF($X36="","",AV36/$X$10)</f>
        <v>0</v>
      </c>
      <c r="CP36" s="18">
        <f>IF($X36="","",AW36/$X$10)</f>
        <v>0</v>
      </c>
      <c r="CQ36" s="18">
        <f>IF($X36="","",AX36/$X$10)</f>
        <v>0</v>
      </c>
      <c r="CR36" s="18">
        <f>IF($X36="","",AY36/$X$10)</f>
        <v>0</v>
      </c>
      <c r="CS36" s="18">
        <f>IF($X36="","",AZ36/$X$10)</f>
        <v>0</v>
      </c>
      <c r="CT36" s="18">
        <f>IF($X36="","",BA36/$X$10)</f>
        <v>0</v>
      </c>
      <c r="CU36" s="18">
        <f>IF($X36="","",BB36/$X$10)</f>
        <v>0</v>
      </c>
      <c r="CV36" s="18">
        <f>IF($X36="","",BC36/$X$10)</f>
        <v>0</v>
      </c>
      <c r="CW36" s="18">
        <f>IF($X36="","",BD36/$X$10)</f>
        <v>0</v>
      </c>
      <c r="CX36" s="18">
        <f>IF($X36="","",BE36/$X$10)</f>
        <v>0</v>
      </c>
      <c r="CY36" s="18">
        <f>IF($X36="","",BF36/$X$10)</f>
        <v>0</v>
      </c>
      <c r="CZ36" s="18">
        <f>IF($X36="","",BG36/$X$10)</f>
        <v>0</v>
      </c>
      <c r="DA36" s="18">
        <f>IF($X36="","",BH36/$X$10)</f>
        <v>0</v>
      </c>
      <c r="DB36" s="18">
        <f>IF($X36="","",BI36/$X$10)</f>
        <v>0</v>
      </c>
      <c r="DC36" s="18">
        <f>IF($X36="","",BJ36/$X$10)</f>
        <v>0</v>
      </c>
      <c r="DD36" s="18">
        <f>IF($X36="","",BK36/$X$10)</f>
        <v>0</v>
      </c>
      <c r="DE36" s="18">
        <f>IF($X36="","",BL36/$X$10)</f>
        <v>0</v>
      </c>
      <c r="DF36" s="18">
        <f>IF($X36="","",BM36/$X$10)</f>
        <v>0</v>
      </c>
      <c r="DG36" s="18">
        <f t="shared" si="3"/>
        <v>0</v>
      </c>
      <c r="DH36" s="18">
        <f>IF($X36="","",BO36/$X$10)</f>
        <v>0</v>
      </c>
      <c r="DI36" s="18">
        <f>IF($X36="","",BP36/$X$10)</f>
        <v>0</v>
      </c>
      <c r="DJ36" s="18">
        <f>IF($X36="","",BQ36/$X$10)</f>
        <v>0</v>
      </c>
      <c r="DK36" s="18">
        <f>IF($X36="","",BR36/$X$10)</f>
        <v>0</v>
      </c>
      <c r="DL36" s="18">
        <f>IF($X36="","",BS36/$X$10)</f>
        <v>0</v>
      </c>
      <c r="DM36" s="18">
        <f>IF($X36="","",BT36/$X$10)</f>
        <v>0</v>
      </c>
      <c r="DN36" s="18">
        <f t="shared" si="5"/>
        <v>0</v>
      </c>
      <c r="DO36" s="16">
        <f>IF($X36="","",SUM(Tabla152[[#This Row],[PODRIDO]],Tabla152[[#This Row],[HONGO]],Tabla152[[#This Row],[PICADO DE AVE CON PUDRICIÓN]],Tabla152[[#This Row],[FUMAGINA]])/$X$10)</f>
        <v>0</v>
      </c>
      <c r="DP36" s="16">
        <f>IF($X36="","",SUM(Tabla152[[#This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36" s="16">
        <f>IF($X36="","",SUM(Tabla152[[#This Row],[BLANDO]:[COLAPSADO]])/$X$10)</f>
        <v>0</v>
      </c>
      <c r="DR36" s="16">
        <f>IF($X36="","",SUM(Tabla152[[#This Row],[DESHIDRATADO LEVE]:[DESHIDRATADO INMADURO]])/$X$10)</f>
        <v>0</v>
      </c>
      <c r="DS36" s="18">
        <f t="shared" si="1"/>
        <v>0</v>
      </c>
      <c r="DT36" s="16">
        <f>IF($X36="","",SUM(Tabla152[[#This Row],[PRESENCIA DE LARVA]],Tabla152[[#This Row],[CHANCHITO BLANCO]])/$X$10)</f>
        <v>0</v>
      </c>
      <c r="DU36" s="18">
        <f>IF($X36="","",SUM(Tabla152[[#This Row],[ROJO GRADO 2 A MÁS]],Tabla152[[#This Row],[IMMADURO VERDE]],Tabla152[[#This Row],[DESORDEN POR MADURACIÓN]],Tabla152[[#This Row],[ARO PEDICELAR VERDE EXTREMO]])/$X$10)</f>
        <v>0</v>
      </c>
      <c r="DV36" s="16">
        <f>IF($X36="","",SUM(Tabla152[[#This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36" s="16">
        <f>IF($X36="","",BU36/$X$10)</f>
        <v>0</v>
      </c>
      <c r="DX36" s="16">
        <f>IF($X36="","",AJ36/$X$10)</f>
        <v>0</v>
      </c>
      <c r="DY36" s="16">
        <f>IF($X36="","",SUM(Tabla152[[#This Row],[PRESENCIA DE COROLA]],Tabla152[[#This Row],[PRESENCIA DE RESTO FLORAL VERDE]],Tabla152[[#This Row],[PRESENCIA DE PEDÚNCULO]])/$X$10)</f>
        <v>0</v>
      </c>
      <c r="DZ36" s="16">
        <f>IF($X36="","",SUM(Tabla152[[#This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37" spans="1:130" x14ac:dyDescent="0.3">
      <c r="A37" s="9">
        <f>IF(W37="","",IF(ROW()=10,1,IF(W37=W36,A36,MAX($A$9:A36)+1)))</f>
        <v>10</v>
      </c>
      <c r="B37" s="9">
        <f>WEEKNUM(Tabla152[[#This Row],[FECHA DE COSECHA]],21)</f>
        <v>36</v>
      </c>
      <c r="C37" s="9"/>
      <c r="D37" s="17">
        <v>46267</v>
      </c>
      <c r="E37" s="17">
        <v>46267</v>
      </c>
      <c r="F37" s="9">
        <v>1</v>
      </c>
      <c r="G37" s="9" t="s">
        <v>77</v>
      </c>
      <c r="H37" s="9" t="s">
        <v>144</v>
      </c>
      <c r="I37" s="9" t="s">
        <v>134</v>
      </c>
      <c r="J37" s="9" t="s">
        <v>78</v>
      </c>
      <c r="K37" s="9" t="s">
        <v>153</v>
      </c>
      <c r="L37" s="9" t="s">
        <v>131</v>
      </c>
      <c r="M37" s="9" t="s">
        <v>239</v>
      </c>
      <c r="N37" s="9" t="s">
        <v>151</v>
      </c>
      <c r="O37" s="9" t="s">
        <v>244</v>
      </c>
      <c r="P37" s="9" t="s">
        <v>152</v>
      </c>
      <c r="Q37" s="9"/>
      <c r="R37" s="9">
        <v>8</v>
      </c>
      <c r="S37" s="9">
        <v>74547547</v>
      </c>
      <c r="T37" t="s">
        <v>232</v>
      </c>
      <c r="U37" s="9" t="s">
        <v>147</v>
      </c>
      <c r="V37" s="9"/>
      <c r="W37" s="19" t="s">
        <v>162</v>
      </c>
      <c r="X37" s="9">
        <v>61</v>
      </c>
      <c r="Y37" s="9">
        <v>1</v>
      </c>
      <c r="Z37" s="9">
        <v>5</v>
      </c>
      <c r="AA37" s="9" t="str">
        <f>IF(Tabla152[[#This Row],[NOTA]]=15,"CUMPLE","NO CUMPLE")</f>
        <v>NO CUMPLE</v>
      </c>
      <c r="AB37" s="9" t="str">
        <f>IF(COUNTIF($A$10:A37,A37)=1,IF(COUNTIFS($A:$A,A37,$AA:$AA,"NO CUMPLE")&gt;0,"NO CUMPLE","CUMPLE"),"")</f>
        <v>NO CUMPLE</v>
      </c>
      <c r="AC37" s="9" t="s">
        <v>140</v>
      </c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7"/>
      <c r="AR37" s="7"/>
      <c r="AS37" s="7"/>
      <c r="AT37" s="7"/>
      <c r="AU37" s="7"/>
      <c r="AV37" s="7"/>
      <c r="AW37" s="7"/>
      <c r="AX37" s="7"/>
      <c r="AY37" s="7"/>
      <c r="AZ37" s="7">
        <v>2</v>
      </c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18"/>
      <c r="BX37" s="18">
        <f>IF($X37="","",AE37/$X$10)</f>
        <v>0</v>
      </c>
      <c r="BY37" s="18">
        <f>IF($X37="","",AF37/$X$10)</f>
        <v>0</v>
      </c>
      <c r="BZ37" s="18">
        <f>IF($X37="","",AG37/$X$10)</f>
        <v>0</v>
      </c>
      <c r="CA37" s="18">
        <f>IF($X37="","",AH37/$X$10)</f>
        <v>0</v>
      </c>
      <c r="CB37" s="18">
        <f t="shared" si="2"/>
        <v>0</v>
      </c>
      <c r="CC37" s="18">
        <f>IF($X37="","",AJ37/$X$10)</f>
        <v>0</v>
      </c>
      <c r="CD37" s="18">
        <f>IF($X37="","",AK37/$X$10)</f>
        <v>0</v>
      </c>
      <c r="CE37" s="18">
        <f>IF($X37="","",AL37/$X$10)</f>
        <v>0</v>
      </c>
      <c r="CF37" s="18">
        <f>IF($X37="","",AM37/$X$10)</f>
        <v>0</v>
      </c>
      <c r="CG37" s="18">
        <f>IF($X37="","",AN37/$X$10)</f>
        <v>0</v>
      </c>
      <c r="CH37" s="18">
        <f>IF($X37="","",AO37/$X$10)</f>
        <v>0</v>
      </c>
      <c r="CI37" s="18">
        <f>IF($X37="","",AP37/$X$10)</f>
        <v>0</v>
      </c>
      <c r="CJ37" s="18">
        <f>IF($X37="","",AQ37/$X$10)</f>
        <v>0</v>
      </c>
      <c r="CK37" s="18">
        <f>IF($X37="","",AR37/$X$10)</f>
        <v>0</v>
      </c>
      <c r="CL37" s="18">
        <f>IF($X37="","",AS37/$X$10)</f>
        <v>0</v>
      </c>
      <c r="CM37" s="18">
        <f>IF($X37="","",AT37/$X$10)</f>
        <v>0</v>
      </c>
      <c r="CN37" s="18">
        <f>IF($X37="","",AU37/$X$10)</f>
        <v>0</v>
      </c>
      <c r="CO37" s="18">
        <f>IF($X37="","",AV37/$X$10)</f>
        <v>0</v>
      </c>
      <c r="CP37" s="18">
        <f>IF($X37="","",AW37/$X$10)</f>
        <v>0</v>
      </c>
      <c r="CQ37" s="18">
        <f>IF($X37="","",AX37/$X$10)</f>
        <v>0</v>
      </c>
      <c r="CR37" s="18">
        <f>IF($X37="","",AY37/$X$10)</f>
        <v>0</v>
      </c>
      <c r="CS37" s="18">
        <f>IF($X37="","",AZ37/$X$10)</f>
        <v>3.1746031746031744E-2</v>
      </c>
      <c r="CT37" s="18">
        <f>IF($X37="","",BA37/$X$10)</f>
        <v>0</v>
      </c>
      <c r="CU37" s="18">
        <f>IF($X37="","",BB37/$X$10)</f>
        <v>0</v>
      </c>
      <c r="CV37" s="18">
        <f>IF($X37="","",BC37/$X$10)</f>
        <v>0</v>
      </c>
      <c r="CW37" s="18">
        <f>IF($X37="","",BD37/$X$10)</f>
        <v>0</v>
      </c>
      <c r="CX37" s="18">
        <f>IF($X37="","",BE37/$X$10)</f>
        <v>0</v>
      </c>
      <c r="CY37" s="18">
        <f>IF($X37="","",BF37/$X$10)</f>
        <v>0</v>
      </c>
      <c r="CZ37" s="18">
        <f>IF($X37="","",BG37/$X$10)</f>
        <v>0</v>
      </c>
      <c r="DA37" s="18">
        <f>IF($X37="","",BH37/$X$10)</f>
        <v>0</v>
      </c>
      <c r="DB37" s="18">
        <f>IF($X37="","",BI37/$X$10)</f>
        <v>0</v>
      </c>
      <c r="DC37" s="18">
        <f>IF($X37="","",BJ37/$X$10)</f>
        <v>0</v>
      </c>
      <c r="DD37" s="18">
        <f>IF($X37="","",BK37/$X$10)</f>
        <v>0</v>
      </c>
      <c r="DE37" s="18">
        <f>IF($X37="","",BL37/$X$10)</f>
        <v>0</v>
      </c>
      <c r="DF37" s="18">
        <f>IF($X37="","",BM37/$X$10)</f>
        <v>0</v>
      </c>
      <c r="DG37" s="18">
        <f t="shared" si="3"/>
        <v>0</v>
      </c>
      <c r="DH37" s="18">
        <f>IF($X37="","",BO37/$X$10)</f>
        <v>0</v>
      </c>
      <c r="DI37" s="18">
        <f>IF($X37="","",BP37/$X$10)</f>
        <v>0</v>
      </c>
      <c r="DJ37" s="18">
        <f>IF($X37="","",BQ37/$X$10)</f>
        <v>0</v>
      </c>
      <c r="DK37" s="18">
        <f>IF($X37="","",BR37/$X$10)</f>
        <v>0</v>
      </c>
      <c r="DL37" s="18">
        <f>IF($X37="","",BS37/$X$10)</f>
        <v>0</v>
      </c>
      <c r="DM37" s="18">
        <f>IF($X37="","",BT37/$X$10)</f>
        <v>0</v>
      </c>
      <c r="DN37" s="18">
        <f t="shared" si="5"/>
        <v>0</v>
      </c>
      <c r="DO37" s="16">
        <f>IF($X37="","",SUM(Tabla152[[#This Row],[PODRIDO]],Tabla152[[#This Row],[HONGO]],Tabla152[[#This Row],[PICADO DE AVE CON PUDRICIÓN]],Tabla152[[#This Row],[FUMAGINA]])/$X$10)</f>
        <v>0</v>
      </c>
      <c r="DP37" s="16">
        <f>IF($X37="","",SUM(Tabla152[[#This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37" s="16">
        <f>IF($X37="","",SUM(Tabla152[[#This Row],[BLANDO]:[COLAPSADO]])/$X$10)</f>
        <v>0</v>
      </c>
      <c r="DR37" s="16">
        <f>IF($X37="","",SUM(Tabla152[[#This Row],[DESHIDRATADO LEVE]:[DESHIDRATADO INMADURO]])/$X$10)</f>
        <v>0</v>
      </c>
      <c r="DS37" s="18">
        <f t="shared" si="1"/>
        <v>0</v>
      </c>
      <c r="DT37" s="16">
        <f>IF($X37="","",SUM(Tabla152[[#This Row],[PRESENCIA DE LARVA]],Tabla152[[#This Row],[CHANCHITO BLANCO]])/$X$10)</f>
        <v>0</v>
      </c>
      <c r="DU37" s="18">
        <f>IF($X37="","",SUM(Tabla152[[#This Row],[ROJO GRADO 2 A MÁS]],Tabla152[[#This Row],[IMMADURO VERDE]],Tabla152[[#This Row],[DESORDEN POR MADURACIÓN]],Tabla152[[#This Row],[ARO PEDICELAR VERDE EXTREMO]])/$X$10)</f>
        <v>0</v>
      </c>
      <c r="DV37" s="16">
        <f>IF($X37="","",SUM(Tabla152[[#This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37" s="16">
        <f>IF($X37="","",BU37/$X$10)</f>
        <v>0</v>
      </c>
      <c r="DX37" s="16">
        <f>IF($X37="","",AJ37/$X$10)</f>
        <v>0</v>
      </c>
      <c r="DY37" s="16">
        <f>IF($X37="","",SUM(Tabla152[[#This Row],[PRESENCIA DE COROLA]],Tabla152[[#This Row],[PRESENCIA DE RESTO FLORAL VERDE]],Tabla152[[#This Row],[PRESENCIA DE PEDÚNCULO]])/$X$10)</f>
        <v>0</v>
      </c>
      <c r="DZ37" s="16">
        <f>IF($X37="","",SUM(Tabla152[[#This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38" spans="1:130" x14ac:dyDescent="0.3">
      <c r="A38" s="9">
        <f>IF(W38="","",IF(ROW()=10,1,IF(W38=W37,A37,MAX($A$9:A37)+1)))</f>
        <v>10</v>
      </c>
      <c r="B38" s="9">
        <f>WEEKNUM(Tabla152[[#This Row],[FECHA DE COSECHA]],21)</f>
        <v>36</v>
      </c>
      <c r="C38" s="9"/>
      <c r="D38" s="17">
        <v>46267</v>
      </c>
      <c r="E38" s="17">
        <v>46267</v>
      </c>
      <c r="F38" s="9">
        <v>1</v>
      </c>
      <c r="G38" s="9" t="s">
        <v>77</v>
      </c>
      <c r="H38" s="9" t="s">
        <v>144</v>
      </c>
      <c r="I38" s="9" t="s">
        <v>134</v>
      </c>
      <c r="J38" s="9" t="s">
        <v>78</v>
      </c>
      <c r="K38" s="9" t="s">
        <v>153</v>
      </c>
      <c r="L38" s="9" t="s">
        <v>131</v>
      </c>
      <c r="M38" s="9" t="s">
        <v>239</v>
      </c>
      <c r="N38" s="9" t="s">
        <v>151</v>
      </c>
      <c r="O38" s="9" t="s">
        <v>244</v>
      </c>
      <c r="P38" s="9" t="s">
        <v>152</v>
      </c>
      <c r="Q38" s="9"/>
      <c r="R38" s="9">
        <v>8</v>
      </c>
      <c r="S38" s="9">
        <v>74547547</v>
      </c>
      <c r="T38" t="s">
        <v>232</v>
      </c>
      <c r="U38" s="9" t="s">
        <v>147</v>
      </c>
      <c r="V38" s="9"/>
      <c r="W38" s="19" t="s">
        <v>162</v>
      </c>
      <c r="X38" s="9">
        <v>61</v>
      </c>
      <c r="Y38" s="9">
        <v>2</v>
      </c>
      <c r="Z38" s="9">
        <v>5</v>
      </c>
      <c r="AA38" s="9" t="str">
        <f>IF(Tabla152[[#This Row],[NOTA]]=15,"CUMPLE","NO CUMPLE")</f>
        <v>NO CUMPLE</v>
      </c>
      <c r="AB38" s="9" t="str">
        <f>IF(COUNTIF($A$10:A38,A38)=1,IF(COUNTIFS($A:$A,A38,$AA:$AA,"NO CUMPLE")&gt;0,"NO CUMPLE","CUMPLE"),"")</f>
        <v/>
      </c>
      <c r="AC38" s="9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7"/>
      <c r="AR38" s="7"/>
      <c r="AS38" s="7"/>
      <c r="AT38" s="7"/>
      <c r="AU38" s="7"/>
      <c r="AV38" s="7"/>
      <c r="AW38" s="7"/>
      <c r="AX38" s="7"/>
      <c r="AY38" s="7"/>
      <c r="AZ38" s="7">
        <v>2</v>
      </c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18"/>
      <c r="BX38" s="18">
        <f>IF($X38="","",AE38/$X$10)</f>
        <v>0</v>
      </c>
      <c r="BY38" s="18">
        <f>IF($X38="","",AF38/$X$10)</f>
        <v>0</v>
      </c>
      <c r="BZ38" s="18">
        <f>IF($X38="","",AG38/$X$10)</f>
        <v>0</v>
      </c>
      <c r="CA38" s="18">
        <f>IF($X38="","",AH38/$X$10)</f>
        <v>0</v>
      </c>
      <c r="CB38" s="18">
        <f t="shared" si="2"/>
        <v>0</v>
      </c>
      <c r="CC38" s="18">
        <f>IF($X38="","",AJ38/$X$10)</f>
        <v>0</v>
      </c>
      <c r="CD38" s="18">
        <f>IF($X38="","",AK38/$X$10)</f>
        <v>0</v>
      </c>
      <c r="CE38" s="18">
        <f>IF($X38="","",AL38/$X$10)</f>
        <v>0</v>
      </c>
      <c r="CF38" s="18">
        <f>IF($X38="","",AM38/$X$10)</f>
        <v>0</v>
      </c>
      <c r="CG38" s="18">
        <f>IF($X38="","",AN38/$X$10)</f>
        <v>0</v>
      </c>
      <c r="CH38" s="18">
        <f>IF($X38="","",AO38/$X$10)</f>
        <v>0</v>
      </c>
      <c r="CI38" s="18">
        <f>IF($X38="","",AP38/$X$10)</f>
        <v>0</v>
      </c>
      <c r="CJ38" s="18">
        <f>IF($X38="","",AQ38/$X$10)</f>
        <v>0</v>
      </c>
      <c r="CK38" s="18">
        <f>IF($X38="","",AR38/$X$10)</f>
        <v>0</v>
      </c>
      <c r="CL38" s="18">
        <f>IF($X38="","",AS38/$X$10)</f>
        <v>0</v>
      </c>
      <c r="CM38" s="18">
        <f>IF($X38="","",AT38/$X$10)</f>
        <v>0</v>
      </c>
      <c r="CN38" s="18">
        <f>IF($X38="","",AU38/$X$10)</f>
        <v>0</v>
      </c>
      <c r="CO38" s="18">
        <f>IF($X38="","",AV38/$X$10)</f>
        <v>0</v>
      </c>
      <c r="CP38" s="18">
        <f>IF($X38="","",AW38/$X$10)</f>
        <v>0</v>
      </c>
      <c r="CQ38" s="18">
        <f>IF($X38="","",AX38/$X$10)</f>
        <v>0</v>
      </c>
      <c r="CR38" s="18">
        <f>IF($X38="","",AY38/$X$10)</f>
        <v>0</v>
      </c>
      <c r="CS38" s="18">
        <f>IF($X38="","",AZ38/$X$10)</f>
        <v>3.1746031746031744E-2</v>
      </c>
      <c r="CT38" s="18">
        <f>IF($X38="","",BA38/$X$10)</f>
        <v>0</v>
      </c>
      <c r="CU38" s="18">
        <f>IF($X38="","",BB38/$X$10)</f>
        <v>0</v>
      </c>
      <c r="CV38" s="18">
        <f>IF($X38="","",BC38/$X$10)</f>
        <v>0</v>
      </c>
      <c r="CW38" s="18">
        <f>IF($X38="","",BD38/$X$10)</f>
        <v>0</v>
      </c>
      <c r="CX38" s="18">
        <f>IF($X38="","",BE38/$X$10)</f>
        <v>0</v>
      </c>
      <c r="CY38" s="18">
        <f>IF($X38="","",BF38/$X$10)</f>
        <v>0</v>
      </c>
      <c r="CZ38" s="18">
        <f>IF($X38="","",BG38/$X$10)</f>
        <v>0</v>
      </c>
      <c r="DA38" s="18">
        <f>IF($X38="","",BH38/$X$10)</f>
        <v>0</v>
      </c>
      <c r="DB38" s="18">
        <f>IF($X38="","",BI38/$X$10)</f>
        <v>0</v>
      </c>
      <c r="DC38" s="18">
        <f>IF($X38="","",BJ38/$X$10)</f>
        <v>0</v>
      </c>
      <c r="DD38" s="18">
        <f>IF($X38="","",BK38/$X$10)</f>
        <v>0</v>
      </c>
      <c r="DE38" s="18">
        <f>IF($X38="","",BL38/$X$10)</f>
        <v>0</v>
      </c>
      <c r="DF38" s="18">
        <f>IF($X38="","",BM38/$X$10)</f>
        <v>0</v>
      </c>
      <c r="DG38" s="18">
        <f t="shared" si="3"/>
        <v>0</v>
      </c>
      <c r="DH38" s="18">
        <f>IF($X38="","",BO38/$X$10)</f>
        <v>0</v>
      </c>
      <c r="DI38" s="18">
        <f>IF($X38="","",BP38/$X$10)</f>
        <v>0</v>
      </c>
      <c r="DJ38" s="18">
        <f>IF($X38="","",BQ38/$X$10)</f>
        <v>0</v>
      </c>
      <c r="DK38" s="18">
        <f>IF($X38="","",BR38/$X$10)</f>
        <v>0</v>
      </c>
      <c r="DL38" s="18">
        <f>IF($X38="","",BS38/$X$10)</f>
        <v>0</v>
      </c>
      <c r="DM38" s="18">
        <f>IF($X38="","",BT38/$X$10)</f>
        <v>0</v>
      </c>
      <c r="DN38" s="18">
        <f t="shared" si="5"/>
        <v>0</v>
      </c>
      <c r="DO38" s="16">
        <f>IF($X38="","",SUM(Tabla152[[#This Row],[PODRIDO]],Tabla152[[#This Row],[HONGO]],Tabla152[[#This Row],[PICADO DE AVE CON PUDRICIÓN]],Tabla152[[#This Row],[FUMAGINA]])/$X$10)</f>
        <v>0</v>
      </c>
      <c r="DP38" s="16">
        <f>IF($X38="","",SUM(Tabla152[[#This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38" s="16">
        <f>IF($X38="","",SUM(Tabla152[[#This Row],[BLANDO]:[COLAPSADO]])/$X$10)</f>
        <v>0</v>
      </c>
      <c r="DR38" s="16">
        <f>IF($X38="","",SUM(Tabla152[[#This Row],[DESHIDRATADO LEVE]:[DESHIDRATADO INMADURO]])/$X$10)</f>
        <v>0</v>
      </c>
      <c r="DS38" s="18">
        <f t="shared" si="1"/>
        <v>0</v>
      </c>
      <c r="DT38" s="16">
        <f>IF($X38="","",SUM(Tabla152[[#This Row],[PRESENCIA DE LARVA]],Tabla152[[#This Row],[CHANCHITO BLANCO]])/$X$10)</f>
        <v>0</v>
      </c>
      <c r="DU38" s="18">
        <f>IF($X38="","",SUM(Tabla152[[#This Row],[ROJO GRADO 2 A MÁS]],Tabla152[[#This Row],[IMMADURO VERDE]],Tabla152[[#This Row],[DESORDEN POR MADURACIÓN]],Tabla152[[#This Row],[ARO PEDICELAR VERDE EXTREMO]])/$X$10)</f>
        <v>0</v>
      </c>
      <c r="DV38" s="16">
        <f>IF($X38="","",SUM(Tabla152[[#This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38" s="16">
        <f>IF($X38="","",BU38/$X$10)</f>
        <v>0</v>
      </c>
      <c r="DX38" s="16">
        <f>IF($X38="","",AJ38/$X$10)</f>
        <v>0</v>
      </c>
      <c r="DY38" s="16">
        <f>IF($X38="","",SUM(Tabla152[[#This Row],[PRESENCIA DE COROLA]],Tabla152[[#This Row],[PRESENCIA DE RESTO FLORAL VERDE]],Tabla152[[#This Row],[PRESENCIA DE PEDÚNCULO]])/$X$10)</f>
        <v>0</v>
      </c>
      <c r="DZ38" s="16">
        <f>IF($X38="","",SUM(Tabla152[[#This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39" spans="1:130" x14ac:dyDescent="0.3">
      <c r="A39" s="9">
        <f>IF(W39="","",IF(ROW()=10,1,IF(W39=W38,A38,MAX($A$9:A38)+1)))</f>
        <v>10</v>
      </c>
      <c r="B39" s="9">
        <f>WEEKNUM(Tabla152[[#This Row],[FECHA DE COSECHA]],21)</f>
        <v>36</v>
      </c>
      <c r="C39" s="9"/>
      <c r="D39" s="17">
        <v>46267</v>
      </c>
      <c r="E39" s="17">
        <v>46267</v>
      </c>
      <c r="F39" s="9">
        <v>1</v>
      </c>
      <c r="G39" s="9" t="s">
        <v>77</v>
      </c>
      <c r="H39" s="9" t="s">
        <v>144</v>
      </c>
      <c r="I39" s="9" t="s">
        <v>134</v>
      </c>
      <c r="J39" s="9" t="s">
        <v>78</v>
      </c>
      <c r="K39" s="9" t="s">
        <v>153</v>
      </c>
      <c r="L39" s="9" t="s">
        <v>131</v>
      </c>
      <c r="M39" s="9" t="s">
        <v>239</v>
      </c>
      <c r="N39" s="9" t="s">
        <v>151</v>
      </c>
      <c r="O39" s="9" t="s">
        <v>244</v>
      </c>
      <c r="P39" s="9" t="s">
        <v>152</v>
      </c>
      <c r="Q39" s="9"/>
      <c r="R39" s="9">
        <v>8</v>
      </c>
      <c r="S39" s="9">
        <v>74547547</v>
      </c>
      <c r="T39" t="s">
        <v>232</v>
      </c>
      <c r="U39" s="9" t="s">
        <v>147</v>
      </c>
      <c r="V39" s="9"/>
      <c r="W39" s="19" t="s">
        <v>162</v>
      </c>
      <c r="X39" s="9">
        <v>61</v>
      </c>
      <c r="Y39" s="9">
        <v>3</v>
      </c>
      <c r="Z39" s="9">
        <v>5</v>
      </c>
      <c r="AA39" s="9" t="str">
        <f>IF(Tabla152[[#This Row],[NOTA]]=15,"CUMPLE","NO CUMPLE")</f>
        <v>NO CUMPLE</v>
      </c>
      <c r="AB39" s="9" t="str">
        <f>IF(COUNTIF($A$10:A39,A39)=1,IF(COUNTIFS($A:$A,A39,$AA:$AA,"NO CUMPLE")&gt;0,"NO CUMPLE","CUMPLE"),"")</f>
        <v/>
      </c>
      <c r="AC39" s="9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7"/>
      <c r="AR39" s="7"/>
      <c r="AS39" s="7"/>
      <c r="AT39" s="7"/>
      <c r="AU39" s="7"/>
      <c r="AV39" s="7"/>
      <c r="AW39" s="7"/>
      <c r="AX39" s="7"/>
      <c r="AY39" s="7"/>
      <c r="AZ39" s="7">
        <v>2</v>
      </c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18"/>
      <c r="BX39" s="18">
        <f>IF($X39="","",AE39/$X$10)</f>
        <v>0</v>
      </c>
      <c r="BY39" s="18">
        <f>IF($X39="","",AF39/$X$10)</f>
        <v>0</v>
      </c>
      <c r="BZ39" s="18">
        <f>IF($X39="","",AG39/$X$10)</f>
        <v>0</v>
      </c>
      <c r="CA39" s="18">
        <f>IF($X39="","",AH39/$X$10)</f>
        <v>0</v>
      </c>
      <c r="CB39" s="18">
        <f t="shared" si="2"/>
        <v>0</v>
      </c>
      <c r="CC39" s="18">
        <f>IF($X39="","",AJ39/$X$10)</f>
        <v>0</v>
      </c>
      <c r="CD39" s="18">
        <f>IF($X39="","",AK39/$X$10)</f>
        <v>0</v>
      </c>
      <c r="CE39" s="18">
        <f>IF($X39="","",AL39/$X$10)</f>
        <v>0</v>
      </c>
      <c r="CF39" s="18">
        <f>IF($X39="","",AM39/$X$10)</f>
        <v>0</v>
      </c>
      <c r="CG39" s="18">
        <f>IF($X39="","",AN39/$X$10)</f>
        <v>0</v>
      </c>
      <c r="CH39" s="18">
        <f>IF($X39="","",AO39/$X$10)</f>
        <v>0</v>
      </c>
      <c r="CI39" s="18">
        <f>IF($X39="","",AP39/$X$10)</f>
        <v>0</v>
      </c>
      <c r="CJ39" s="18">
        <f>IF($X39="","",AQ39/$X$10)</f>
        <v>0</v>
      </c>
      <c r="CK39" s="18">
        <f>IF($X39="","",AR39/$X$10)</f>
        <v>0</v>
      </c>
      <c r="CL39" s="18">
        <f>IF($X39="","",AS39/$X$10)</f>
        <v>0</v>
      </c>
      <c r="CM39" s="18">
        <f>IF($X39="","",AT39/$X$10)</f>
        <v>0</v>
      </c>
      <c r="CN39" s="18">
        <f>IF($X39="","",AU39/$X$10)</f>
        <v>0</v>
      </c>
      <c r="CO39" s="18">
        <f>IF($X39="","",AV39/$X$10)</f>
        <v>0</v>
      </c>
      <c r="CP39" s="18">
        <f>IF($X39="","",AW39/$X$10)</f>
        <v>0</v>
      </c>
      <c r="CQ39" s="18">
        <f>IF($X39="","",AX39/$X$10)</f>
        <v>0</v>
      </c>
      <c r="CR39" s="18">
        <f>IF($X39="","",AY39/$X$10)</f>
        <v>0</v>
      </c>
      <c r="CS39" s="18">
        <f>IF($X39="","",AZ39/$X$10)</f>
        <v>3.1746031746031744E-2</v>
      </c>
      <c r="CT39" s="18">
        <f>IF($X39="","",BA39/$X$10)</f>
        <v>0</v>
      </c>
      <c r="CU39" s="18">
        <f>IF($X39="","",BB39/$X$10)</f>
        <v>0</v>
      </c>
      <c r="CV39" s="18">
        <f>IF($X39="","",BC39/$X$10)</f>
        <v>0</v>
      </c>
      <c r="CW39" s="18">
        <f>IF($X39="","",BD39/$X$10)</f>
        <v>0</v>
      </c>
      <c r="CX39" s="18">
        <f>IF($X39="","",BE39/$X$10)</f>
        <v>0</v>
      </c>
      <c r="CY39" s="18">
        <f>IF($X39="","",BF39/$X$10)</f>
        <v>0</v>
      </c>
      <c r="CZ39" s="18">
        <f>IF($X39="","",BG39/$X$10)</f>
        <v>0</v>
      </c>
      <c r="DA39" s="18">
        <f>IF($X39="","",BH39/$X$10)</f>
        <v>0</v>
      </c>
      <c r="DB39" s="18">
        <f>IF($X39="","",BI39/$X$10)</f>
        <v>0</v>
      </c>
      <c r="DC39" s="18">
        <f>IF($X39="","",BJ39/$X$10)</f>
        <v>0</v>
      </c>
      <c r="DD39" s="18">
        <f>IF($X39="","",BK39/$X$10)</f>
        <v>0</v>
      </c>
      <c r="DE39" s="18">
        <f>IF($X39="","",BL39/$X$10)</f>
        <v>0</v>
      </c>
      <c r="DF39" s="18">
        <f>IF($X39="","",BM39/$X$10)</f>
        <v>0</v>
      </c>
      <c r="DG39" s="18">
        <f t="shared" si="3"/>
        <v>0</v>
      </c>
      <c r="DH39" s="18">
        <f>IF($X39="","",BO39/$X$10)</f>
        <v>0</v>
      </c>
      <c r="DI39" s="18">
        <f>IF($X39="","",BP39/$X$10)</f>
        <v>0</v>
      </c>
      <c r="DJ39" s="18">
        <f>IF($X39="","",BQ39/$X$10)</f>
        <v>0</v>
      </c>
      <c r="DK39" s="18">
        <f>IF($X39="","",BR39/$X$10)</f>
        <v>0</v>
      </c>
      <c r="DL39" s="18">
        <f>IF($X39="","",BS39/$X$10)</f>
        <v>0</v>
      </c>
      <c r="DM39" s="18">
        <f>IF($X39="","",BT39/$X$10)</f>
        <v>0</v>
      </c>
      <c r="DN39" s="18">
        <f t="shared" si="5"/>
        <v>0</v>
      </c>
      <c r="DO39" s="16">
        <f>IF($X39="","",SUM(Tabla152[[#This Row],[PODRIDO]],Tabla152[[#This Row],[HONGO]],Tabla152[[#This Row],[PICADO DE AVE CON PUDRICIÓN]],Tabla152[[#This Row],[FUMAGINA]])/$X$10)</f>
        <v>0</v>
      </c>
      <c r="DP39" s="16">
        <f>IF($X39="","",SUM(Tabla152[[#This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39" s="16">
        <f>IF($X39="","",SUM(Tabla152[[#This Row],[BLANDO]:[COLAPSADO]])/$X$10)</f>
        <v>0</v>
      </c>
      <c r="DR39" s="16">
        <f>IF($X39="","",SUM(Tabla152[[#This Row],[DESHIDRATADO LEVE]:[DESHIDRATADO INMADURO]])/$X$10)</f>
        <v>0</v>
      </c>
      <c r="DS39" s="18">
        <f t="shared" si="1"/>
        <v>0</v>
      </c>
      <c r="DT39" s="16">
        <f>IF($X39="","",SUM(Tabla152[[#This Row],[PRESENCIA DE LARVA]],Tabla152[[#This Row],[CHANCHITO BLANCO]])/$X$10)</f>
        <v>0</v>
      </c>
      <c r="DU39" s="18">
        <f>IF($X39="","",SUM(Tabla152[[#This Row],[ROJO GRADO 2 A MÁS]],Tabla152[[#This Row],[IMMADURO VERDE]],Tabla152[[#This Row],[DESORDEN POR MADURACIÓN]],Tabla152[[#This Row],[ARO PEDICELAR VERDE EXTREMO]])/$X$10)</f>
        <v>0</v>
      </c>
      <c r="DV39" s="16">
        <f>IF($X39="","",SUM(Tabla152[[#This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39" s="16">
        <f>IF($X39="","",BU39/$X$10)</f>
        <v>0</v>
      </c>
      <c r="DX39" s="16">
        <f>IF($X39="","",AJ39/$X$10)</f>
        <v>0</v>
      </c>
      <c r="DY39" s="16">
        <f>IF($X39="","",SUM(Tabla152[[#This Row],[PRESENCIA DE COROLA]],Tabla152[[#This Row],[PRESENCIA DE RESTO FLORAL VERDE]],Tabla152[[#This Row],[PRESENCIA DE PEDÚNCULO]])/$X$10)</f>
        <v>0</v>
      </c>
      <c r="DZ39" s="16">
        <f>IF($X39="","",SUM(Tabla152[[#This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40" spans="1:130" x14ac:dyDescent="0.3">
      <c r="A40" s="9">
        <f>IF(W40="","",IF(ROW()=10,1,IF(W40=W39,A39,MAX($A$9:A39)+1)))</f>
        <v>11</v>
      </c>
      <c r="B40" s="9">
        <f>WEEKNUM(Tabla152[[#This Row],[FECHA DE COSECHA]],21)</f>
        <v>36</v>
      </c>
      <c r="C40" s="9"/>
      <c r="D40" s="17">
        <v>46267</v>
      </c>
      <c r="E40" s="17">
        <v>46267</v>
      </c>
      <c r="F40" s="9">
        <v>1</v>
      </c>
      <c r="G40" s="9" t="s">
        <v>77</v>
      </c>
      <c r="H40" s="9" t="s">
        <v>144</v>
      </c>
      <c r="I40" s="9" t="s">
        <v>134</v>
      </c>
      <c r="J40" s="9" t="s">
        <v>78</v>
      </c>
      <c r="K40" s="9" t="s">
        <v>153</v>
      </c>
      <c r="L40" s="9" t="s">
        <v>131</v>
      </c>
      <c r="M40" s="9" t="s">
        <v>239</v>
      </c>
      <c r="N40" s="9" t="s">
        <v>151</v>
      </c>
      <c r="O40" s="9" t="s">
        <v>244</v>
      </c>
      <c r="P40" s="9" t="s">
        <v>152</v>
      </c>
      <c r="Q40" s="9"/>
      <c r="R40" s="9">
        <v>8</v>
      </c>
      <c r="S40" s="9">
        <v>74547547</v>
      </c>
      <c r="T40" t="s">
        <v>232</v>
      </c>
      <c r="U40" s="9" t="s">
        <v>147</v>
      </c>
      <c r="V40" s="9"/>
      <c r="W40" s="19" t="s">
        <v>163</v>
      </c>
      <c r="X40" s="9">
        <v>61</v>
      </c>
      <c r="Y40" s="9">
        <v>1</v>
      </c>
      <c r="Z40" s="9">
        <v>5</v>
      </c>
      <c r="AA40" s="9" t="str">
        <f>IF(Tabla152[[#This Row],[NOTA]]=15,"CUMPLE","NO CUMPLE")</f>
        <v>NO CUMPLE</v>
      </c>
      <c r="AB40" s="9" t="str">
        <f>IF(COUNTIF($A$10:A40,A40)=1,IF(COUNTIFS($A:$A,A40,$AA:$AA,"NO CUMPLE")&gt;0,"NO CUMPLE","CUMPLE"),"")</f>
        <v>NO CUMPLE</v>
      </c>
      <c r="AC40" s="9" t="s">
        <v>140</v>
      </c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7"/>
      <c r="AR40" s="7"/>
      <c r="AS40" s="7"/>
      <c r="AT40" s="7"/>
      <c r="AU40" s="7"/>
      <c r="AV40" s="7"/>
      <c r="AW40" s="7"/>
      <c r="AX40" s="7"/>
      <c r="AY40" s="7"/>
      <c r="AZ40" s="7">
        <v>3</v>
      </c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18"/>
      <c r="BX40" s="18">
        <f>IF($X40="","",AE40/$X$10)</f>
        <v>0</v>
      </c>
      <c r="BY40" s="18">
        <f>IF($X40="","",AF40/$X$10)</f>
        <v>0</v>
      </c>
      <c r="BZ40" s="18">
        <f>IF($X40="","",AG40/$X$10)</f>
        <v>0</v>
      </c>
      <c r="CA40" s="18">
        <f>IF($X40="","",AH40/$X$10)</f>
        <v>0</v>
      </c>
      <c r="CB40" s="18">
        <f t="shared" si="2"/>
        <v>0</v>
      </c>
      <c r="CC40" s="18">
        <f>IF($X40="","",AJ40/$X$10)</f>
        <v>0</v>
      </c>
      <c r="CD40" s="18">
        <f>IF($X40="","",AK40/$X$10)</f>
        <v>0</v>
      </c>
      <c r="CE40" s="18">
        <f>IF($X40="","",AL40/$X$10)</f>
        <v>0</v>
      </c>
      <c r="CF40" s="18">
        <f>IF($X40="","",AM40/$X$10)</f>
        <v>0</v>
      </c>
      <c r="CG40" s="18">
        <f>IF($X40="","",AN40/$X$10)</f>
        <v>0</v>
      </c>
      <c r="CH40" s="18">
        <f>IF($X40="","",AO40/$X$10)</f>
        <v>0</v>
      </c>
      <c r="CI40" s="18">
        <f>IF($X40="","",AP40/$X$10)</f>
        <v>0</v>
      </c>
      <c r="CJ40" s="18">
        <f>IF($X40="","",AQ40/$X$10)</f>
        <v>0</v>
      </c>
      <c r="CK40" s="18">
        <f>IF($X40="","",AR40/$X$10)</f>
        <v>0</v>
      </c>
      <c r="CL40" s="18">
        <f>IF($X40="","",AS40/$X$10)</f>
        <v>0</v>
      </c>
      <c r="CM40" s="18">
        <f>IF($X40="","",AT40/$X$10)</f>
        <v>0</v>
      </c>
      <c r="CN40" s="18">
        <f>IF($X40="","",AU40/$X$10)</f>
        <v>0</v>
      </c>
      <c r="CO40" s="18">
        <f>IF($X40="","",AV40/$X$10)</f>
        <v>0</v>
      </c>
      <c r="CP40" s="18">
        <f>IF($X40="","",AW40/$X$10)</f>
        <v>0</v>
      </c>
      <c r="CQ40" s="18">
        <f>IF($X40="","",AX40/$X$10)</f>
        <v>0</v>
      </c>
      <c r="CR40" s="18">
        <f>IF($X40="","",AY40/$X$10)</f>
        <v>0</v>
      </c>
      <c r="CS40" s="18">
        <f>IF($X40="","",AZ40/$X$10)</f>
        <v>4.7619047619047616E-2</v>
      </c>
      <c r="CT40" s="18">
        <f>IF($X40="","",BA40/$X$10)</f>
        <v>0</v>
      </c>
      <c r="CU40" s="18">
        <f>IF($X40="","",BB40/$X$10)</f>
        <v>0</v>
      </c>
      <c r="CV40" s="18">
        <f>IF($X40="","",BC40/$X$10)</f>
        <v>0</v>
      </c>
      <c r="CW40" s="18">
        <f>IF($X40="","",BD40/$X$10)</f>
        <v>0</v>
      </c>
      <c r="CX40" s="18">
        <f>IF($X40="","",BE40/$X$10)</f>
        <v>0</v>
      </c>
      <c r="CY40" s="18">
        <f>IF($X40="","",BF40/$X$10)</f>
        <v>0</v>
      </c>
      <c r="CZ40" s="18">
        <f>IF($X40="","",BG40/$X$10)</f>
        <v>0</v>
      </c>
      <c r="DA40" s="18">
        <f>IF($X40="","",BH40/$X$10)</f>
        <v>0</v>
      </c>
      <c r="DB40" s="18">
        <f>IF($X40="","",BI40/$X$10)</f>
        <v>0</v>
      </c>
      <c r="DC40" s="18">
        <f>IF($X40="","",BJ40/$X$10)</f>
        <v>0</v>
      </c>
      <c r="DD40" s="18">
        <f>IF($X40="","",BK40/$X$10)</f>
        <v>0</v>
      </c>
      <c r="DE40" s="18">
        <f>IF($X40="","",BL40/$X$10)</f>
        <v>0</v>
      </c>
      <c r="DF40" s="18">
        <f>IF($X40="","",BM40/$X$10)</f>
        <v>0</v>
      </c>
      <c r="DG40" s="18">
        <f t="shared" si="3"/>
        <v>0</v>
      </c>
      <c r="DH40" s="18">
        <f>IF($X40="","",BO40/$X$10)</f>
        <v>0</v>
      </c>
      <c r="DI40" s="18">
        <f>IF($X40="","",BP40/$X$10)</f>
        <v>0</v>
      </c>
      <c r="DJ40" s="18">
        <f>IF($X40="","",BQ40/$X$10)</f>
        <v>0</v>
      </c>
      <c r="DK40" s="18">
        <f>IF($X40="","",BR40/$X$10)</f>
        <v>0</v>
      </c>
      <c r="DL40" s="18">
        <f>IF($X40="","",BS40/$X$10)</f>
        <v>0</v>
      </c>
      <c r="DM40" s="18">
        <f>IF($X40="","",BT40/$X$10)</f>
        <v>0</v>
      </c>
      <c r="DN40" s="18">
        <f t="shared" si="5"/>
        <v>0</v>
      </c>
      <c r="DO40" s="16">
        <f>IF($X40="","",SUM(Tabla152[[#This Row],[PODRIDO]],Tabla152[[#This Row],[HONGO]],Tabla152[[#This Row],[PICADO DE AVE CON PUDRICIÓN]],Tabla152[[#This Row],[FUMAGINA]])/$X$10)</f>
        <v>0</v>
      </c>
      <c r="DP40" s="16">
        <f>IF($X40="","",SUM(Tabla152[[#This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4.7619047619047616E-2</v>
      </c>
      <c r="DQ40" s="16">
        <f>IF($X40="","",SUM(Tabla152[[#This Row],[BLANDO]:[COLAPSADO]])/$X$10)</f>
        <v>0</v>
      </c>
      <c r="DR40" s="16">
        <f>IF($X40="","",SUM(Tabla152[[#This Row],[DESHIDRATADO LEVE]:[DESHIDRATADO INMADURO]])/$X$10)</f>
        <v>0</v>
      </c>
      <c r="DS40" s="18">
        <f t="shared" si="1"/>
        <v>0</v>
      </c>
      <c r="DT40" s="16">
        <f>IF($X40="","",SUM(Tabla152[[#This Row],[PRESENCIA DE LARVA]],Tabla152[[#This Row],[CHANCHITO BLANCO]])/$X$10)</f>
        <v>0</v>
      </c>
      <c r="DU40" s="18">
        <f>IF($X40="","",SUM(Tabla152[[#This Row],[ROJO GRADO 2 A MÁS]],Tabla152[[#This Row],[IMMADURO VERDE]],Tabla152[[#This Row],[DESORDEN POR MADURACIÓN]],Tabla152[[#This Row],[ARO PEDICELAR VERDE EXTREMO]])/$X$10)</f>
        <v>0</v>
      </c>
      <c r="DV40" s="16">
        <f>IF($X40="","",SUM(Tabla152[[#This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40" s="16">
        <f>IF($X40="","",BU40/$X$10)</f>
        <v>0</v>
      </c>
      <c r="DX40" s="16">
        <f>IF($X40="","",AJ40/$X$10)</f>
        <v>0</v>
      </c>
      <c r="DY40" s="16">
        <f>IF($X40="","",SUM(Tabla152[[#This Row],[PRESENCIA DE COROLA]],Tabla152[[#This Row],[PRESENCIA DE RESTO FLORAL VERDE]],Tabla152[[#This Row],[PRESENCIA DE PEDÚNCULO]])/$X$10)</f>
        <v>0</v>
      </c>
      <c r="DZ40" s="16">
        <f>IF($X40="","",SUM(Tabla152[[#This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41" spans="1:130" x14ac:dyDescent="0.3">
      <c r="A41" s="9">
        <f>IF(W41="","",IF(ROW()=10,1,IF(W41=W40,A40,MAX($A$9:A40)+1)))</f>
        <v>11</v>
      </c>
      <c r="B41" s="9">
        <f>WEEKNUM(Tabla152[[#This Row],[FECHA DE COSECHA]],21)</f>
        <v>36</v>
      </c>
      <c r="C41" s="9"/>
      <c r="D41" s="17">
        <v>46267</v>
      </c>
      <c r="E41" s="17">
        <v>46267</v>
      </c>
      <c r="F41" s="9">
        <v>1</v>
      </c>
      <c r="G41" s="9" t="s">
        <v>77</v>
      </c>
      <c r="H41" s="9" t="s">
        <v>144</v>
      </c>
      <c r="I41" s="9" t="s">
        <v>134</v>
      </c>
      <c r="J41" s="9" t="s">
        <v>78</v>
      </c>
      <c r="K41" s="9" t="s">
        <v>153</v>
      </c>
      <c r="L41" s="9" t="s">
        <v>131</v>
      </c>
      <c r="M41" s="9" t="s">
        <v>239</v>
      </c>
      <c r="N41" s="9" t="s">
        <v>151</v>
      </c>
      <c r="O41" s="9" t="s">
        <v>244</v>
      </c>
      <c r="P41" s="9" t="s">
        <v>152</v>
      </c>
      <c r="Q41" s="9"/>
      <c r="R41" s="9">
        <v>8</v>
      </c>
      <c r="S41" s="9">
        <v>74547547</v>
      </c>
      <c r="T41" t="s">
        <v>232</v>
      </c>
      <c r="U41" s="9" t="s">
        <v>147</v>
      </c>
      <c r="V41" s="9"/>
      <c r="W41" s="19" t="s">
        <v>163</v>
      </c>
      <c r="X41" s="9">
        <v>61</v>
      </c>
      <c r="Y41" s="9">
        <v>2</v>
      </c>
      <c r="Z41" s="9">
        <v>5</v>
      </c>
      <c r="AA41" s="9" t="str">
        <f>IF(Tabla152[[#This Row],[NOTA]]=15,"CUMPLE","NO CUMPLE")</f>
        <v>NO CUMPLE</v>
      </c>
      <c r="AB41" s="9" t="str">
        <f>IF(COUNTIF($A$10:A41,A41)=1,IF(COUNTIFS($A:$A,A41,$AA:$AA,"NO CUMPLE")&gt;0,"NO CUMPLE","CUMPLE"),"")</f>
        <v/>
      </c>
      <c r="AC41" s="9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7"/>
      <c r="AR41" s="7"/>
      <c r="AS41" s="7"/>
      <c r="AT41" s="7"/>
      <c r="AU41" s="7"/>
      <c r="AV41" s="7"/>
      <c r="AW41" s="7"/>
      <c r="AX41" s="7"/>
      <c r="AY41" s="7"/>
      <c r="AZ41" s="7">
        <v>2</v>
      </c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18"/>
      <c r="BX41" s="18">
        <f>IF($X41="","",AE41/$X$10)</f>
        <v>0</v>
      </c>
      <c r="BY41" s="18">
        <f>IF($X41="","",AF41/$X$10)</f>
        <v>0</v>
      </c>
      <c r="BZ41" s="18">
        <f>IF($X41="","",AG41/$X$10)</f>
        <v>0</v>
      </c>
      <c r="CA41" s="18">
        <f>IF($X41="","",AH41/$X$10)</f>
        <v>0</v>
      </c>
      <c r="CB41" s="18">
        <f t="shared" si="2"/>
        <v>0</v>
      </c>
      <c r="CC41" s="18">
        <f>IF($X41="","",AJ41/$X$10)</f>
        <v>0</v>
      </c>
      <c r="CD41" s="18">
        <f>IF($X41="","",AK41/$X$10)</f>
        <v>0</v>
      </c>
      <c r="CE41" s="18">
        <f>IF($X41="","",AL41/$X$10)</f>
        <v>0</v>
      </c>
      <c r="CF41" s="18">
        <f>IF($X41="","",AM41/$X$10)</f>
        <v>0</v>
      </c>
      <c r="CG41" s="18">
        <f>IF($X41="","",AN41/$X$10)</f>
        <v>0</v>
      </c>
      <c r="CH41" s="18">
        <f>IF($X41="","",AO41/$X$10)</f>
        <v>0</v>
      </c>
      <c r="CI41" s="18">
        <f>IF($X41="","",AP41/$X$10)</f>
        <v>0</v>
      </c>
      <c r="CJ41" s="18">
        <f>IF($X41="","",AQ41/$X$10)</f>
        <v>0</v>
      </c>
      <c r="CK41" s="18">
        <f>IF($X41="","",AR41/$X$10)</f>
        <v>0</v>
      </c>
      <c r="CL41" s="18">
        <f>IF($X41="","",AS41/$X$10)</f>
        <v>0</v>
      </c>
      <c r="CM41" s="18">
        <f>IF($X41="","",AT41/$X$10)</f>
        <v>0</v>
      </c>
      <c r="CN41" s="18">
        <f>IF($X41="","",AU41/$X$10)</f>
        <v>0</v>
      </c>
      <c r="CO41" s="18">
        <f>IF($X41="","",AV41/$X$10)</f>
        <v>0</v>
      </c>
      <c r="CP41" s="18">
        <f>IF($X41="","",AW41/$X$10)</f>
        <v>0</v>
      </c>
      <c r="CQ41" s="18">
        <f>IF($X41="","",AX41/$X$10)</f>
        <v>0</v>
      </c>
      <c r="CR41" s="18">
        <f>IF($X41="","",AY41/$X$10)</f>
        <v>0</v>
      </c>
      <c r="CS41" s="18">
        <f>IF($X41="","",AZ41/$X$10)</f>
        <v>3.1746031746031744E-2</v>
      </c>
      <c r="CT41" s="18">
        <f>IF($X41="","",BA41/$X$10)</f>
        <v>0</v>
      </c>
      <c r="CU41" s="18">
        <f>IF($X41="","",BB41/$X$10)</f>
        <v>0</v>
      </c>
      <c r="CV41" s="18">
        <f>IF($X41="","",BC41/$X$10)</f>
        <v>0</v>
      </c>
      <c r="CW41" s="18">
        <f>IF($X41="","",BD41/$X$10)</f>
        <v>0</v>
      </c>
      <c r="CX41" s="18">
        <f>IF($X41="","",BE41/$X$10)</f>
        <v>0</v>
      </c>
      <c r="CY41" s="18">
        <f>IF($X41="","",BF41/$X$10)</f>
        <v>0</v>
      </c>
      <c r="CZ41" s="18">
        <f>IF($X41="","",BG41/$X$10)</f>
        <v>0</v>
      </c>
      <c r="DA41" s="18">
        <f>IF($X41="","",BH41/$X$10)</f>
        <v>0</v>
      </c>
      <c r="DB41" s="18">
        <f>IF($X41="","",BI41/$X$10)</f>
        <v>0</v>
      </c>
      <c r="DC41" s="18">
        <f>IF($X41="","",BJ41/$X$10)</f>
        <v>0</v>
      </c>
      <c r="DD41" s="18">
        <f>IF($X41="","",BK41/$X$10)</f>
        <v>0</v>
      </c>
      <c r="DE41" s="18">
        <f>IF($X41="","",BL41/$X$10)</f>
        <v>0</v>
      </c>
      <c r="DF41" s="18">
        <f>IF($X41="","",BM41/$X$10)</f>
        <v>0</v>
      </c>
      <c r="DG41" s="18">
        <f t="shared" si="3"/>
        <v>0</v>
      </c>
      <c r="DH41" s="18">
        <f>IF($X41="","",BO41/$X$10)</f>
        <v>0</v>
      </c>
      <c r="DI41" s="18">
        <f>IF($X41="","",BP41/$X$10)</f>
        <v>0</v>
      </c>
      <c r="DJ41" s="18">
        <f>IF($X41="","",BQ41/$X$10)</f>
        <v>0</v>
      </c>
      <c r="DK41" s="18">
        <f>IF($X41="","",BR41/$X$10)</f>
        <v>0</v>
      </c>
      <c r="DL41" s="18">
        <f>IF($X41="","",BS41/$X$10)</f>
        <v>0</v>
      </c>
      <c r="DM41" s="18">
        <f>IF($X41="","",BT41/$X$10)</f>
        <v>0</v>
      </c>
      <c r="DN41" s="18">
        <f t="shared" si="5"/>
        <v>0</v>
      </c>
      <c r="DO41" s="16">
        <f>IF($X41="","",SUM(Tabla152[[#This Row],[PODRIDO]],Tabla152[[#This Row],[HONGO]],Tabla152[[#This Row],[PICADO DE AVE CON PUDRICIÓN]],Tabla152[[#This Row],[FUMAGINA]])/$X$10)</f>
        <v>0</v>
      </c>
      <c r="DP41" s="16">
        <f>IF($X41="","",SUM(Tabla152[[#This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41" s="16">
        <f>IF($X41="","",SUM(Tabla152[[#This Row],[BLANDO]:[COLAPSADO]])/$X$10)</f>
        <v>0</v>
      </c>
      <c r="DR41" s="16">
        <f>IF($X41="","",SUM(Tabla152[[#This Row],[DESHIDRATADO LEVE]:[DESHIDRATADO INMADURO]])/$X$10)</f>
        <v>0</v>
      </c>
      <c r="DS41" s="18">
        <f t="shared" si="1"/>
        <v>0</v>
      </c>
      <c r="DT41" s="16">
        <f>IF($X41="","",SUM(Tabla152[[#This Row],[PRESENCIA DE LARVA]],Tabla152[[#This Row],[CHANCHITO BLANCO]])/$X$10)</f>
        <v>0</v>
      </c>
      <c r="DU41" s="18">
        <f>IF($X41="","",SUM(Tabla152[[#This Row],[ROJO GRADO 2 A MÁS]],Tabla152[[#This Row],[IMMADURO VERDE]],Tabla152[[#This Row],[DESORDEN POR MADURACIÓN]],Tabla152[[#This Row],[ARO PEDICELAR VERDE EXTREMO]])/$X$10)</f>
        <v>0</v>
      </c>
      <c r="DV41" s="16">
        <f>IF($X41="","",SUM(Tabla152[[#This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41" s="16">
        <f>IF($X41="","",BU41/$X$10)</f>
        <v>0</v>
      </c>
      <c r="DX41" s="16">
        <f>IF($X41="","",AJ41/$X$10)</f>
        <v>0</v>
      </c>
      <c r="DY41" s="16">
        <f>IF($X41="","",SUM(Tabla152[[#This Row],[PRESENCIA DE COROLA]],Tabla152[[#This Row],[PRESENCIA DE RESTO FLORAL VERDE]],Tabla152[[#This Row],[PRESENCIA DE PEDÚNCULO]])/$X$10)</f>
        <v>0</v>
      </c>
      <c r="DZ41" s="16">
        <f>IF($X41="","",SUM(Tabla152[[#This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42" spans="1:130" x14ac:dyDescent="0.3">
      <c r="A42" s="9">
        <f>IF(W42="","",IF(ROW()=10,1,IF(W42=W41,A41,MAX($A$9:A41)+1)))</f>
        <v>11</v>
      </c>
      <c r="B42" s="9">
        <f>WEEKNUM(Tabla152[[#This Row],[FECHA DE COSECHA]],21)</f>
        <v>36</v>
      </c>
      <c r="C42" s="9"/>
      <c r="D42" s="17">
        <v>46267</v>
      </c>
      <c r="E42" s="17">
        <v>46267</v>
      </c>
      <c r="F42" s="9">
        <v>1</v>
      </c>
      <c r="G42" s="9" t="s">
        <v>77</v>
      </c>
      <c r="H42" s="9" t="s">
        <v>144</v>
      </c>
      <c r="I42" s="9" t="s">
        <v>134</v>
      </c>
      <c r="J42" s="9" t="s">
        <v>78</v>
      </c>
      <c r="K42" s="9" t="s">
        <v>153</v>
      </c>
      <c r="L42" s="9" t="s">
        <v>131</v>
      </c>
      <c r="M42" s="9" t="s">
        <v>239</v>
      </c>
      <c r="N42" s="9" t="s">
        <v>151</v>
      </c>
      <c r="O42" s="9" t="s">
        <v>244</v>
      </c>
      <c r="P42" s="9" t="s">
        <v>152</v>
      </c>
      <c r="Q42" s="9"/>
      <c r="R42" s="9">
        <v>8</v>
      </c>
      <c r="S42" s="9">
        <v>74547547</v>
      </c>
      <c r="T42" t="s">
        <v>232</v>
      </c>
      <c r="U42" s="9" t="s">
        <v>147</v>
      </c>
      <c r="V42" s="9"/>
      <c r="W42" s="19" t="s">
        <v>163</v>
      </c>
      <c r="X42" s="9">
        <v>61</v>
      </c>
      <c r="Y42" s="9">
        <v>3</v>
      </c>
      <c r="Z42" s="9">
        <v>5</v>
      </c>
      <c r="AA42" s="9" t="str">
        <f>IF(Tabla152[[#This Row],[NOTA]]=15,"CUMPLE","NO CUMPLE")</f>
        <v>NO CUMPLE</v>
      </c>
      <c r="AB42" s="9" t="str">
        <f>IF(COUNTIF($A$10:A42,A42)=1,IF(COUNTIFS($A:$A,A42,$AA:$AA,"NO CUMPLE")&gt;0,"NO CUMPLE","CUMPLE"),"")</f>
        <v/>
      </c>
      <c r="AC42" s="9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7"/>
      <c r="AR42" s="7"/>
      <c r="AS42" s="7"/>
      <c r="AT42" s="7"/>
      <c r="AU42" s="7"/>
      <c r="AV42" s="7"/>
      <c r="AW42" s="7"/>
      <c r="AX42" s="7"/>
      <c r="AY42" s="7"/>
      <c r="AZ42" s="7">
        <v>2</v>
      </c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18"/>
      <c r="BX42" s="18">
        <f>IF($X42="","",AE42/$X$10)</f>
        <v>0</v>
      </c>
      <c r="BY42" s="18">
        <f>IF($X42="","",AF42/$X$10)</f>
        <v>0</v>
      </c>
      <c r="BZ42" s="18">
        <f>IF($X42="","",AG42/$X$10)</f>
        <v>0</v>
      </c>
      <c r="CA42" s="18">
        <f>IF($X42="","",AH42/$X$10)</f>
        <v>0</v>
      </c>
      <c r="CB42" s="18">
        <f t="shared" si="2"/>
        <v>0</v>
      </c>
      <c r="CC42" s="18">
        <f>IF($X42="","",AJ42/$X$10)</f>
        <v>0</v>
      </c>
      <c r="CD42" s="18">
        <f>IF($X42="","",AK42/$X$10)</f>
        <v>0</v>
      </c>
      <c r="CE42" s="18">
        <f>IF($X42="","",AL42/$X$10)</f>
        <v>0</v>
      </c>
      <c r="CF42" s="18">
        <f>IF($X42="","",AM42/$X$10)</f>
        <v>0</v>
      </c>
      <c r="CG42" s="18">
        <f>IF($X42="","",AN42/$X$10)</f>
        <v>0</v>
      </c>
      <c r="CH42" s="18">
        <f>IF($X42="","",AO42/$X$10)</f>
        <v>0</v>
      </c>
      <c r="CI42" s="18">
        <f>IF($X42="","",AP42/$X$10)</f>
        <v>0</v>
      </c>
      <c r="CJ42" s="18">
        <f>IF($X42="","",AQ42/$X$10)</f>
        <v>0</v>
      </c>
      <c r="CK42" s="18">
        <f>IF($X42="","",AR42/$X$10)</f>
        <v>0</v>
      </c>
      <c r="CL42" s="18">
        <f>IF($X42="","",AS42/$X$10)</f>
        <v>0</v>
      </c>
      <c r="CM42" s="18">
        <f>IF($X42="","",AT42/$X$10)</f>
        <v>0</v>
      </c>
      <c r="CN42" s="18">
        <f>IF($X42="","",AU42/$X$10)</f>
        <v>0</v>
      </c>
      <c r="CO42" s="18">
        <f>IF($X42="","",AV42/$X$10)</f>
        <v>0</v>
      </c>
      <c r="CP42" s="18">
        <f>IF($X42="","",AW42/$X$10)</f>
        <v>0</v>
      </c>
      <c r="CQ42" s="18">
        <f>IF($X42="","",AX42/$X$10)</f>
        <v>0</v>
      </c>
      <c r="CR42" s="18">
        <f>IF($X42="","",AY42/$X$10)</f>
        <v>0</v>
      </c>
      <c r="CS42" s="18">
        <f>IF($X42="","",AZ42/$X$10)</f>
        <v>3.1746031746031744E-2</v>
      </c>
      <c r="CT42" s="18">
        <f>IF($X42="","",BA42/$X$10)</f>
        <v>0</v>
      </c>
      <c r="CU42" s="18">
        <f>IF($X42="","",BB42/$X$10)</f>
        <v>0</v>
      </c>
      <c r="CV42" s="18">
        <f>IF($X42="","",BC42/$X$10)</f>
        <v>0</v>
      </c>
      <c r="CW42" s="18">
        <f>IF($X42="","",BD42/$X$10)</f>
        <v>0</v>
      </c>
      <c r="CX42" s="18">
        <f>IF($X42="","",BE42/$X$10)</f>
        <v>0</v>
      </c>
      <c r="CY42" s="18">
        <f>IF($X42="","",BF42/$X$10)</f>
        <v>0</v>
      </c>
      <c r="CZ42" s="18">
        <f>IF($X42="","",BG42/$X$10)</f>
        <v>0</v>
      </c>
      <c r="DA42" s="18">
        <f>IF($X42="","",BH42/$X$10)</f>
        <v>0</v>
      </c>
      <c r="DB42" s="18">
        <f>IF($X42="","",BI42/$X$10)</f>
        <v>0</v>
      </c>
      <c r="DC42" s="18">
        <f>IF($X42="","",BJ42/$X$10)</f>
        <v>0</v>
      </c>
      <c r="DD42" s="18">
        <f>IF($X42="","",BK42/$X$10)</f>
        <v>0</v>
      </c>
      <c r="DE42" s="18">
        <f>IF($X42="","",BL42/$X$10)</f>
        <v>0</v>
      </c>
      <c r="DF42" s="18">
        <f>IF($X42="","",BM42/$X$10)</f>
        <v>0</v>
      </c>
      <c r="DG42" s="18">
        <f t="shared" si="3"/>
        <v>0</v>
      </c>
      <c r="DH42" s="18">
        <f>IF($X42="","",BO42/$X$10)</f>
        <v>0</v>
      </c>
      <c r="DI42" s="18">
        <f>IF($X42="","",BP42/$X$10)</f>
        <v>0</v>
      </c>
      <c r="DJ42" s="18">
        <f>IF($X42="","",BQ42/$X$10)</f>
        <v>0</v>
      </c>
      <c r="DK42" s="18">
        <f>IF($X42="","",BR42/$X$10)</f>
        <v>0</v>
      </c>
      <c r="DL42" s="18">
        <f>IF($X42="","",BS42/$X$10)</f>
        <v>0</v>
      </c>
      <c r="DM42" s="18">
        <f>IF($X42="","",BT42/$X$10)</f>
        <v>0</v>
      </c>
      <c r="DN42" s="18">
        <f t="shared" si="5"/>
        <v>0</v>
      </c>
      <c r="DO42" s="16">
        <f>IF($X42="","",SUM(Tabla152[[#This Row],[PODRIDO]],Tabla152[[#This Row],[HONGO]],Tabla152[[#This Row],[PICADO DE AVE CON PUDRICIÓN]],Tabla152[[#This Row],[FUMAGINA]])/$X$10)</f>
        <v>0</v>
      </c>
      <c r="DP42" s="16">
        <f>IF($X42="","",SUM(Tabla152[[#This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42" s="16">
        <f>IF($X42="","",SUM(Tabla152[[#This Row],[BLANDO]:[COLAPSADO]])/$X$10)</f>
        <v>0</v>
      </c>
      <c r="DR42" s="16">
        <f>IF($X42="","",SUM(Tabla152[[#This Row],[DESHIDRATADO LEVE]:[DESHIDRATADO INMADURO]])/$X$10)</f>
        <v>0</v>
      </c>
      <c r="DS42" s="18">
        <f t="shared" si="1"/>
        <v>0</v>
      </c>
      <c r="DT42" s="16">
        <f>IF($X42="","",SUM(Tabla152[[#This Row],[PRESENCIA DE LARVA]],Tabla152[[#This Row],[CHANCHITO BLANCO]])/$X$10)</f>
        <v>0</v>
      </c>
      <c r="DU42" s="18">
        <f>IF($X42="","",SUM(Tabla152[[#This Row],[ROJO GRADO 2 A MÁS]],Tabla152[[#This Row],[IMMADURO VERDE]],Tabla152[[#This Row],[DESORDEN POR MADURACIÓN]],Tabla152[[#This Row],[ARO PEDICELAR VERDE EXTREMO]])/$X$10)</f>
        <v>0</v>
      </c>
      <c r="DV42" s="16">
        <f>IF($X42="","",SUM(Tabla152[[#This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42" s="16">
        <f>IF($X42="","",BU42/$X$10)</f>
        <v>0</v>
      </c>
      <c r="DX42" s="16">
        <f>IF($X42="","",AJ42/$X$10)</f>
        <v>0</v>
      </c>
      <c r="DY42" s="16">
        <f>IF($X42="","",SUM(Tabla152[[#This Row],[PRESENCIA DE COROLA]],Tabla152[[#This Row],[PRESENCIA DE RESTO FLORAL VERDE]],Tabla152[[#This Row],[PRESENCIA DE PEDÚNCULO]])/$X$10)</f>
        <v>0</v>
      </c>
      <c r="DZ42" s="16">
        <f>IF($X42="","",SUM(Tabla152[[#This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43" spans="1:130" x14ac:dyDescent="0.3">
      <c r="A43" s="9">
        <f>IF(W43="","",IF(ROW()=10,1,IF(W43=W42,A42,MAX($A$9:A42)+1)))</f>
        <v>12</v>
      </c>
      <c r="B43" s="9">
        <f>WEEKNUM(Tabla152[[#This Row],[FECHA DE COSECHA]],21)</f>
        <v>36</v>
      </c>
      <c r="C43" s="9"/>
      <c r="D43" s="17">
        <v>46267</v>
      </c>
      <c r="E43" s="17">
        <v>46267</v>
      </c>
      <c r="F43" s="9">
        <v>1</v>
      </c>
      <c r="G43" s="9" t="s">
        <v>77</v>
      </c>
      <c r="H43" s="9" t="s">
        <v>144</v>
      </c>
      <c r="I43" s="9" t="s">
        <v>134</v>
      </c>
      <c r="J43" s="9" t="s">
        <v>78</v>
      </c>
      <c r="K43" s="9" t="s">
        <v>153</v>
      </c>
      <c r="L43" s="9" t="s">
        <v>131</v>
      </c>
      <c r="M43" s="9" t="s">
        <v>239</v>
      </c>
      <c r="N43" s="9" t="s">
        <v>151</v>
      </c>
      <c r="O43" s="9" t="s">
        <v>244</v>
      </c>
      <c r="P43" s="9" t="s">
        <v>152</v>
      </c>
      <c r="Q43" s="9"/>
      <c r="R43" s="9">
        <v>8</v>
      </c>
      <c r="S43" s="9">
        <v>74547547</v>
      </c>
      <c r="T43" t="s">
        <v>232</v>
      </c>
      <c r="U43" s="9" t="s">
        <v>147</v>
      </c>
      <c r="V43" s="9"/>
      <c r="W43" s="19" t="s">
        <v>164</v>
      </c>
      <c r="X43" s="9">
        <v>61</v>
      </c>
      <c r="Y43" s="9">
        <v>1</v>
      </c>
      <c r="Z43" s="9">
        <v>15</v>
      </c>
      <c r="AA43" s="9" t="str">
        <f>IF(Tabla152[[#This Row],[NOTA]]=15,"CUMPLE","NO CUMPLE")</f>
        <v>CUMPLE</v>
      </c>
      <c r="AB43" s="9" t="str">
        <f>IF(COUNTIF($A$10:A43,A43)=1,IF(COUNTIFS($A:$A,A43,$AA:$AA,"NO CUMPLE")&gt;0,"NO CUMPLE","CUMPLE"),"")</f>
        <v>CUMPLE</v>
      </c>
      <c r="AC43" s="9" t="s">
        <v>140</v>
      </c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18"/>
      <c r="BX43" s="18">
        <f>IF($X43="","",AE43/$X$10)</f>
        <v>0</v>
      </c>
      <c r="BY43" s="18">
        <f>IF($X43="","",AF43/$X$10)</f>
        <v>0</v>
      </c>
      <c r="BZ43" s="18">
        <f>IF($X43="","",AG43/$X$10)</f>
        <v>0</v>
      </c>
      <c r="CA43" s="18">
        <f>IF($X43="","",AH43/$X$10)</f>
        <v>0</v>
      </c>
      <c r="CB43" s="18">
        <f t="shared" si="2"/>
        <v>0</v>
      </c>
      <c r="CC43" s="18">
        <f>IF($X43="","",AJ43/$X$10)</f>
        <v>0</v>
      </c>
      <c r="CD43" s="18">
        <f>IF($X43="","",AK43/$X$10)</f>
        <v>0</v>
      </c>
      <c r="CE43" s="18">
        <f>IF($X43="","",AL43/$X$10)</f>
        <v>0</v>
      </c>
      <c r="CF43" s="18">
        <f>IF($X43="","",AM43/$X$10)</f>
        <v>0</v>
      </c>
      <c r="CG43" s="18">
        <f>IF($X43="","",AN43/$X$10)</f>
        <v>0</v>
      </c>
      <c r="CH43" s="18">
        <f>IF($X43="","",AO43/$X$10)</f>
        <v>0</v>
      </c>
      <c r="CI43" s="18">
        <f>IF($X43="","",AP43/$X$10)</f>
        <v>0</v>
      </c>
      <c r="CJ43" s="18">
        <f>IF($X43="","",AQ43/$X$10)</f>
        <v>0</v>
      </c>
      <c r="CK43" s="18">
        <f>IF($X43="","",AR43/$X$10)</f>
        <v>0</v>
      </c>
      <c r="CL43" s="18">
        <f>IF($X43="","",AS43/$X$10)</f>
        <v>0</v>
      </c>
      <c r="CM43" s="18">
        <f>IF($X43="","",AT43/$X$10)</f>
        <v>0</v>
      </c>
      <c r="CN43" s="18">
        <f>IF($X43="","",AU43/$X$10)</f>
        <v>0</v>
      </c>
      <c r="CO43" s="18">
        <f>IF($X43="","",AV43/$X$10)</f>
        <v>0</v>
      </c>
      <c r="CP43" s="18">
        <f>IF($X43="","",AW43/$X$10)</f>
        <v>0</v>
      </c>
      <c r="CQ43" s="18">
        <f>IF($X43="","",AX43/$X$10)</f>
        <v>0</v>
      </c>
      <c r="CR43" s="18">
        <f>IF($X43="","",AY43/$X$10)</f>
        <v>0</v>
      </c>
      <c r="CS43" s="18">
        <f>IF($X43="","",AZ43/$X$10)</f>
        <v>0</v>
      </c>
      <c r="CT43" s="18">
        <f>IF($X43="","",BA43/$X$10)</f>
        <v>0</v>
      </c>
      <c r="CU43" s="18">
        <f>IF($X43="","",BB43/$X$10)</f>
        <v>0</v>
      </c>
      <c r="CV43" s="18">
        <f>IF($X43="","",BC43/$X$10)</f>
        <v>0</v>
      </c>
      <c r="CW43" s="18">
        <f>IF($X43="","",BD43/$X$10)</f>
        <v>0</v>
      </c>
      <c r="CX43" s="18">
        <f>IF($X43="","",BE43/$X$10)</f>
        <v>0</v>
      </c>
      <c r="CY43" s="18">
        <f>IF($X43="","",BF43/$X$10)</f>
        <v>0</v>
      </c>
      <c r="CZ43" s="18">
        <f>IF($X43="","",BG43/$X$10)</f>
        <v>0</v>
      </c>
      <c r="DA43" s="18">
        <f>IF($X43="","",BH43/$X$10)</f>
        <v>0</v>
      </c>
      <c r="DB43" s="18">
        <f>IF($X43="","",BI43/$X$10)</f>
        <v>0</v>
      </c>
      <c r="DC43" s="18">
        <f>IF($X43="","",BJ43/$X$10)</f>
        <v>0</v>
      </c>
      <c r="DD43" s="18">
        <f>IF($X43="","",BK43/$X$10)</f>
        <v>0</v>
      </c>
      <c r="DE43" s="18">
        <f>IF($X43="","",BL43/$X$10)</f>
        <v>0</v>
      </c>
      <c r="DF43" s="18">
        <f>IF($X43="","",BM43/$X$10)</f>
        <v>0</v>
      </c>
      <c r="DG43" s="18">
        <f t="shared" si="3"/>
        <v>0</v>
      </c>
      <c r="DH43" s="18">
        <f>IF($X43="","",BO43/$X$10)</f>
        <v>0</v>
      </c>
      <c r="DI43" s="18">
        <f>IF($X43="","",BP43/$X$10)</f>
        <v>0</v>
      </c>
      <c r="DJ43" s="18">
        <f>IF($X43="","",BQ43/$X$10)</f>
        <v>0</v>
      </c>
      <c r="DK43" s="18">
        <f>IF($X43="","",BR43/$X$10)</f>
        <v>0</v>
      </c>
      <c r="DL43" s="18">
        <f>IF($X43="","",BS43/$X$10)</f>
        <v>0</v>
      </c>
      <c r="DM43" s="18">
        <f>IF($X43="","",BT43/$X$10)</f>
        <v>0</v>
      </c>
      <c r="DN43" s="18">
        <f t="shared" si="5"/>
        <v>0</v>
      </c>
      <c r="DO43" s="16">
        <f>IF($X43="","",SUM(Tabla152[[#This Row],[PODRIDO]],Tabla152[[#This Row],[HONGO]],Tabla152[[#This Row],[PICADO DE AVE CON PUDRICIÓN]],Tabla152[[#This Row],[FUMAGINA]])/$X$10)</f>
        <v>0</v>
      </c>
      <c r="DP43" s="16">
        <f>IF($X43="","",SUM(Tabla152[[#This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43" s="16">
        <f>IF($X43="","",SUM(Tabla152[[#This Row],[BLANDO]:[COLAPSADO]])/$X$10)</f>
        <v>0</v>
      </c>
      <c r="DR43" s="16">
        <f>IF($X43="","",SUM(Tabla152[[#This Row],[DESHIDRATADO LEVE]:[DESHIDRATADO INMADURO]])/$X$10)</f>
        <v>0</v>
      </c>
      <c r="DS43" s="18">
        <f t="shared" si="1"/>
        <v>0</v>
      </c>
      <c r="DT43" s="16">
        <f>IF($X43="","",SUM(Tabla152[[#This Row],[PRESENCIA DE LARVA]],Tabla152[[#This Row],[CHANCHITO BLANCO]])/$X$10)</f>
        <v>0</v>
      </c>
      <c r="DU43" s="18">
        <f>IF($X43="","",SUM(Tabla152[[#This Row],[ROJO GRADO 2 A MÁS]],Tabla152[[#This Row],[IMMADURO VERDE]],Tabla152[[#This Row],[DESORDEN POR MADURACIÓN]],Tabla152[[#This Row],[ARO PEDICELAR VERDE EXTREMO]])/$X$10)</f>
        <v>0</v>
      </c>
      <c r="DV43" s="16">
        <f>IF($X43="","",SUM(Tabla152[[#This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43" s="16">
        <f>IF($X43="","",BU43/$X$10)</f>
        <v>0</v>
      </c>
      <c r="DX43" s="16">
        <f>IF($X43="","",AJ43/$X$10)</f>
        <v>0</v>
      </c>
      <c r="DY43" s="16">
        <f>IF($X43="","",SUM(Tabla152[[#This Row],[PRESENCIA DE COROLA]],Tabla152[[#This Row],[PRESENCIA DE RESTO FLORAL VERDE]],Tabla152[[#This Row],[PRESENCIA DE PEDÚNCULO]])/$X$10)</f>
        <v>0</v>
      </c>
      <c r="DZ43" s="16">
        <f>IF($X43="","",SUM(Tabla152[[#This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44" spans="1:130" x14ac:dyDescent="0.3">
      <c r="A44" s="9">
        <f>IF(W44="","",IF(ROW()=10,1,IF(W44=W43,A43,MAX($A$9:A43)+1)))</f>
        <v>12</v>
      </c>
      <c r="B44" s="9">
        <f>WEEKNUM(Tabla152[[#This Row],[FECHA DE COSECHA]],21)</f>
        <v>36</v>
      </c>
      <c r="C44" s="9"/>
      <c r="D44" s="17">
        <v>46267</v>
      </c>
      <c r="E44" s="17">
        <v>46267</v>
      </c>
      <c r="F44" s="9">
        <v>1</v>
      </c>
      <c r="G44" s="9" t="s">
        <v>77</v>
      </c>
      <c r="H44" s="9" t="s">
        <v>144</v>
      </c>
      <c r="I44" s="9" t="s">
        <v>134</v>
      </c>
      <c r="J44" s="9" t="s">
        <v>78</v>
      </c>
      <c r="K44" s="9" t="s">
        <v>153</v>
      </c>
      <c r="L44" s="9" t="s">
        <v>131</v>
      </c>
      <c r="M44" s="9" t="s">
        <v>239</v>
      </c>
      <c r="N44" s="9" t="s">
        <v>151</v>
      </c>
      <c r="O44" s="9" t="s">
        <v>244</v>
      </c>
      <c r="P44" s="9" t="s">
        <v>152</v>
      </c>
      <c r="Q44" s="9"/>
      <c r="R44" s="9">
        <v>8</v>
      </c>
      <c r="S44" s="9">
        <v>74547547</v>
      </c>
      <c r="T44" t="s">
        <v>232</v>
      </c>
      <c r="U44" s="9" t="s">
        <v>147</v>
      </c>
      <c r="V44" s="9"/>
      <c r="W44" s="19" t="s">
        <v>164</v>
      </c>
      <c r="X44" s="9">
        <v>61</v>
      </c>
      <c r="Y44" s="9">
        <v>2</v>
      </c>
      <c r="Z44" s="9">
        <v>15</v>
      </c>
      <c r="AA44" s="9" t="str">
        <f>IF(Tabla152[[#This Row],[NOTA]]=15,"CUMPLE","NO CUMPLE")</f>
        <v>CUMPLE</v>
      </c>
      <c r="AB44" s="9" t="str">
        <f>IF(COUNTIF($A$10:A44,A44)=1,IF(COUNTIFS($A:$A,A44,$AA:$AA,"NO CUMPLE")&gt;0,"NO CUMPLE","CUMPLE"),"")</f>
        <v/>
      </c>
      <c r="AC44" s="9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18"/>
      <c r="BX44" s="18">
        <f>IF($X44="","",AE44/$X$10)</f>
        <v>0</v>
      </c>
      <c r="BY44" s="18">
        <f>IF($X44="","",AF44/$X$10)</f>
        <v>0</v>
      </c>
      <c r="BZ44" s="18">
        <f>IF($X44="","",AG44/$X$10)</f>
        <v>0</v>
      </c>
      <c r="CA44" s="18">
        <f>IF($X44="","",AH44/$X$10)</f>
        <v>0</v>
      </c>
      <c r="CB44" s="18">
        <f t="shared" si="2"/>
        <v>0</v>
      </c>
      <c r="CC44" s="18">
        <f>IF($X44="","",AJ44/$X$10)</f>
        <v>0</v>
      </c>
      <c r="CD44" s="18">
        <f>IF($X44="","",AK44/$X$10)</f>
        <v>0</v>
      </c>
      <c r="CE44" s="18">
        <f>IF($X44="","",AL44/$X$10)</f>
        <v>0</v>
      </c>
      <c r="CF44" s="18">
        <f>IF($X44="","",AM44/$X$10)</f>
        <v>0</v>
      </c>
      <c r="CG44" s="18">
        <f>IF($X44="","",AN44/$X$10)</f>
        <v>0</v>
      </c>
      <c r="CH44" s="18">
        <f>IF($X44="","",AO44/$X$10)</f>
        <v>0</v>
      </c>
      <c r="CI44" s="18">
        <f>IF($X44="","",AP44/$X$10)</f>
        <v>0</v>
      </c>
      <c r="CJ44" s="18">
        <f>IF($X44="","",AQ44/$X$10)</f>
        <v>0</v>
      </c>
      <c r="CK44" s="18">
        <f>IF($X44="","",AR44/$X$10)</f>
        <v>0</v>
      </c>
      <c r="CL44" s="18">
        <f>IF($X44="","",AS44/$X$10)</f>
        <v>0</v>
      </c>
      <c r="CM44" s="18">
        <f>IF($X44="","",AT44/$X$10)</f>
        <v>0</v>
      </c>
      <c r="CN44" s="18">
        <f>IF($X44="","",AU44/$X$10)</f>
        <v>0</v>
      </c>
      <c r="CO44" s="18">
        <f>IF($X44="","",AV44/$X$10)</f>
        <v>0</v>
      </c>
      <c r="CP44" s="18">
        <f>IF($X44="","",AW44/$X$10)</f>
        <v>0</v>
      </c>
      <c r="CQ44" s="18">
        <f>IF($X44="","",AX44/$X$10)</f>
        <v>0</v>
      </c>
      <c r="CR44" s="18">
        <f>IF($X44="","",AY44/$X$10)</f>
        <v>0</v>
      </c>
      <c r="CS44" s="18">
        <f>IF($X44="","",AZ44/$X$10)</f>
        <v>0</v>
      </c>
      <c r="CT44" s="18">
        <f>IF($X44="","",BA44/$X$10)</f>
        <v>0</v>
      </c>
      <c r="CU44" s="18">
        <f>IF($X44="","",BB44/$X$10)</f>
        <v>0</v>
      </c>
      <c r="CV44" s="18">
        <f>IF($X44="","",BC44/$X$10)</f>
        <v>0</v>
      </c>
      <c r="CW44" s="18">
        <f>IF($X44="","",BD44/$X$10)</f>
        <v>0</v>
      </c>
      <c r="CX44" s="18">
        <f>IF($X44="","",BE44/$X$10)</f>
        <v>0</v>
      </c>
      <c r="CY44" s="18">
        <f>IF($X44="","",BF44/$X$10)</f>
        <v>0</v>
      </c>
      <c r="CZ44" s="18">
        <f>IF($X44="","",BG44/$X$10)</f>
        <v>0</v>
      </c>
      <c r="DA44" s="18">
        <f>IF($X44="","",BH44/$X$10)</f>
        <v>0</v>
      </c>
      <c r="DB44" s="18">
        <f>IF($X44="","",BI44/$X$10)</f>
        <v>0</v>
      </c>
      <c r="DC44" s="18">
        <f>IF($X44="","",BJ44/$X$10)</f>
        <v>0</v>
      </c>
      <c r="DD44" s="18">
        <f>IF($X44="","",BK44/$X$10)</f>
        <v>0</v>
      </c>
      <c r="DE44" s="18">
        <f>IF($X44="","",BL44/$X$10)</f>
        <v>0</v>
      </c>
      <c r="DF44" s="18">
        <f>IF($X44="","",BM44/$X$10)</f>
        <v>0</v>
      </c>
      <c r="DG44" s="18">
        <f t="shared" si="3"/>
        <v>0</v>
      </c>
      <c r="DH44" s="18">
        <f>IF($X44="","",BO44/$X$10)</f>
        <v>0</v>
      </c>
      <c r="DI44" s="18">
        <f>IF($X44="","",BP44/$X$10)</f>
        <v>0</v>
      </c>
      <c r="DJ44" s="18">
        <f>IF($X44="","",BQ44/$X$10)</f>
        <v>0</v>
      </c>
      <c r="DK44" s="18">
        <f>IF($X44="","",BR44/$X$10)</f>
        <v>0</v>
      </c>
      <c r="DL44" s="18">
        <f>IF($X44="","",BS44/$X$10)</f>
        <v>0</v>
      </c>
      <c r="DM44" s="18">
        <f>IF($X44="","",BT44/$X$10)</f>
        <v>0</v>
      </c>
      <c r="DN44" s="18">
        <f t="shared" si="5"/>
        <v>0</v>
      </c>
      <c r="DO44" s="16">
        <f>IF($X44="","",SUM(Tabla152[[#This Row],[PODRIDO]],Tabla152[[#This Row],[HONGO]],Tabla152[[#This Row],[PICADO DE AVE CON PUDRICIÓN]],Tabla152[[#This Row],[FUMAGINA]])/$X$10)</f>
        <v>0</v>
      </c>
      <c r="DP44" s="16">
        <f>IF($X44="","",SUM(Tabla152[[#This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44" s="16">
        <f>IF($X44="","",SUM(Tabla152[[#This Row],[BLANDO]:[COLAPSADO]])/$X$10)</f>
        <v>0</v>
      </c>
      <c r="DR44" s="16">
        <f>IF($X44="","",SUM(Tabla152[[#This Row],[DESHIDRATADO LEVE]:[DESHIDRATADO INMADURO]])/$X$10)</f>
        <v>0</v>
      </c>
      <c r="DS44" s="18">
        <f t="shared" si="1"/>
        <v>0</v>
      </c>
      <c r="DT44" s="16">
        <f>IF($X44="","",SUM(Tabla152[[#This Row],[PRESENCIA DE LARVA]],Tabla152[[#This Row],[CHANCHITO BLANCO]])/$X$10)</f>
        <v>0</v>
      </c>
      <c r="DU44" s="18">
        <f>IF($X44="","",SUM(Tabla152[[#This Row],[ROJO GRADO 2 A MÁS]],Tabla152[[#This Row],[IMMADURO VERDE]],Tabla152[[#This Row],[DESORDEN POR MADURACIÓN]],Tabla152[[#This Row],[ARO PEDICELAR VERDE EXTREMO]])/$X$10)</f>
        <v>0</v>
      </c>
      <c r="DV44" s="16">
        <f>IF($X44="","",SUM(Tabla152[[#This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44" s="16">
        <f>IF($X44="","",BU44/$X$10)</f>
        <v>0</v>
      </c>
      <c r="DX44" s="16">
        <f>IF($X44="","",AJ44/$X$10)</f>
        <v>0</v>
      </c>
      <c r="DY44" s="16">
        <f>IF($X44="","",SUM(Tabla152[[#This Row],[PRESENCIA DE COROLA]],Tabla152[[#This Row],[PRESENCIA DE RESTO FLORAL VERDE]],Tabla152[[#This Row],[PRESENCIA DE PEDÚNCULO]])/$X$10)</f>
        <v>0</v>
      </c>
      <c r="DZ44" s="16">
        <f>IF($X44="","",SUM(Tabla152[[#This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45" spans="1:130" x14ac:dyDescent="0.3">
      <c r="A45" s="9">
        <f>IF(W45="","",IF(ROW()=10,1,IF(W45=W44,A44,MAX($A$9:A44)+1)))</f>
        <v>12</v>
      </c>
      <c r="B45" s="9">
        <f>WEEKNUM(Tabla152[[#This Row],[FECHA DE COSECHA]],21)</f>
        <v>36</v>
      </c>
      <c r="C45" s="9"/>
      <c r="D45" s="17">
        <v>46267</v>
      </c>
      <c r="E45" s="17">
        <v>46267</v>
      </c>
      <c r="F45" s="9">
        <v>1</v>
      </c>
      <c r="G45" s="9" t="s">
        <v>77</v>
      </c>
      <c r="H45" s="9" t="s">
        <v>144</v>
      </c>
      <c r="I45" s="9" t="s">
        <v>134</v>
      </c>
      <c r="J45" s="9" t="s">
        <v>78</v>
      </c>
      <c r="K45" s="9" t="s">
        <v>153</v>
      </c>
      <c r="L45" s="9" t="s">
        <v>131</v>
      </c>
      <c r="M45" s="9" t="s">
        <v>239</v>
      </c>
      <c r="N45" s="9" t="s">
        <v>151</v>
      </c>
      <c r="O45" s="9" t="s">
        <v>244</v>
      </c>
      <c r="P45" s="9" t="s">
        <v>152</v>
      </c>
      <c r="Q45" s="9"/>
      <c r="R45" s="9">
        <v>8</v>
      </c>
      <c r="S45" s="9">
        <v>74547547</v>
      </c>
      <c r="T45" t="s">
        <v>232</v>
      </c>
      <c r="U45" s="9" t="s">
        <v>147</v>
      </c>
      <c r="V45" s="9"/>
      <c r="W45" s="19" t="s">
        <v>164</v>
      </c>
      <c r="X45" s="9">
        <v>61</v>
      </c>
      <c r="Y45" s="9">
        <v>3</v>
      </c>
      <c r="Z45" s="9">
        <v>15</v>
      </c>
      <c r="AA45" s="9" t="str">
        <f>IF(Tabla152[[#This Row],[NOTA]]=15,"CUMPLE","NO CUMPLE")</f>
        <v>CUMPLE</v>
      </c>
      <c r="AB45" s="9" t="str">
        <f>IF(COUNTIF($A$10:A45,A45)=1,IF(COUNTIFS($A:$A,A45,$AA:$AA,"NO CUMPLE")&gt;0,"NO CUMPLE","CUMPLE"),"")</f>
        <v/>
      </c>
      <c r="AC45" s="9"/>
      <c r="AD45" s="8"/>
      <c r="AE45" s="8">
        <v>1</v>
      </c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18"/>
      <c r="BX45" s="18">
        <f>IF($X45="","",AE45/$X$10)</f>
        <v>1.5873015873015872E-2</v>
      </c>
      <c r="BY45" s="18">
        <f>IF($X45="","",AF45/$X$10)</f>
        <v>0</v>
      </c>
      <c r="BZ45" s="18">
        <f>IF($X45="","",AG45/$X$10)</f>
        <v>0</v>
      </c>
      <c r="CA45" s="18">
        <f>IF($X45="","",AH45/$X$10)</f>
        <v>0</v>
      </c>
      <c r="CB45" s="18">
        <f t="shared" si="2"/>
        <v>0</v>
      </c>
      <c r="CC45" s="18">
        <f>IF($X45="","",AJ45/$X$10)</f>
        <v>0</v>
      </c>
      <c r="CD45" s="18">
        <f>IF($X45="","",AK45/$X$10)</f>
        <v>0</v>
      </c>
      <c r="CE45" s="18">
        <f>IF($X45="","",AL45/$X$10)</f>
        <v>0</v>
      </c>
      <c r="CF45" s="18">
        <f>IF($X45="","",AM45/$X$10)</f>
        <v>0</v>
      </c>
      <c r="CG45" s="18">
        <f>IF($X45="","",AN45/$X$10)</f>
        <v>0</v>
      </c>
      <c r="CH45" s="18">
        <f>IF($X45="","",AO45/$X$10)</f>
        <v>0</v>
      </c>
      <c r="CI45" s="18">
        <f>IF($X45="","",AP45/$X$10)</f>
        <v>0</v>
      </c>
      <c r="CJ45" s="18">
        <f>IF($X45="","",AQ45/$X$10)</f>
        <v>0</v>
      </c>
      <c r="CK45" s="18">
        <f>IF($X45="","",AR45/$X$10)</f>
        <v>0</v>
      </c>
      <c r="CL45" s="18">
        <f>IF($X45="","",AS45/$X$10)</f>
        <v>0</v>
      </c>
      <c r="CM45" s="18">
        <f>IF($X45="","",AT45/$X$10)</f>
        <v>0</v>
      </c>
      <c r="CN45" s="18">
        <f>IF($X45="","",AU45/$X$10)</f>
        <v>0</v>
      </c>
      <c r="CO45" s="18">
        <f>IF($X45="","",AV45/$X$10)</f>
        <v>0</v>
      </c>
      <c r="CP45" s="18">
        <f>IF($X45="","",AW45/$X$10)</f>
        <v>0</v>
      </c>
      <c r="CQ45" s="18">
        <f>IF($X45="","",AX45/$X$10)</f>
        <v>0</v>
      </c>
      <c r="CR45" s="18">
        <f>IF($X45="","",AY45/$X$10)</f>
        <v>0</v>
      </c>
      <c r="CS45" s="18">
        <f>IF($X45="","",AZ45/$X$10)</f>
        <v>0</v>
      </c>
      <c r="CT45" s="18">
        <f>IF($X45="","",BA45/$X$10)</f>
        <v>0</v>
      </c>
      <c r="CU45" s="18">
        <f>IF($X45="","",BB45/$X$10)</f>
        <v>0</v>
      </c>
      <c r="CV45" s="18">
        <f>IF($X45="","",BC45/$X$10)</f>
        <v>0</v>
      </c>
      <c r="CW45" s="18">
        <f>IF($X45="","",BD45/$X$10)</f>
        <v>0</v>
      </c>
      <c r="CX45" s="18">
        <f>IF($X45="","",BE45/$X$10)</f>
        <v>0</v>
      </c>
      <c r="CY45" s="18">
        <f>IF($X45="","",BF45/$X$10)</f>
        <v>0</v>
      </c>
      <c r="CZ45" s="18">
        <f>IF($X45="","",BG45/$X$10)</f>
        <v>0</v>
      </c>
      <c r="DA45" s="18">
        <f>IF($X45="","",BH45/$X$10)</f>
        <v>0</v>
      </c>
      <c r="DB45" s="18">
        <f>IF($X45="","",BI45/$X$10)</f>
        <v>0</v>
      </c>
      <c r="DC45" s="18">
        <f>IF($X45="","",BJ45/$X$10)</f>
        <v>0</v>
      </c>
      <c r="DD45" s="18">
        <f>IF($X45="","",BK45/$X$10)</f>
        <v>0</v>
      </c>
      <c r="DE45" s="18">
        <f>IF($X45="","",BL45/$X$10)</f>
        <v>0</v>
      </c>
      <c r="DF45" s="18">
        <f>IF($X45="","",BM45/$X$10)</f>
        <v>0</v>
      </c>
      <c r="DG45" s="18">
        <f t="shared" si="3"/>
        <v>0</v>
      </c>
      <c r="DH45" s="18">
        <f>IF($X45="","",BO45/$X$10)</f>
        <v>0</v>
      </c>
      <c r="DI45" s="18">
        <f>IF($X45="","",BP45/$X$10)</f>
        <v>0</v>
      </c>
      <c r="DJ45" s="18">
        <f>IF($X45="","",BQ45/$X$10)</f>
        <v>0</v>
      </c>
      <c r="DK45" s="18">
        <f>IF($X45="","",BR45/$X$10)</f>
        <v>0</v>
      </c>
      <c r="DL45" s="18">
        <f>IF($X45="","",BS45/$X$10)</f>
        <v>0</v>
      </c>
      <c r="DM45" s="18">
        <f>IF($X45="","",BT45/$X$10)</f>
        <v>0</v>
      </c>
      <c r="DN45" s="18">
        <f t="shared" si="5"/>
        <v>0</v>
      </c>
      <c r="DO45" s="16">
        <f>IF($X45="","",SUM(Tabla152[[#This Row],[PODRIDO]],Tabla152[[#This Row],[HONGO]],Tabla152[[#This Row],[PICADO DE AVE CON PUDRICIÓN]],Tabla152[[#This Row],[FUMAGINA]])/$X$10)</f>
        <v>0</v>
      </c>
      <c r="DP45" s="16">
        <f>IF($X45="","",SUM(Tabla152[[#This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45" s="16">
        <f>IF($X45="","",SUM(Tabla152[[#This Row],[BLANDO]:[COLAPSADO]])/$X$10)</f>
        <v>0</v>
      </c>
      <c r="DR45" s="16">
        <f>IF($X45="","",SUM(Tabla152[[#This Row],[DESHIDRATADO LEVE]:[DESHIDRATADO INMADURO]])/$X$10)</f>
        <v>0</v>
      </c>
      <c r="DS45" s="18">
        <f t="shared" si="1"/>
        <v>0</v>
      </c>
      <c r="DT45" s="16">
        <f>IF($X45="","",SUM(Tabla152[[#This Row],[PRESENCIA DE LARVA]],Tabla152[[#This Row],[CHANCHITO BLANCO]])/$X$10)</f>
        <v>0</v>
      </c>
      <c r="DU45" s="18">
        <f>IF($X45="","",SUM(Tabla152[[#This Row],[ROJO GRADO 2 A MÁS]],Tabla152[[#This Row],[IMMADURO VERDE]],Tabla152[[#This Row],[DESORDEN POR MADURACIÓN]],Tabla152[[#This Row],[ARO PEDICELAR VERDE EXTREMO]])/$X$10)</f>
        <v>0</v>
      </c>
      <c r="DV45" s="16">
        <f>IF($X45="","",SUM(Tabla152[[#This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45" s="16">
        <f>IF($X45="","",BU45/$X$10)</f>
        <v>0</v>
      </c>
      <c r="DX45" s="16">
        <f>IF($X45="","",AJ45/$X$10)</f>
        <v>0</v>
      </c>
      <c r="DY45" s="16">
        <f>IF($X45="","",SUM(Tabla152[[#This Row],[PRESENCIA DE COROLA]],Tabla152[[#This Row],[PRESENCIA DE RESTO FLORAL VERDE]],Tabla152[[#This Row],[PRESENCIA DE PEDÚNCULO]])/$X$10)</f>
        <v>1.5873015873015872E-2</v>
      </c>
      <c r="DZ45" s="16">
        <f>IF($X45="","",SUM(Tabla152[[#This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46" spans="1:130" x14ac:dyDescent="0.3">
      <c r="A46" s="9">
        <f>IF(W46="","",IF(ROW()=10,1,IF(W46=W45,A45,MAX($A$9:A45)+1)))</f>
        <v>13</v>
      </c>
      <c r="B46" s="9">
        <f>WEEKNUM(Tabla152[[#This Row],[FECHA DE COSECHA]],21)</f>
        <v>36</v>
      </c>
      <c r="C46" s="9"/>
      <c r="D46" s="17">
        <v>46267</v>
      </c>
      <c r="E46" s="17">
        <v>46267</v>
      </c>
      <c r="F46" s="9">
        <v>1</v>
      </c>
      <c r="G46" s="9" t="s">
        <v>77</v>
      </c>
      <c r="H46" s="9" t="s">
        <v>144</v>
      </c>
      <c r="I46" s="9" t="s">
        <v>134</v>
      </c>
      <c r="J46" s="9" t="s">
        <v>78</v>
      </c>
      <c r="K46" s="9" t="s">
        <v>153</v>
      </c>
      <c r="L46" s="9" t="s">
        <v>131</v>
      </c>
      <c r="M46" s="9" t="s">
        <v>239</v>
      </c>
      <c r="N46" s="9" t="s">
        <v>151</v>
      </c>
      <c r="O46" s="9" t="s">
        <v>244</v>
      </c>
      <c r="P46" s="9" t="s">
        <v>152</v>
      </c>
      <c r="Q46" s="9"/>
      <c r="R46" s="9">
        <v>8</v>
      </c>
      <c r="S46" s="9">
        <v>74547547</v>
      </c>
      <c r="T46" t="s">
        <v>232</v>
      </c>
      <c r="U46" s="9" t="s">
        <v>147</v>
      </c>
      <c r="V46" s="9"/>
      <c r="W46" s="19" t="s">
        <v>165</v>
      </c>
      <c r="X46" s="9">
        <v>61</v>
      </c>
      <c r="Y46" s="9">
        <v>1</v>
      </c>
      <c r="Z46" s="9">
        <v>15</v>
      </c>
      <c r="AA46" s="9" t="str">
        <f>IF(Tabla152[[#This Row],[NOTA]]=15,"CUMPLE","NO CUMPLE")</f>
        <v>CUMPLE</v>
      </c>
      <c r="AB46" s="9" t="str">
        <f>IF(COUNTIF($A$10:A46,A46)=1,IF(COUNTIFS($A:$A,A46,$AA:$AA,"NO CUMPLE")&gt;0,"NO CUMPLE","CUMPLE"),"")</f>
        <v>CUMPLE</v>
      </c>
      <c r="AC46" s="9" t="s">
        <v>140</v>
      </c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18"/>
      <c r="BX46" s="18">
        <f>IF($X46="","",AE46/$X$10)</f>
        <v>0</v>
      </c>
      <c r="BY46" s="18">
        <f>IF($X46="","",AF46/$X$10)</f>
        <v>0</v>
      </c>
      <c r="BZ46" s="18">
        <f>IF($X46="","",AG46/$X$10)</f>
        <v>0</v>
      </c>
      <c r="CA46" s="18">
        <f>IF($X46="","",AH46/$X$10)</f>
        <v>0</v>
      </c>
      <c r="CB46" s="18">
        <f t="shared" si="2"/>
        <v>0</v>
      </c>
      <c r="CC46" s="18">
        <f>IF($X46="","",AJ46/$X$10)</f>
        <v>0</v>
      </c>
      <c r="CD46" s="18">
        <f>IF($X46="","",AK46/$X$10)</f>
        <v>0</v>
      </c>
      <c r="CE46" s="18">
        <f>IF($X46="","",AL46/$X$10)</f>
        <v>0</v>
      </c>
      <c r="CF46" s="18">
        <f>IF($X46="","",AM46/$X$10)</f>
        <v>0</v>
      </c>
      <c r="CG46" s="18">
        <f>IF($X46="","",AN46/$X$10)</f>
        <v>0</v>
      </c>
      <c r="CH46" s="18">
        <f>IF($X46="","",AO46/$X$10)</f>
        <v>0</v>
      </c>
      <c r="CI46" s="18">
        <f>IF($X46="","",AP46/$X$10)</f>
        <v>0</v>
      </c>
      <c r="CJ46" s="18">
        <f>IF($X46="","",AQ46/$X$10)</f>
        <v>0</v>
      </c>
      <c r="CK46" s="18">
        <f>IF($X46="","",AR46/$X$10)</f>
        <v>0</v>
      </c>
      <c r="CL46" s="18">
        <f>IF($X46="","",AS46/$X$10)</f>
        <v>0</v>
      </c>
      <c r="CM46" s="18">
        <f>IF($X46="","",AT46/$X$10)</f>
        <v>0</v>
      </c>
      <c r="CN46" s="18">
        <f>IF($X46="","",AU46/$X$10)</f>
        <v>0</v>
      </c>
      <c r="CO46" s="18">
        <f>IF($X46="","",AV46/$X$10)</f>
        <v>0</v>
      </c>
      <c r="CP46" s="18">
        <f>IF($X46="","",AW46/$X$10)</f>
        <v>0</v>
      </c>
      <c r="CQ46" s="18">
        <f>IF($X46="","",AX46/$X$10)</f>
        <v>0</v>
      </c>
      <c r="CR46" s="18">
        <f>IF($X46="","",AY46/$X$10)</f>
        <v>0</v>
      </c>
      <c r="CS46" s="18">
        <f>IF($X46="","",AZ46/$X$10)</f>
        <v>0</v>
      </c>
      <c r="CT46" s="18">
        <f>IF($X46="","",BA46/$X$10)</f>
        <v>0</v>
      </c>
      <c r="CU46" s="18">
        <f>IF($X46="","",BB46/$X$10)</f>
        <v>0</v>
      </c>
      <c r="CV46" s="18">
        <f>IF($X46="","",BC46/$X$10)</f>
        <v>0</v>
      </c>
      <c r="CW46" s="18">
        <f>IF($X46="","",BD46/$X$10)</f>
        <v>0</v>
      </c>
      <c r="CX46" s="18">
        <f>IF($X46="","",BE46/$X$10)</f>
        <v>0</v>
      </c>
      <c r="CY46" s="18">
        <f>IF($X46="","",BF46/$X$10)</f>
        <v>0</v>
      </c>
      <c r="CZ46" s="18">
        <f>IF($X46="","",BG46/$X$10)</f>
        <v>0</v>
      </c>
      <c r="DA46" s="18">
        <f>IF($X46="","",BH46/$X$10)</f>
        <v>0</v>
      </c>
      <c r="DB46" s="18">
        <f>IF($X46="","",BI46/$X$10)</f>
        <v>0</v>
      </c>
      <c r="DC46" s="18">
        <f>IF($X46="","",BJ46/$X$10)</f>
        <v>0</v>
      </c>
      <c r="DD46" s="18">
        <f>IF($X46="","",BK46/$X$10)</f>
        <v>0</v>
      </c>
      <c r="DE46" s="18">
        <f>IF($X46="","",BL46/$X$10)</f>
        <v>0</v>
      </c>
      <c r="DF46" s="18">
        <f>IF($X46="","",BM46/$X$10)</f>
        <v>0</v>
      </c>
      <c r="DG46" s="18">
        <f t="shared" si="3"/>
        <v>0</v>
      </c>
      <c r="DH46" s="18">
        <f>IF($X46="","",BO46/$X$10)</f>
        <v>0</v>
      </c>
      <c r="DI46" s="18">
        <f>IF($X46="","",BP46/$X$10)</f>
        <v>0</v>
      </c>
      <c r="DJ46" s="18">
        <f>IF($X46="","",BQ46/$X$10)</f>
        <v>0</v>
      </c>
      <c r="DK46" s="18">
        <f>IF($X46="","",BR46/$X$10)</f>
        <v>0</v>
      </c>
      <c r="DL46" s="18">
        <f>IF($X46="","",BS46/$X$10)</f>
        <v>0</v>
      </c>
      <c r="DM46" s="18">
        <f>IF($X46="","",BT46/$X$10)</f>
        <v>0</v>
      </c>
      <c r="DN46" s="18">
        <f t="shared" ref="DN46:DN77" si="6">IF($X46="","",BU46/$X$10)</f>
        <v>0</v>
      </c>
      <c r="DO46" s="16">
        <f>IF($X46="","",SUM(Tabla152[[#This Row],[PODRIDO]],Tabla152[[#This Row],[HONGO]],Tabla152[[#This Row],[PICADO DE AVE CON PUDRICIÓN]],Tabla152[[#This Row],[FUMAGINA]])/$X$10)</f>
        <v>0</v>
      </c>
      <c r="DP46" s="16">
        <f>IF($X46="","",SUM(Tabla152[[#This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46" s="16">
        <f>IF($X46="","",SUM(Tabla152[[#This Row],[BLANDO]:[COLAPSADO]])/$X$10)</f>
        <v>0</v>
      </c>
      <c r="DR46" s="16">
        <f>IF($X46="","",SUM(Tabla152[[#This Row],[DESHIDRATADO LEVE]:[DESHIDRATADO INMADURO]])/$X$10)</f>
        <v>0</v>
      </c>
      <c r="DS46" s="18">
        <f t="shared" si="1"/>
        <v>0</v>
      </c>
      <c r="DT46" s="16">
        <f>IF($X46="","",SUM(Tabla152[[#This Row],[PRESENCIA DE LARVA]],Tabla152[[#This Row],[CHANCHITO BLANCO]])/$X$10)</f>
        <v>0</v>
      </c>
      <c r="DU46" s="18">
        <f>IF($X46="","",SUM(Tabla152[[#This Row],[ROJO GRADO 2 A MÁS]],Tabla152[[#This Row],[IMMADURO VERDE]],Tabla152[[#This Row],[DESORDEN POR MADURACIÓN]],Tabla152[[#This Row],[ARO PEDICELAR VERDE EXTREMO]])/$X$10)</f>
        <v>0</v>
      </c>
      <c r="DV46" s="16">
        <f>IF($X46="","",SUM(Tabla152[[#This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46" s="16">
        <f>IF($X46="","",BU46/$X$10)</f>
        <v>0</v>
      </c>
      <c r="DX46" s="16">
        <f>IF($X46="","",AJ46/$X$10)</f>
        <v>0</v>
      </c>
      <c r="DY46" s="16">
        <f>IF($X46="","",SUM(Tabla152[[#This Row],[PRESENCIA DE COROLA]],Tabla152[[#This Row],[PRESENCIA DE RESTO FLORAL VERDE]],Tabla152[[#This Row],[PRESENCIA DE PEDÚNCULO]])/$X$10)</f>
        <v>0</v>
      </c>
      <c r="DZ46" s="16">
        <f>IF($X46="","",SUM(Tabla152[[#This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47" spans="1:130" x14ac:dyDescent="0.3">
      <c r="A47" s="9">
        <f>IF(W47="","",IF(ROW()=10,1,IF(W47=W46,A46,MAX($A$9:A46)+1)))</f>
        <v>13</v>
      </c>
      <c r="B47" s="9">
        <f>WEEKNUM(Tabla152[[#This Row],[FECHA DE COSECHA]],21)</f>
        <v>36</v>
      </c>
      <c r="C47" s="9"/>
      <c r="D47" s="17">
        <v>46267</v>
      </c>
      <c r="E47" s="17">
        <v>46267</v>
      </c>
      <c r="F47" s="9">
        <v>1</v>
      </c>
      <c r="G47" s="9" t="s">
        <v>77</v>
      </c>
      <c r="H47" s="9" t="s">
        <v>144</v>
      </c>
      <c r="I47" s="9" t="s">
        <v>134</v>
      </c>
      <c r="J47" s="9" t="s">
        <v>78</v>
      </c>
      <c r="K47" s="9" t="s">
        <v>153</v>
      </c>
      <c r="L47" s="9" t="s">
        <v>131</v>
      </c>
      <c r="M47" s="9" t="s">
        <v>239</v>
      </c>
      <c r="N47" s="9" t="s">
        <v>151</v>
      </c>
      <c r="O47" s="9" t="s">
        <v>244</v>
      </c>
      <c r="P47" s="9" t="s">
        <v>152</v>
      </c>
      <c r="Q47" s="9"/>
      <c r="R47" s="9">
        <v>8</v>
      </c>
      <c r="S47" s="9">
        <v>74547547</v>
      </c>
      <c r="T47" t="s">
        <v>232</v>
      </c>
      <c r="U47" s="9" t="s">
        <v>147</v>
      </c>
      <c r="V47" s="9"/>
      <c r="W47" s="19" t="s">
        <v>165</v>
      </c>
      <c r="X47" s="9">
        <v>61</v>
      </c>
      <c r="Y47" s="9">
        <v>2</v>
      </c>
      <c r="Z47" s="9">
        <v>15</v>
      </c>
      <c r="AA47" s="9" t="str">
        <f>IF(Tabla152[[#This Row],[NOTA]]=15,"CUMPLE","NO CUMPLE")</f>
        <v>CUMPLE</v>
      </c>
      <c r="AB47" s="9" t="str">
        <f>IF(COUNTIF($A$10:A47,A47)=1,IF(COUNTIFS($A:$A,A47,$AA:$AA,"NO CUMPLE")&gt;0,"NO CUMPLE","CUMPLE"),"")</f>
        <v/>
      </c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18"/>
      <c r="BX47" s="18">
        <f>IF($X47="","",AE47/$X$10)</f>
        <v>0</v>
      </c>
      <c r="BY47" s="18">
        <f>IF($X47="","",AF47/$X$10)</f>
        <v>0</v>
      </c>
      <c r="BZ47" s="18">
        <f>IF($X47="","",AG47/$X$10)</f>
        <v>0</v>
      </c>
      <c r="CA47" s="18">
        <f>IF($X47="","",AH47/$X$10)</f>
        <v>0</v>
      </c>
      <c r="CB47" s="18">
        <f t="shared" si="2"/>
        <v>0</v>
      </c>
      <c r="CC47" s="18">
        <f>IF($X47="","",AJ47/$X$10)</f>
        <v>0</v>
      </c>
      <c r="CD47" s="18">
        <f>IF($X47="","",AK47/$X$10)</f>
        <v>0</v>
      </c>
      <c r="CE47" s="18">
        <f>IF($X47="","",AL47/$X$10)</f>
        <v>0</v>
      </c>
      <c r="CF47" s="18">
        <f>IF($X47="","",AM47/$X$10)</f>
        <v>0</v>
      </c>
      <c r="CG47" s="18">
        <f>IF($X47="","",AN47/$X$10)</f>
        <v>0</v>
      </c>
      <c r="CH47" s="18">
        <f>IF($X47="","",AO47/$X$10)</f>
        <v>0</v>
      </c>
      <c r="CI47" s="18">
        <f>IF($X47="","",AP47/$X$10)</f>
        <v>0</v>
      </c>
      <c r="CJ47" s="18">
        <f>IF($X47="","",AQ47/$X$10)</f>
        <v>0</v>
      </c>
      <c r="CK47" s="18">
        <f>IF($X47="","",AR47/$X$10)</f>
        <v>0</v>
      </c>
      <c r="CL47" s="18">
        <f>IF($X47="","",AS47/$X$10)</f>
        <v>0</v>
      </c>
      <c r="CM47" s="18">
        <f>IF($X47="","",AT47/$X$10)</f>
        <v>0</v>
      </c>
      <c r="CN47" s="18">
        <f>IF($X47="","",AU47/$X$10)</f>
        <v>0</v>
      </c>
      <c r="CO47" s="18">
        <f>IF($X47="","",AV47/$X$10)</f>
        <v>0</v>
      </c>
      <c r="CP47" s="18">
        <f>IF($X47="","",AW47/$X$10)</f>
        <v>0</v>
      </c>
      <c r="CQ47" s="18">
        <f>IF($X47="","",AX47/$X$10)</f>
        <v>0</v>
      </c>
      <c r="CR47" s="18">
        <f>IF($X47="","",AY47/$X$10)</f>
        <v>0</v>
      </c>
      <c r="CS47" s="18">
        <f>IF($X47="","",AZ47/$X$10)</f>
        <v>0</v>
      </c>
      <c r="CT47" s="18">
        <f>IF($X47="","",BA47/$X$10)</f>
        <v>0</v>
      </c>
      <c r="CU47" s="18">
        <f>IF($X47="","",BB47/$X$10)</f>
        <v>0</v>
      </c>
      <c r="CV47" s="18">
        <f>IF($X47="","",BC47/$X$10)</f>
        <v>0</v>
      </c>
      <c r="CW47" s="18">
        <f>IF($X47="","",BD47/$X$10)</f>
        <v>0</v>
      </c>
      <c r="CX47" s="18">
        <f>IF($X47="","",BE47/$X$10)</f>
        <v>0</v>
      </c>
      <c r="CY47" s="18">
        <f>IF($X47="","",BF47/$X$10)</f>
        <v>0</v>
      </c>
      <c r="CZ47" s="18">
        <f>IF($X47="","",BG47/$X$10)</f>
        <v>0</v>
      </c>
      <c r="DA47" s="18">
        <f>IF($X47="","",BH47/$X$10)</f>
        <v>0</v>
      </c>
      <c r="DB47" s="18">
        <f>IF($X47="","",BI47/$X$10)</f>
        <v>0</v>
      </c>
      <c r="DC47" s="18">
        <f>IF($X47="","",BJ47/$X$10)</f>
        <v>0</v>
      </c>
      <c r="DD47" s="18">
        <f>IF($X47="","",BK47/$X$10)</f>
        <v>0</v>
      </c>
      <c r="DE47" s="18">
        <f>IF($X47="","",BL47/$X$10)</f>
        <v>0</v>
      </c>
      <c r="DF47" s="18">
        <f>IF($X47="","",BM47/$X$10)</f>
        <v>0</v>
      </c>
      <c r="DG47" s="18">
        <f t="shared" si="3"/>
        <v>0</v>
      </c>
      <c r="DH47" s="18">
        <f>IF($X47="","",BO47/$X$10)</f>
        <v>0</v>
      </c>
      <c r="DI47" s="18">
        <f>IF($X47="","",BP47/$X$10)</f>
        <v>0</v>
      </c>
      <c r="DJ47" s="18">
        <f>IF($X47="","",BQ47/$X$10)</f>
        <v>0</v>
      </c>
      <c r="DK47" s="18">
        <f>IF($X47="","",BR47/$X$10)</f>
        <v>0</v>
      </c>
      <c r="DL47" s="18">
        <f>IF($X47="","",BS47/$X$10)</f>
        <v>0</v>
      </c>
      <c r="DM47" s="18">
        <f>IF($X47="","",BT47/$X$10)</f>
        <v>0</v>
      </c>
      <c r="DN47" s="18">
        <f t="shared" si="6"/>
        <v>0</v>
      </c>
      <c r="DO47" s="16">
        <f>IF($X47="","",SUM(Tabla152[[#This Row],[PODRIDO]],Tabla152[[#This Row],[HONGO]],Tabla152[[#This Row],[PICADO DE AVE CON PUDRICIÓN]],Tabla152[[#This Row],[FUMAGINA]])/$X$10)</f>
        <v>0</v>
      </c>
      <c r="DP47" s="16">
        <f>IF($X47="","",SUM(Tabla152[[#This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47" s="16">
        <f>IF($X47="","",SUM(Tabla152[[#This Row],[BLANDO]:[COLAPSADO]])/$X$10)</f>
        <v>0</v>
      </c>
      <c r="DR47" s="16">
        <f>IF($X47="","",SUM(Tabla152[[#This Row],[DESHIDRATADO LEVE]:[DESHIDRATADO INMADURO]])/$X$10)</f>
        <v>0</v>
      </c>
      <c r="DS47" s="18">
        <f t="shared" si="1"/>
        <v>0</v>
      </c>
      <c r="DT47" s="16">
        <f>IF($X47="","",SUM(Tabla152[[#This Row],[PRESENCIA DE LARVA]],Tabla152[[#This Row],[CHANCHITO BLANCO]])/$X$10)</f>
        <v>0</v>
      </c>
      <c r="DU47" s="18">
        <f>IF($X47="","",SUM(Tabla152[[#This Row],[ROJO GRADO 2 A MÁS]],Tabla152[[#This Row],[IMMADURO VERDE]],Tabla152[[#This Row],[DESORDEN POR MADURACIÓN]],Tabla152[[#This Row],[ARO PEDICELAR VERDE EXTREMO]])/$X$10)</f>
        <v>0</v>
      </c>
      <c r="DV47" s="16">
        <f>IF($X47="","",SUM(Tabla152[[#This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47" s="16">
        <f>IF($X47="","",BU47/$X$10)</f>
        <v>0</v>
      </c>
      <c r="DX47" s="16">
        <f>IF($X47="","",AJ47/$X$10)</f>
        <v>0</v>
      </c>
      <c r="DY47" s="16">
        <f>IF($X47="","",SUM(Tabla152[[#This Row],[PRESENCIA DE COROLA]],Tabla152[[#This Row],[PRESENCIA DE RESTO FLORAL VERDE]],Tabla152[[#This Row],[PRESENCIA DE PEDÚNCULO]])/$X$10)</f>
        <v>0</v>
      </c>
      <c r="DZ47" s="16">
        <f>IF($X47="","",SUM(Tabla152[[#This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48" spans="1:130" x14ac:dyDescent="0.3">
      <c r="A48" s="9">
        <f>IF(W48="","",IF(ROW()=10,1,IF(W48=W47,A47,MAX($A$9:A47)+1)))</f>
        <v>13</v>
      </c>
      <c r="B48" s="9">
        <f>WEEKNUM(Tabla152[[#This Row],[FECHA DE COSECHA]],21)</f>
        <v>36</v>
      </c>
      <c r="C48" s="9"/>
      <c r="D48" s="17">
        <v>46267</v>
      </c>
      <c r="E48" s="17">
        <v>46267</v>
      </c>
      <c r="F48" s="9">
        <v>1</v>
      </c>
      <c r="G48" s="9" t="s">
        <v>77</v>
      </c>
      <c r="H48" s="9" t="s">
        <v>144</v>
      </c>
      <c r="I48" s="9" t="s">
        <v>134</v>
      </c>
      <c r="J48" s="9" t="s">
        <v>78</v>
      </c>
      <c r="K48" s="9" t="s">
        <v>153</v>
      </c>
      <c r="L48" s="9" t="s">
        <v>131</v>
      </c>
      <c r="M48" s="9" t="s">
        <v>239</v>
      </c>
      <c r="N48" s="9" t="s">
        <v>151</v>
      </c>
      <c r="O48" s="9" t="s">
        <v>244</v>
      </c>
      <c r="P48" s="9" t="s">
        <v>152</v>
      </c>
      <c r="Q48" s="9"/>
      <c r="R48" s="9">
        <v>8</v>
      </c>
      <c r="S48" s="9">
        <v>74547547</v>
      </c>
      <c r="T48" t="s">
        <v>232</v>
      </c>
      <c r="U48" s="9" t="s">
        <v>147</v>
      </c>
      <c r="V48" s="9"/>
      <c r="W48" s="19" t="s">
        <v>165</v>
      </c>
      <c r="X48" s="9">
        <v>61</v>
      </c>
      <c r="Y48" s="9">
        <v>3</v>
      </c>
      <c r="Z48" s="9">
        <v>15</v>
      </c>
      <c r="AA48" s="9" t="str">
        <f>IF(Tabla152[[#This Row],[NOTA]]=15,"CUMPLE","NO CUMPLE")</f>
        <v>CUMPLE</v>
      </c>
      <c r="AB48" s="9" t="str">
        <f>IF(COUNTIF($A$10:A48,A48)=1,IF(COUNTIFS($A:$A,A48,$AA:$AA,"NO CUMPLE")&gt;0,"NO CUMPLE","CUMPLE"),"")</f>
        <v/>
      </c>
      <c r="AC48" s="9"/>
      <c r="AD48" s="8">
        <v>1</v>
      </c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18"/>
      <c r="BX48" s="18">
        <f>IF($X48="","",AE48/$X$10)</f>
        <v>0</v>
      </c>
      <c r="BY48" s="18">
        <f>IF($X48="","",AF48/$X$10)</f>
        <v>0</v>
      </c>
      <c r="BZ48" s="18">
        <f>IF($X48="","",AG48/$X$10)</f>
        <v>0</v>
      </c>
      <c r="CA48" s="18">
        <f>IF($X48="","",AH48/$X$10)</f>
        <v>0</v>
      </c>
      <c r="CB48" s="18">
        <f t="shared" si="2"/>
        <v>0</v>
      </c>
      <c r="CC48" s="18">
        <f>IF($X48="","",AJ48/$X$10)</f>
        <v>0</v>
      </c>
      <c r="CD48" s="18">
        <f>IF($X48="","",AK48/$X$10)</f>
        <v>0</v>
      </c>
      <c r="CE48" s="18">
        <f>IF($X48="","",AL48/$X$10)</f>
        <v>0</v>
      </c>
      <c r="CF48" s="18">
        <f>IF($X48="","",AM48/$X$10)</f>
        <v>0</v>
      </c>
      <c r="CG48" s="18">
        <f>IF($X48="","",AN48/$X$10)</f>
        <v>0</v>
      </c>
      <c r="CH48" s="18">
        <f>IF($X48="","",AO48/$X$10)</f>
        <v>0</v>
      </c>
      <c r="CI48" s="18">
        <f>IF($X48="","",AP48/$X$10)</f>
        <v>0</v>
      </c>
      <c r="CJ48" s="18">
        <f>IF($X48="","",AQ48/$X$10)</f>
        <v>0</v>
      </c>
      <c r="CK48" s="18">
        <f>IF($X48="","",AR48/$X$10)</f>
        <v>0</v>
      </c>
      <c r="CL48" s="18">
        <f>IF($X48="","",AS48/$X$10)</f>
        <v>0</v>
      </c>
      <c r="CM48" s="18">
        <f>IF($X48="","",AT48/$X$10)</f>
        <v>0</v>
      </c>
      <c r="CN48" s="18">
        <f>IF($X48="","",AU48/$X$10)</f>
        <v>0</v>
      </c>
      <c r="CO48" s="18">
        <f>IF($X48="","",AV48/$X$10)</f>
        <v>0</v>
      </c>
      <c r="CP48" s="18">
        <f>IF($X48="","",AW48/$X$10)</f>
        <v>0</v>
      </c>
      <c r="CQ48" s="18">
        <f>IF($X48="","",AX48/$X$10)</f>
        <v>0</v>
      </c>
      <c r="CR48" s="18">
        <f>IF($X48="","",AY48/$X$10)</f>
        <v>0</v>
      </c>
      <c r="CS48" s="18">
        <f>IF($X48="","",AZ48/$X$10)</f>
        <v>0</v>
      </c>
      <c r="CT48" s="18">
        <f>IF($X48="","",BA48/$X$10)</f>
        <v>0</v>
      </c>
      <c r="CU48" s="18">
        <f>IF($X48="","",BB48/$X$10)</f>
        <v>0</v>
      </c>
      <c r="CV48" s="18">
        <f>IF($X48="","",BC48/$X$10)</f>
        <v>0</v>
      </c>
      <c r="CW48" s="18">
        <f>IF($X48="","",BD48/$X$10)</f>
        <v>0</v>
      </c>
      <c r="CX48" s="18">
        <f>IF($X48="","",BE48/$X$10)</f>
        <v>0</v>
      </c>
      <c r="CY48" s="18">
        <f>IF($X48="","",BF48/$X$10)</f>
        <v>0</v>
      </c>
      <c r="CZ48" s="18">
        <f>IF($X48="","",BG48/$X$10)</f>
        <v>0</v>
      </c>
      <c r="DA48" s="18">
        <f>IF($X48="","",BH48/$X$10)</f>
        <v>0</v>
      </c>
      <c r="DB48" s="18">
        <f>IF($X48="","",BI48/$X$10)</f>
        <v>0</v>
      </c>
      <c r="DC48" s="18">
        <f>IF($X48="","",BJ48/$X$10)</f>
        <v>0</v>
      </c>
      <c r="DD48" s="18">
        <f>IF($X48="","",BK48/$X$10)</f>
        <v>0</v>
      </c>
      <c r="DE48" s="18">
        <f>IF($X48="","",BL48/$X$10)</f>
        <v>0</v>
      </c>
      <c r="DF48" s="18">
        <f>IF($X48="","",BM48/$X$10)</f>
        <v>0</v>
      </c>
      <c r="DG48" s="18">
        <f t="shared" si="3"/>
        <v>0</v>
      </c>
      <c r="DH48" s="18">
        <f>IF($X48="","",BO48/$X$10)</f>
        <v>0</v>
      </c>
      <c r="DI48" s="18">
        <f>IF($X48="","",BP48/$X$10)</f>
        <v>0</v>
      </c>
      <c r="DJ48" s="18">
        <f>IF($X48="","",BQ48/$X$10)</f>
        <v>0</v>
      </c>
      <c r="DK48" s="18">
        <f>IF($X48="","",BR48/$X$10)</f>
        <v>0</v>
      </c>
      <c r="DL48" s="18">
        <f>IF($X48="","",BS48/$X$10)</f>
        <v>0</v>
      </c>
      <c r="DM48" s="18">
        <f>IF($X48="","",BT48/$X$10)</f>
        <v>0</v>
      </c>
      <c r="DN48" s="18">
        <f t="shared" si="6"/>
        <v>0</v>
      </c>
      <c r="DO48" s="16">
        <f>IF($X48="","",SUM(Tabla152[[#This Row],[PODRIDO]],Tabla152[[#This Row],[HONGO]],Tabla152[[#This Row],[PICADO DE AVE CON PUDRICIÓN]],Tabla152[[#This Row],[FUMAGINA]])/$X$10)</f>
        <v>0</v>
      </c>
      <c r="DP48" s="16">
        <f>IF($X48="","",SUM(Tabla152[[#This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48" s="16">
        <f>IF($X48="","",SUM(Tabla152[[#This Row],[BLANDO]:[COLAPSADO]])/$X$10)</f>
        <v>0</v>
      </c>
      <c r="DR48" s="16">
        <f>IF($X48="","",SUM(Tabla152[[#This Row],[DESHIDRATADO LEVE]:[DESHIDRATADO INMADURO]])/$X$10)</f>
        <v>0</v>
      </c>
      <c r="DS48" s="18">
        <f t="shared" si="1"/>
        <v>0</v>
      </c>
      <c r="DT48" s="16">
        <f>IF($X48="","",SUM(Tabla152[[#This Row],[PRESENCIA DE LARVA]],Tabla152[[#This Row],[CHANCHITO BLANCO]])/$X$10)</f>
        <v>0</v>
      </c>
      <c r="DU48" s="18">
        <f>IF($X48="","",SUM(Tabla152[[#This Row],[ROJO GRADO 2 A MÁS]],Tabla152[[#This Row],[IMMADURO VERDE]],Tabla152[[#This Row],[DESORDEN POR MADURACIÓN]],Tabla152[[#This Row],[ARO PEDICELAR VERDE EXTREMO]])/$X$10)</f>
        <v>0</v>
      </c>
      <c r="DV48" s="16">
        <f>IF($X48="","",SUM(Tabla152[[#This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48" s="16">
        <f>IF($X48="","",BU48/$X$10)</f>
        <v>0</v>
      </c>
      <c r="DX48" s="16">
        <f>IF($X48="","",AJ48/$X$10)</f>
        <v>0</v>
      </c>
      <c r="DY48" s="16">
        <f>IF($X48="","",SUM(Tabla152[[#This Row],[PRESENCIA DE COROLA]],Tabla152[[#This Row],[PRESENCIA DE RESTO FLORAL VERDE]],Tabla152[[#This Row],[PRESENCIA DE PEDÚNCULO]])/$X$10)</f>
        <v>0</v>
      </c>
      <c r="DZ48" s="16">
        <f>IF($X48="","",SUM(Tabla152[[#This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1.5873015873015872E-2</v>
      </c>
    </row>
    <row r="49" spans="1:130" x14ac:dyDescent="0.3">
      <c r="A49" s="9">
        <f>IF(W49="","",IF(ROW()=10,1,IF(W49=W48,A48,MAX($A$9:A48)+1)))</f>
        <v>14</v>
      </c>
      <c r="B49" s="9">
        <f>WEEKNUM(Tabla152[[#This Row],[FECHA DE COSECHA]],21)</f>
        <v>36</v>
      </c>
      <c r="C49" s="9"/>
      <c r="D49" s="17">
        <v>46267</v>
      </c>
      <c r="E49" s="17">
        <v>46267</v>
      </c>
      <c r="F49" s="9">
        <v>1</v>
      </c>
      <c r="G49" s="9" t="s">
        <v>77</v>
      </c>
      <c r="H49" s="9" t="s">
        <v>144</v>
      </c>
      <c r="I49" s="9" t="s">
        <v>134</v>
      </c>
      <c r="J49" s="9" t="s">
        <v>78</v>
      </c>
      <c r="K49" s="9" t="s">
        <v>153</v>
      </c>
      <c r="L49" s="9" t="s">
        <v>131</v>
      </c>
      <c r="M49" s="9" t="s">
        <v>239</v>
      </c>
      <c r="N49" s="9" t="s">
        <v>151</v>
      </c>
      <c r="O49" s="9" t="s">
        <v>244</v>
      </c>
      <c r="P49" s="9" t="s">
        <v>152</v>
      </c>
      <c r="Q49" s="9"/>
      <c r="R49" s="9">
        <v>8</v>
      </c>
      <c r="S49" s="9">
        <v>74547547</v>
      </c>
      <c r="T49" t="s">
        <v>232</v>
      </c>
      <c r="U49" s="9" t="s">
        <v>147</v>
      </c>
      <c r="V49" s="9"/>
      <c r="W49" s="19" t="s">
        <v>166</v>
      </c>
      <c r="X49" s="9">
        <v>61</v>
      </c>
      <c r="Y49" s="9">
        <v>1</v>
      </c>
      <c r="Z49" s="9">
        <v>15</v>
      </c>
      <c r="AA49" s="9" t="str">
        <f>IF(Tabla152[[#This Row],[NOTA]]=15,"CUMPLE","NO CUMPLE")</f>
        <v>CUMPLE</v>
      </c>
      <c r="AB49" s="9" t="str">
        <f>IF(COUNTIF($A$10:A49,A49)=1,IF(COUNTIFS($A:$A,A49,$AA:$AA,"NO CUMPLE")&gt;0,"NO CUMPLE","CUMPLE"),"")</f>
        <v>NO CUMPLE</v>
      </c>
      <c r="AC49" s="9" t="s">
        <v>140</v>
      </c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18"/>
      <c r="BX49" s="18">
        <f>IF($X49="","",AE49/$X$10)</f>
        <v>0</v>
      </c>
      <c r="BY49" s="18">
        <f>IF($X49="","",AF49/$X$10)</f>
        <v>0</v>
      </c>
      <c r="BZ49" s="18">
        <f>IF($X49="","",AG49/$X$10)</f>
        <v>0</v>
      </c>
      <c r="CA49" s="18">
        <f>IF($X49="","",AH49/$X$10)</f>
        <v>0</v>
      </c>
      <c r="CB49" s="18">
        <f t="shared" si="2"/>
        <v>0</v>
      </c>
      <c r="CC49" s="18">
        <f>IF($X49="","",AJ49/$X$10)</f>
        <v>0</v>
      </c>
      <c r="CD49" s="18">
        <f>IF($X49="","",AK49/$X$10)</f>
        <v>0</v>
      </c>
      <c r="CE49" s="18">
        <f>IF($X49="","",AL49/$X$10)</f>
        <v>0</v>
      </c>
      <c r="CF49" s="18">
        <f>IF($X49="","",AM49/$X$10)</f>
        <v>0</v>
      </c>
      <c r="CG49" s="18">
        <f>IF($X49="","",AN49/$X$10)</f>
        <v>0</v>
      </c>
      <c r="CH49" s="18">
        <f>IF($X49="","",AO49/$X$10)</f>
        <v>0</v>
      </c>
      <c r="CI49" s="18">
        <f>IF($X49="","",AP49/$X$10)</f>
        <v>0</v>
      </c>
      <c r="CJ49" s="18">
        <f>IF($X49="","",AQ49/$X$10)</f>
        <v>0</v>
      </c>
      <c r="CK49" s="18">
        <f>IF($X49="","",AR49/$X$10)</f>
        <v>0</v>
      </c>
      <c r="CL49" s="18">
        <f>IF($X49="","",AS49/$X$10)</f>
        <v>0</v>
      </c>
      <c r="CM49" s="18">
        <f>IF($X49="","",AT49/$X$10)</f>
        <v>0</v>
      </c>
      <c r="CN49" s="18">
        <f>IF($X49="","",AU49/$X$10)</f>
        <v>0</v>
      </c>
      <c r="CO49" s="18">
        <f>IF($X49="","",AV49/$X$10)</f>
        <v>0</v>
      </c>
      <c r="CP49" s="18">
        <f>IF($X49="","",AW49/$X$10)</f>
        <v>0</v>
      </c>
      <c r="CQ49" s="18">
        <f>IF($X49="","",AX49/$X$10)</f>
        <v>0</v>
      </c>
      <c r="CR49" s="18">
        <f>IF($X49="","",AY49/$X$10)</f>
        <v>0</v>
      </c>
      <c r="CS49" s="18">
        <f>IF($X49="","",AZ49/$X$10)</f>
        <v>0</v>
      </c>
      <c r="CT49" s="18">
        <f>IF($X49="","",BA49/$X$10)</f>
        <v>0</v>
      </c>
      <c r="CU49" s="18">
        <f>IF($X49="","",BB49/$X$10)</f>
        <v>0</v>
      </c>
      <c r="CV49" s="18">
        <f>IF($X49="","",BC49/$X$10)</f>
        <v>0</v>
      </c>
      <c r="CW49" s="18">
        <f>IF($X49="","",BD49/$X$10)</f>
        <v>0</v>
      </c>
      <c r="CX49" s="18">
        <f>IF($X49="","",BE49/$X$10)</f>
        <v>0</v>
      </c>
      <c r="CY49" s="18">
        <f>IF($X49="","",BF49/$X$10)</f>
        <v>0</v>
      </c>
      <c r="CZ49" s="18">
        <f>IF($X49="","",BG49/$X$10)</f>
        <v>0</v>
      </c>
      <c r="DA49" s="18">
        <f>IF($X49="","",BH49/$X$10)</f>
        <v>0</v>
      </c>
      <c r="DB49" s="18">
        <f>IF($X49="","",BI49/$X$10)</f>
        <v>0</v>
      </c>
      <c r="DC49" s="18">
        <f>IF($X49="","",BJ49/$X$10)</f>
        <v>0</v>
      </c>
      <c r="DD49" s="18">
        <f>IF($X49="","",BK49/$X$10)</f>
        <v>0</v>
      </c>
      <c r="DE49" s="18">
        <f>IF($X49="","",BL49/$X$10)</f>
        <v>0</v>
      </c>
      <c r="DF49" s="18">
        <f>IF($X49="","",BM49/$X$10)</f>
        <v>0</v>
      </c>
      <c r="DG49" s="18">
        <f t="shared" si="3"/>
        <v>0</v>
      </c>
      <c r="DH49" s="18">
        <f>IF($X49="","",BO49/$X$10)</f>
        <v>0</v>
      </c>
      <c r="DI49" s="18">
        <f>IF($X49="","",BP49/$X$10)</f>
        <v>0</v>
      </c>
      <c r="DJ49" s="18">
        <f>IF($X49="","",BQ49/$X$10)</f>
        <v>0</v>
      </c>
      <c r="DK49" s="18">
        <f>IF($X49="","",BR49/$X$10)</f>
        <v>0</v>
      </c>
      <c r="DL49" s="18">
        <f>IF($X49="","",BS49/$X$10)</f>
        <v>0</v>
      </c>
      <c r="DM49" s="18">
        <f>IF($X49="","",BT49/$X$10)</f>
        <v>0</v>
      </c>
      <c r="DN49" s="18">
        <f t="shared" si="6"/>
        <v>0</v>
      </c>
      <c r="DO49" s="16">
        <f>IF($X49="","",SUM(Tabla152[[#This Row],[PODRIDO]],Tabla152[[#This Row],[HONGO]],Tabla152[[#This Row],[PICADO DE AVE CON PUDRICIÓN]],Tabla152[[#This Row],[FUMAGINA]])/$X$10)</f>
        <v>0</v>
      </c>
      <c r="DP49" s="16">
        <f>IF($X49="","",SUM(Tabla152[[#This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49" s="16">
        <f>IF($X49="","",SUM(Tabla152[[#This Row],[BLANDO]:[COLAPSADO]])/$X$10)</f>
        <v>0</v>
      </c>
      <c r="DR49" s="16">
        <f>IF($X49="","",SUM(Tabla152[[#This Row],[DESHIDRATADO LEVE]:[DESHIDRATADO INMADURO]])/$X$10)</f>
        <v>0</v>
      </c>
      <c r="DS49" s="18">
        <f t="shared" si="1"/>
        <v>0</v>
      </c>
      <c r="DT49" s="16">
        <f>IF($X49="","",SUM(Tabla152[[#This Row],[PRESENCIA DE LARVA]],Tabla152[[#This Row],[CHANCHITO BLANCO]])/$X$10)</f>
        <v>0</v>
      </c>
      <c r="DU49" s="18">
        <f>IF($X49="","",SUM(Tabla152[[#This Row],[ROJO GRADO 2 A MÁS]],Tabla152[[#This Row],[IMMADURO VERDE]],Tabla152[[#This Row],[DESORDEN POR MADURACIÓN]],Tabla152[[#This Row],[ARO PEDICELAR VERDE EXTREMO]])/$X$10)</f>
        <v>0</v>
      </c>
      <c r="DV49" s="16">
        <f>IF($X49="","",SUM(Tabla152[[#This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49" s="16">
        <f>IF($X49="","",BU49/$X$10)</f>
        <v>0</v>
      </c>
      <c r="DX49" s="16">
        <f>IF($X49="","",AJ49/$X$10)</f>
        <v>0</v>
      </c>
      <c r="DY49" s="16">
        <f>IF($X49="","",SUM(Tabla152[[#This Row],[PRESENCIA DE COROLA]],Tabla152[[#This Row],[PRESENCIA DE RESTO FLORAL VERDE]],Tabla152[[#This Row],[PRESENCIA DE PEDÚNCULO]])/$X$10)</f>
        <v>0</v>
      </c>
      <c r="DZ49" s="16">
        <f>IF($X49="","",SUM(Tabla152[[#This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50" spans="1:130" x14ac:dyDescent="0.3">
      <c r="A50" s="9">
        <f>IF(W50="","",IF(ROW()=10,1,IF(W50=W49,A49,MAX($A$9:A49)+1)))</f>
        <v>14</v>
      </c>
      <c r="B50" s="9">
        <f>WEEKNUM(Tabla152[[#This Row],[FECHA DE COSECHA]],21)</f>
        <v>36</v>
      </c>
      <c r="C50" s="9"/>
      <c r="D50" s="17">
        <v>46267</v>
      </c>
      <c r="E50" s="17">
        <v>46267</v>
      </c>
      <c r="F50" s="9">
        <v>1</v>
      </c>
      <c r="G50" s="9" t="s">
        <v>77</v>
      </c>
      <c r="H50" s="9" t="s">
        <v>144</v>
      </c>
      <c r="I50" s="9" t="s">
        <v>134</v>
      </c>
      <c r="J50" s="9" t="s">
        <v>78</v>
      </c>
      <c r="K50" s="9" t="s">
        <v>153</v>
      </c>
      <c r="L50" s="9" t="s">
        <v>131</v>
      </c>
      <c r="M50" s="9" t="s">
        <v>239</v>
      </c>
      <c r="N50" s="9" t="s">
        <v>151</v>
      </c>
      <c r="O50" s="9" t="s">
        <v>244</v>
      </c>
      <c r="P50" s="9" t="s">
        <v>152</v>
      </c>
      <c r="Q50" s="9"/>
      <c r="R50" s="9">
        <v>8</v>
      </c>
      <c r="S50" s="9">
        <v>74547547</v>
      </c>
      <c r="T50" t="s">
        <v>232</v>
      </c>
      <c r="U50" s="9" t="s">
        <v>147</v>
      </c>
      <c r="V50" s="9"/>
      <c r="W50" s="19" t="s">
        <v>166</v>
      </c>
      <c r="X50" s="9">
        <v>61</v>
      </c>
      <c r="Y50" s="9">
        <v>2</v>
      </c>
      <c r="Z50" s="9">
        <v>15</v>
      </c>
      <c r="AA50" s="9" t="str">
        <f>IF(Tabla152[[#This Row],[NOTA]]=15,"CUMPLE","NO CUMPLE")</f>
        <v>CUMPLE</v>
      </c>
      <c r="AB50" s="9" t="str">
        <f>IF(COUNTIF($A$10:A50,A50)=1,IF(COUNTIFS($A:$A,A50,$AA:$AA,"NO CUMPLE")&gt;0,"NO CUMPLE","CUMPLE"),"")</f>
        <v/>
      </c>
      <c r="AC50" s="9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18"/>
      <c r="BX50" s="18">
        <f>IF($X50="","",AE50/$X$10)</f>
        <v>0</v>
      </c>
      <c r="BY50" s="18">
        <f>IF($X50="","",AF50/$X$10)</f>
        <v>0</v>
      </c>
      <c r="BZ50" s="18">
        <f>IF($X50="","",AG50/$X$10)</f>
        <v>0</v>
      </c>
      <c r="CA50" s="18">
        <f>IF($X50="","",AH50/$X$10)</f>
        <v>0</v>
      </c>
      <c r="CB50" s="18">
        <f t="shared" si="2"/>
        <v>0</v>
      </c>
      <c r="CC50" s="18">
        <f>IF($X50="","",AJ50/$X$10)</f>
        <v>0</v>
      </c>
      <c r="CD50" s="18">
        <f>IF($X50="","",AK50/$X$10)</f>
        <v>0</v>
      </c>
      <c r="CE50" s="18">
        <f>IF($X50="","",AL50/$X$10)</f>
        <v>0</v>
      </c>
      <c r="CF50" s="18">
        <f>IF($X50="","",AM50/$X$10)</f>
        <v>0</v>
      </c>
      <c r="CG50" s="18">
        <f>IF($X50="","",AN50/$X$10)</f>
        <v>0</v>
      </c>
      <c r="CH50" s="18">
        <f>IF($X50="","",AO50/$X$10)</f>
        <v>0</v>
      </c>
      <c r="CI50" s="18">
        <f>IF($X50="","",AP50/$X$10)</f>
        <v>0</v>
      </c>
      <c r="CJ50" s="18">
        <f>IF($X50="","",AQ50/$X$10)</f>
        <v>0</v>
      </c>
      <c r="CK50" s="18">
        <f>IF($X50="","",AR50/$X$10)</f>
        <v>0</v>
      </c>
      <c r="CL50" s="18">
        <f>IF($X50="","",AS50/$X$10)</f>
        <v>0</v>
      </c>
      <c r="CM50" s="18">
        <f>IF($X50="","",AT50/$X$10)</f>
        <v>0</v>
      </c>
      <c r="CN50" s="18">
        <f>IF($X50="","",AU50/$X$10)</f>
        <v>0</v>
      </c>
      <c r="CO50" s="18">
        <f>IF($X50="","",AV50/$X$10)</f>
        <v>0</v>
      </c>
      <c r="CP50" s="18">
        <f>IF($X50="","",AW50/$X$10)</f>
        <v>0</v>
      </c>
      <c r="CQ50" s="18">
        <f>IF($X50="","",AX50/$X$10)</f>
        <v>0</v>
      </c>
      <c r="CR50" s="18">
        <f>IF($X50="","",AY50/$X$10)</f>
        <v>0</v>
      </c>
      <c r="CS50" s="18">
        <f>IF($X50="","",AZ50/$X$10)</f>
        <v>0</v>
      </c>
      <c r="CT50" s="18">
        <f>IF($X50="","",BA50/$X$10)</f>
        <v>0</v>
      </c>
      <c r="CU50" s="18">
        <f>IF($X50="","",BB50/$X$10)</f>
        <v>0</v>
      </c>
      <c r="CV50" s="18">
        <f>IF($X50="","",BC50/$X$10)</f>
        <v>0</v>
      </c>
      <c r="CW50" s="18">
        <f>IF($X50="","",BD50/$X$10)</f>
        <v>0</v>
      </c>
      <c r="CX50" s="18">
        <f>IF($X50="","",BE50/$X$10)</f>
        <v>0</v>
      </c>
      <c r="CY50" s="18">
        <f>IF($X50="","",BF50/$X$10)</f>
        <v>0</v>
      </c>
      <c r="CZ50" s="18">
        <f>IF($X50="","",BG50/$X$10)</f>
        <v>0</v>
      </c>
      <c r="DA50" s="18">
        <f>IF($X50="","",BH50/$X$10)</f>
        <v>0</v>
      </c>
      <c r="DB50" s="18">
        <f>IF($X50="","",BI50/$X$10)</f>
        <v>0</v>
      </c>
      <c r="DC50" s="18">
        <f>IF($X50="","",BJ50/$X$10)</f>
        <v>0</v>
      </c>
      <c r="DD50" s="18">
        <f>IF($X50="","",BK50/$X$10)</f>
        <v>0</v>
      </c>
      <c r="DE50" s="18">
        <f>IF($X50="","",BL50/$X$10)</f>
        <v>0</v>
      </c>
      <c r="DF50" s="18">
        <f>IF($X50="","",BM50/$X$10)</f>
        <v>0</v>
      </c>
      <c r="DG50" s="18">
        <f t="shared" si="3"/>
        <v>0</v>
      </c>
      <c r="DH50" s="18">
        <f>IF($X50="","",BO50/$X$10)</f>
        <v>0</v>
      </c>
      <c r="DI50" s="18">
        <f>IF($X50="","",BP50/$X$10)</f>
        <v>0</v>
      </c>
      <c r="DJ50" s="18">
        <f>IF($X50="","",BQ50/$X$10)</f>
        <v>0</v>
      </c>
      <c r="DK50" s="18">
        <f>IF($X50="","",BR50/$X$10)</f>
        <v>0</v>
      </c>
      <c r="DL50" s="18">
        <f>IF($X50="","",BS50/$X$10)</f>
        <v>0</v>
      </c>
      <c r="DM50" s="18">
        <f>IF($X50="","",BT50/$X$10)</f>
        <v>0</v>
      </c>
      <c r="DN50" s="18">
        <f t="shared" si="6"/>
        <v>0</v>
      </c>
      <c r="DO50" s="16">
        <f>IF($X50="","",SUM(Tabla152[[#This Row],[PODRIDO]],Tabla152[[#This Row],[HONGO]],Tabla152[[#This Row],[PICADO DE AVE CON PUDRICIÓN]],Tabla152[[#This Row],[FUMAGINA]])/$X$10)</f>
        <v>0</v>
      </c>
      <c r="DP50" s="16">
        <f>IF($X50="","",SUM(Tabla152[[#This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50" s="16">
        <f>IF($X50="","",SUM(Tabla152[[#This Row],[BLANDO]:[COLAPSADO]])/$X$10)</f>
        <v>0</v>
      </c>
      <c r="DR50" s="16">
        <f>IF($X50="","",SUM(Tabla152[[#This Row],[DESHIDRATADO LEVE]:[DESHIDRATADO INMADURO]])/$X$10)</f>
        <v>0</v>
      </c>
      <c r="DS50" s="18">
        <f t="shared" si="1"/>
        <v>0</v>
      </c>
      <c r="DT50" s="16">
        <f>IF($X50="","",SUM(Tabla152[[#This Row],[PRESENCIA DE LARVA]],Tabla152[[#This Row],[CHANCHITO BLANCO]])/$X$10)</f>
        <v>0</v>
      </c>
      <c r="DU50" s="18">
        <f>IF($X50="","",SUM(Tabla152[[#This Row],[ROJO GRADO 2 A MÁS]],Tabla152[[#This Row],[IMMADURO VERDE]],Tabla152[[#This Row],[DESORDEN POR MADURACIÓN]],Tabla152[[#This Row],[ARO PEDICELAR VERDE EXTREMO]])/$X$10)</f>
        <v>0</v>
      </c>
      <c r="DV50" s="16">
        <f>IF($X50="","",SUM(Tabla152[[#This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50" s="16">
        <f>IF($X50="","",BU50/$X$10)</f>
        <v>0</v>
      </c>
      <c r="DX50" s="16">
        <f>IF($X50="","",AJ50/$X$10)</f>
        <v>0</v>
      </c>
      <c r="DY50" s="16">
        <f>IF($X50="","",SUM(Tabla152[[#This Row],[PRESENCIA DE COROLA]],Tabla152[[#This Row],[PRESENCIA DE RESTO FLORAL VERDE]],Tabla152[[#This Row],[PRESENCIA DE PEDÚNCULO]])/$X$10)</f>
        <v>0</v>
      </c>
      <c r="DZ50" s="16">
        <f>IF($X50="","",SUM(Tabla152[[#This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51" spans="1:130" x14ac:dyDescent="0.3">
      <c r="A51" s="9">
        <f>IF(W51="","",IF(ROW()=10,1,IF(W51=W50,A50,MAX($A$9:A50)+1)))</f>
        <v>14</v>
      </c>
      <c r="B51" s="9">
        <f>WEEKNUM(Tabla152[[#This Row],[FECHA DE COSECHA]],21)</f>
        <v>36</v>
      </c>
      <c r="C51" s="9"/>
      <c r="D51" s="17">
        <v>46267</v>
      </c>
      <c r="E51" s="17">
        <v>46267</v>
      </c>
      <c r="F51" s="9">
        <v>1</v>
      </c>
      <c r="G51" s="9" t="s">
        <v>77</v>
      </c>
      <c r="H51" s="9" t="s">
        <v>144</v>
      </c>
      <c r="I51" s="9" t="s">
        <v>134</v>
      </c>
      <c r="J51" s="9" t="s">
        <v>78</v>
      </c>
      <c r="K51" s="9" t="s">
        <v>153</v>
      </c>
      <c r="L51" s="9" t="s">
        <v>131</v>
      </c>
      <c r="M51" s="9" t="s">
        <v>239</v>
      </c>
      <c r="N51" s="9" t="s">
        <v>151</v>
      </c>
      <c r="O51" s="9" t="s">
        <v>244</v>
      </c>
      <c r="P51" s="9" t="s">
        <v>152</v>
      </c>
      <c r="Q51" s="9"/>
      <c r="R51" s="9">
        <v>8</v>
      </c>
      <c r="S51" s="9">
        <v>74547547</v>
      </c>
      <c r="T51" t="s">
        <v>232</v>
      </c>
      <c r="U51" s="9" t="s">
        <v>147</v>
      </c>
      <c r="V51" s="9"/>
      <c r="W51" s="19" t="s">
        <v>166</v>
      </c>
      <c r="X51" s="9">
        <v>61</v>
      </c>
      <c r="Y51" s="9">
        <v>3</v>
      </c>
      <c r="Z51" s="9">
        <v>5</v>
      </c>
      <c r="AA51" s="9" t="str">
        <f>IF(Tabla152[[#This Row],[NOTA]]=15,"CUMPLE","NO CUMPLE")</f>
        <v>NO CUMPLE</v>
      </c>
      <c r="AB51" s="9" t="str">
        <f>IF(COUNTIF($A$10:A51,A51)=1,IF(COUNTIFS($A:$A,A51,$AA:$AA,"NO CUMPLE")&gt;0,"NO CUMPLE","CUMPLE"),"")</f>
        <v/>
      </c>
      <c r="AC51" s="9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7"/>
      <c r="AR51" s="7">
        <v>2</v>
      </c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18"/>
      <c r="BX51" s="18">
        <f>IF($X51="","",AE51/$X$10)</f>
        <v>0</v>
      </c>
      <c r="BY51" s="18">
        <f>IF($X51="","",AF51/$X$10)</f>
        <v>0</v>
      </c>
      <c r="BZ51" s="18">
        <f>IF($X51="","",AG51/$X$10)</f>
        <v>0</v>
      </c>
      <c r="CA51" s="18">
        <f>IF($X51="","",AH51/$X$10)</f>
        <v>0</v>
      </c>
      <c r="CB51" s="18">
        <f t="shared" si="2"/>
        <v>0</v>
      </c>
      <c r="CC51" s="18">
        <f>IF($X51="","",AJ51/$X$10)</f>
        <v>0</v>
      </c>
      <c r="CD51" s="18">
        <f>IF($X51="","",AK51/$X$10)</f>
        <v>0</v>
      </c>
      <c r="CE51" s="18">
        <f>IF($X51="","",AL51/$X$10)</f>
        <v>0</v>
      </c>
      <c r="CF51" s="18">
        <f>IF($X51="","",AM51/$X$10)</f>
        <v>0</v>
      </c>
      <c r="CG51" s="18">
        <f>IF($X51="","",AN51/$X$10)</f>
        <v>0</v>
      </c>
      <c r="CH51" s="18">
        <f>IF($X51="","",AO51/$X$10)</f>
        <v>0</v>
      </c>
      <c r="CI51" s="18">
        <f>IF($X51="","",AP51/$X$10)</f>
        <v>0</v>
      </c>
      <c r="CJ51" s="18">
        <f>IF($X51="","",AQ51/$X$10)</f>
        <v>0</v>
      </c>
      <c r="CK51" s="18">
        <f>IF($X51="","",AR51/$X$10)</f>
        <v>3.1746031746031744E-2</v>
      </c>
      <c r="CL51" s="18">
        <f>IF($X51="","",AS51/$X$10)</f>
        <v>0</v>
      </c>
      <c r="CM51" s="18">
        <f>IF($X51="","",AT51/$X$10)</f>
        <v>0</v>
      </c>
      <c r="CN51" s="18">
        <f>IF($X51="","",AU51/$X$10)</f>
        <v>0</v>
      </c>
      <c r="CO51" s="18">
        <f>IF($X51="","",AV51/$X$10)</f>
        <v>0</v>
      </c>
      <c r="CP51" s="18">
        <f>IF($X51="","",AW51/$X$10)</f>
        <v>0</v>
      </c>
      <c r="CQ51" s="18">
        <f>IF($X51="","",AX51/$X$10)</f>
        <v>0</v>
      </c>
      <c r="CR51" s="18">
        <f>IF($X51="","",AY51/$X$10)</f>
        <v>0</v>
      </c>
      <c r="CS51" s="18">
        <f>IF($X51="","",AZ51/$X$10)</f>
        <v>0</v>
      </c>
      <c r="CT51" s="18">
        <f>IF($X51="","",BA51/$X$10)</f>
        <v>0</v>
      </c>
      <c r="CU51" s="18">
        <f>IF($X51="","",BB51/$X$10)</f>
        <v>0</v>
      </c>
      <c r="CV51" s="18">
        <f>IF($X51="","",BC51/$X$10)</f>
        <v>0</v>
      </c>
      <c r="CW51" s="18">
        <f>IF($X51="","",BD51/$X$10)</f>
        <v>0</v>
      </c>
      <c r="CX51" s="18">
        <f>IF($X51="","",BE51/$X$10)</f>
        <v>0</v>
      </c>
      <c r="CY51" s="18">
        <f>IF($X51="","",BF51/$X$10)</f>
        <v>0</v>
      </c>
      <c r="CZ51" s="18">
        <f>IF($X51="","",BG51/$X$10)</f>
        <v>0</v>
      </c>
      <c r="DA51" s="18">
        <f>IF($X51="","",BH51/$X$10)</f>
        <v>0</v>
      </c>
      <c r="DB51" s="18">
        <f>IF($X51="","",BI51/$X$10)</f>
        <v>0</v>
      </c>
      <c r="DC51" s="18">
        <f>IF($X51="","",BJ51/$X$10)</f>
        <v>0</v>
      </c>
      <c r="DD51" s="18">
        <f>IF($X51="","",BK51/$X$10)</f>
        <v>0</v>
      </c>
      <c r="DE51" s="18">
        <f>IF($X51="","",BL51/$X$10)</f>
        <v>0</v>
      </c>
      <c r="DF51" s="18">
        <f>IF($X51="","",BM51/$X$10)</f>
        <v>0</v>
      </c>
      <c r="DG51" s="18">
        <f t="shared" si="3"/>
        <v>0</v>
      </c>
      <c r="DH51" s="18">
        <f>IF($X51="","",BO51/$X$10)</f>
        <v>0</v>
      </c>
      <c r="DI51" s="18">
        <f>IF($X51="","",BP51/$X$10)</f>
        <v>0</v>
      </c>
      <c r="DJ51" s="18">
        <f>IF($X51="","",BQ51/$X$10)</f>
        <v>0</v>
      </c>
      <c r="DK51" s="18">
        <f>IF($X51="","",BR51/$X$10)</f>
        <v>0</v>
      </c>
      <c r="DL51" s="18">
        <f>IF($X51="","",BS51/$X$10)</f>
        <v>0</v>
      </c>
      <c r="DM51" s="18">
        <f>IF($X51="","",BT51/$X$10)</f>
        <v>0</v>
      </c>
      <c r="DN51" s="18">
        <f t="shared" si="6"/>
        <v>0</v>
      </c>
      <c r="DO51" s="16">
        <f>IF($X51="","",SUM(Tabla152[[#This Row],[PODRIDO]],Tabla152[[#This Row],[HONGO]],Tabla152[[#This Row],[PICADO DE AVE CON PUDRICIÓN]],Tabla152[[#This Row],[FUMAGINA]])/$X$10)</f>
        <v>0</v>
      </c>
      <c r="DP51" s="16">
        <f>IF($X51="","",SUM(Tabla152[[#This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51" s="16">
        <f>IF($X51="","",SUM(Tabla152[[#This Row],[BLANDO]:[COLAPSADO]])/$X$10)</f>
        <v>0</v>
      </c>
      <c r="DR51" s="16">
        <f>IF($X51="","",SUM(Tabla152[[#This Row],[DESHIDRATADO LEVE]:[DESHIDRATADO INMADURO]])/$X$10)</f>
        <v>3.1746031746031744E-2</v>
      </c>
      <c r="DS51" s="18">
        <f t="shared" si="1"/>
        <v>0</v>
      </c>
      <c r="DT51" s="16">
        <f>IF($X51="","",SUM(Tabla152[[#This Row],[PRESENCIA DE LARVA]],Tabla152[[#This Row],[CHANCHITO BLANCO]])/$X$10)</f>
        <v>0</v>
      </c>
      <c r="DU51" s="18">
        <f>IF($X51="","",SUM(Tabla152[[#This Row],[ROJO GRADO 2 A MÁS]],Tabla152[[#This Row],[IMMADURO VERDE]],Tabla152[[#This Row],[DESORDEN POR MADURACIÓN]],Tabla152[[#This Row],[ARO PEDICELAR VERDE EXTREMO]])/$X$10)</f>
        <v>0</v>
      </c>
      <c r="DV51" s="16">
        <f>IF($X51="","",SUM(Tabla152[[#This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51" s="16">
        <f>IF($X51="","",BU51/$X$10)</f>
        <v>0</v>
      </c>
      <c r="DX51" s="16">
        <f>IF($X51="","",AJ51/$X$10)</f>
        <v>0</v>
      </c>
      <c r="DY51" s="16">
        <f>IF($X51="","",SUM(Tabla152[[#This Row],[PRESENCIA DE COROLA]],Tabla152[[#This Row],[PRESENCIA DE RESTO FLORAL VERDE]],Tabla152[[#This Row],[PRESENCIA DE PEDÚNCULO]])/$X$10)</f>
        <v>0</v>
      </c>
      <c r="DZ51" s="16">
        <f>IF($X51="","",SUM(Tabla152[[#This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52" spans="1:130" x14ac:dyDescent="0.3">
      <c r="A52" s="9">
        <f>IF(W52="","",IF(ROW()=10,1,IF(W52=W51,A51,MAX($A$9:A51)+1)))</f>
        <v>15</v>
      </c>
      <c r="B52" s="9">
        <f>WEEKNUM(Tabla152[[#This Row],[FECHA DE COSECHA]],21)</f>
        <v>36</v>
      </c>
      <c r="C52" s="9"/>
      <c r="D52" s="17">
        <v>46267</v>
      </c>
      <c r="E52" s="17">
        <v>46267</v>
      </c>
      <c r="F52" s="9">
        <v>1</v>
      </c>
      <c r="G52" s="9" t="s">
        <v>77</v>
      </c>
      <c r="H52" s="9" t="s">
        <v>144</v>
      </c>
      <c r="I52" s="9" t="s">
        <v>134</v>
      </c>
      <c r="J52" s="9" t="s">
        <v>78</v>
      </c>
      <c r="K52" s="9" t="s">
        <v>153</v>
      </c>
      <c r="L52" s="9" t="s">
        <v>131</v>
      </c>
      <c r="M52" s="9" t="s">
        <v>239</v>
      </c>
      <c r="N52" s="9" t="s">
        <v>151</v>
      </c>
      <c r="O52" s="9" t="s">
        <v>244</v>
      </c>
      <c r="P52" s="9" t="s">
        <v>152</v>
      </c>
      <c r="Q52" s="9"/>
      <c r="R52" s="9">
        <v>8</v>
      </c>
      <c r="S52" s="9">
        <v>74547547</v>
      </c>
      <c r="T52" t="s">
        <v>232</v>
      </c>
      <c r="U52" s="9" t="s">
        <v>147</v>
      </c>
      <c r="V52" s="9"/>
      <c r="W52" s="19" t="s">
        <v>167</v>
      </c>
      <c r="X52" s="9">
        <v>61</v>
      </c>
      <c r="Y52" s="9">
        <v>1</v>
      </c>
      <c r="Z52" s="9">
        <v>15</v>
      </c>
      <c r="AA52" s="9" t="str">
        <f>IF(Tabla152[[#This Row],[NOTA]]=15,"CUMPLE","NO CUMPLE")</f>
        <v>CUMPLE</v>
      </c>
      <c r="AB52" s="9" t="str">
        <f>IF(COUNTIF($A$10:A52,A52)=1,IF(COUNTIFS($A:$A,A52,$AA:$AA,"NO CUMPLE")&gt;0,"NO CUMPLE","CUMPLE"),"")</f>
        <v>CUMPLE</v>
      </c>
      <c r="AC52" s="9" t="s">
        <v>140</v>
      </c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18"/>
      <c r="BX52" s="18">
        <f>IF($X52="","",AE52/$X$10)</f>
        <v>0</v>
      </c>
      <c r="BY52" s="18">
        <f>IF($X52="","",AF52/$X$10)</f>
        <v>0</v>
      </c>
      <c r="BZ52" s="18">
        <f>IF($X52="","",AG52/$X$10)</f>
        <v>0</v>
      </c>
      <c r="CA52" s="18">
        <f>IF($X52="","",AH52/$X$10)</f>
        <v>0</v>
      </c>
      <c r="CB52" s="18">
        <f t="shared" si="2"/>
        <v>0</v>
      </c>
      <c r="CC52" s="18">
        <f>IF($X52="","",AJ52/$X$10)</f>
        <v>0</v>
      </c>
      <c r="CD52" s="18">
        <f>IF($X52="","",AK52/$X$10)</f>
        <v>0</v>
      </c>
      <c r="CE52" s="18">
        <f>IF($X52="","",AL52/$X$10)</f>
        <v>0</v>
      </c>
      <c r="CF52" s="18">
        <f>IF($X52="","",AM52/$X$10)</f>
        <v>0</v>
      </c>
      <c r="CG52" s="18">
        <f>IF($X52="","",AN52/$X$10)</f>
        <v>0</v>
      </c>
      <c r="CH52" s="18">
        <f>IF($X52="","",AO52/$X$10)</f>
        <v>0</v>
      </c>
      <c r="CI52" s="18">
        <f>IF($X52="","",AP52/$X$10)</f>
        <v>0</v>
      </c>
      <c r="CJ52" s="18">
        <f>IF($X52="","",AQ52/$X$10)</f>
        <v>0</v>
      </c>
      <c r="CK52" s="18">
        <f>IF($X52="","",AR52/$X$10)</f>
        <v>0</v>
      </c>
      <c r="CL52" s="18">
        <f>IF($X52="","",AS52/$X$10)</f>
        <v>0</v>
      </c>
      <c r="CM52" s="18">
        <f>IF($X52="","",AT52/$X$10)</f>
        <v>0</v>
      </c>
      <c r="CN52" s="18">
        <f>IF($X52="","",AU52/$X$10)</f>
        <v>0</v>
      </c>
      <c r="CO52" s="18">
        <f>IF($X52="","",AV52/$X$10)</f>
        <v>0</v>
      </c>
      <c r="CP52" s="18">
        <f>IF($X52="","",AW52/$X$10)</f>
        <v>0</v>
      </c>
      <c r="CQ52" s="18">
        <f>IF($X52="","",AX52/$X$10)</f>
        <v>0</v>
      </c>
      <c r="CR52" s="18">
        <f>IF($X52="","",AY52/$X$10)</f>
        <v>0</v>
      </c>
      <c r="CS52" s="18">
        <f>IF($X52="","",AZ52/$X$10)</f>
        <v>0</v>
      </c>
      <c r="CT52" s="18">
        <f>IF($X52="","",BA52/$X$10)</f>
        <v>0</v>
      </c>
      <c r="CU52" s="18">
        <f>IF($X52="","",BB52/$X$10)</f>
        <v>0</v>
      </c>
      <c r="CV52" s="18">
        <f>IF($X52="","",BC52/$X$10)</f>
        <v>0</v>
      </c>
      <c r="CW52" s="18">
        <f>IF($X52="","",BD52/$X$10)</f>
        <v>0</v>
      </c>
      <c r="CX52" s="18">
        <f>IF($X52="","",BE52/$X$10)</f>
        <v>0</v>
      </c>
      <c r="CY52" s="18">
        <f>IF($X52="","",BF52/$X$10)</f>
        <v>0</v>
      </c>
      <c r="CZ52" s="18">
        <f>IF($X52="","",BG52/$X$10)</f>
        <v>0</v>
      </c>
      <c r="DA52" s="18">
        <f>IF($X52="","",BH52/$X$10)</f>
        <v>0</v>
      </c>
      <c r="DB52" s="18">
        <f>IF($X52="","",BI52/$X$10)</f>
        <v>0</v>
      </c>
      <c r="DC52" s="18">
        <f>IF($X52="","",BJ52/$X$10)</f>
        <v>0</v>
      </c>
      <c r="DD52" s="18">
        <f>IF($X52="","",BK52/$X$10)</f>
        <v>0</v>
      </c>
      <c r="DE52" s="18">
        <f>IF($X52="","",BL52/$X$10)</f>
        <v>0</v>
      </c>
      <c r="DF52" s="18">
        <f>IF($X52="","",BM52/$X$10)</f>
        <v>0</v>
      </c>
      <c r="DG52" s="18">
        <f t="shared" si="3"/>
        <v>0</v>
      </c>
      <c r="DH52" s="18">
        <f>IF($X52="","",BO52/$X$10)</f>
        <v>0</v>
      </c>
      <c r="DI52" s="18">
        <f>IF($X52="","",BP52/$X$10)</f>
        <v>0</v>
      </c>
      <c r="DJ52" s="18">
        <f>IF($X52="","",BQ52/$X$10)</f>
        <v>0</v>
      </c>
      <c r="DK52" s="18">
        <f>IF($X52="","",BR52/$X$10)</f>
        <v>0</v>
      </c>
      <c r="DL52" s="18">
        <f>IF($X52="","",BS52/$X$10)</f>
        <v>0</v>
      </c>
      <c r="DM52" s="18">
        <f>IF($X52="","",BT52/$X$10)</f>
        <v>0</v>
      </c>
      <c r="DN52" s="18">
        <f t="shared" si="6"/>
        <v>0</v>
      </c>
      <c r="DO52" s="16">
        <f>IF($X52="","",SUM(Tabla152[[#This Row],[PODRIDO]],Tabla152[[#This Row],[HONGO]],Tabla152[[#This Row],[PICADO DE AVE CON PUDRICIÓN]],Tabla152[[#This Row],[FUMAGINA]])/$X$10)</f>
        <v>0</v>
      </c>
      <c r="DP52" s="16">
        <f>IF($X52="","",SUM(Tabla152[[#This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52" s="16">
        <f>IF($X52="","",SUM(Tabla152[[#This Row],[BLANDO]:[COLAPSADO]])/$X$10)</f>
        <v>0</v>
      </c>
      <c r="DR52" s="16">
        <f>IF($X52="","",SUM(Tabla152[[#This Row],[DESHIDRATADO LEVE]:[DESHIDRATADO INMADURO]])/$X$10)</f>
        <v>0</v>
      </c>
      <c r="DS52" s="18">
        <f t="shared" si="1"/>
        <v>0</v>
      </c>
      <c r="DT52" s="16">
        <f>IF($X52="","",SUM(Tabla152[[#This Row],[PRESENCIA DE LARVA]],Tabla152[[#This Row],[CHANCHITO BLANCO]])/$X$10)</f>
        <v>0</v>
      </c>
      <c r="DU52" s="18">
        <f>IF($X52="","",SUM(Tabla152[[#This Row],[ROJO GRADO 2 A MÁS]],Tabla152[[#This Row],[IMMADURO VERDE]],Tabla152[[#This Row],[DESORDEN POR MADURACIÓN]],Tabla152[[#This Row],[ARO PEDICELAR VERDE EXTREMO]])/$X$10)</f>
        <v>0</v>
      </c>
      <c r="DV52" s="16">
        <f>IF($X52="","",SUM(Tabla152[[#This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52" s="16">
        <f>IF($X52="","",BU52/$X$10)</f>
        <v>0</v>
      </c>
      <c r="DX52" s="16">
        <f>IF($X52="","",AJ52/$X$10)</f>
        <v>0</v>
      </c>
      <c r="DY52" s="16">
        <f>IF($X52="","",SUM(Tabla152[[#This Row],[PRESENCIA DE COROLA]],Tabla152[[#This Row],[PRESENCIA DE RESTO FLORAL VERDE]],Tabla152[[#This Row],[PRESENCIA DE PEDÚNCULO]])/$X$10)</f>
        <v>0</v>
      </c>
      <c r="DZ52" s="16">
        <f>IF($X52="","",SUM(Tabla152[[#This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53" spans="1:130" x14ac:dyDescent="0.3">
      <c r="A53" s="9">
        <f>IF(W53="","",IF(ROW()=10,1,IF(W53=W52,A52,MAX($A$9:A52)+1)))</f>
        <v>15</v>
      </c>
      <c r="B53" s="9">
        <f>WEEKNUM(Tabla152[[#This Row],[FECHA DE COSECHA]],21)</f>
        <v>36</v>
      </c>
      <c r="C53" s="9"/>
      <c r="D53" s="17">
        <v>46267</v>
      </c>
      <c r="E53" s="17">
        <v>46267</v>
      </c>
      <c r="F53" s="9">
        <v>1</v>
      </c>
      <c r="G53" s="9" t="s">
        <v>77</v>
      </c>
      <c r="H53" s="9" t="s">
        <v>144</v>
      </c>
      <c r="I53" s="9" t="s">
        <v>134</v>
      </c>
      <c r="J53" s="9" t="s">
        <v>78</v>
      </c>
      <c r="K53" s="9" t="s">
        <v>153</v>
      </c>
      <c r="L53" s="9" t="s">
        <v>131</v>
      </c>
      <c r="M53" s="9" t="s">
        <v>239</v>
      </c>
      <c r="N53" s="9" t="s">
        <v>151</v>
      </c>
      <c r="O53" s="9" t="s">
        <v>244</v>
      </c>
      <c r="P53" s="9" t="s">
        <v>152</v>
      </c>
      <c r="Q53" s="9"/>
      <c r="R53" s="9">
        <v>8</v>
      </c>
      <c r="S53" s="9">
        <v>74547547</v>
      </c>
      <c r="T53" t="s">
        <v>232</v>
      </c>
      <c r="U53" s="9" t="s">
        <v>147</v>
      </c>
      <c r="V53" s="9"/>
      <c r="W53" s="19" t="s">
        <v>167</v>
      </c>
      <c r="X53" s="9">
        <v>61</v>
      </c>
      <c r="Y53" s="9">
        <v>2</v>
      </c>
      <c r="Z53" s="9">
        <v>15</v>
      </c>
      <c r="AA53" s="9" t="str">
        <f>IF(Tabla152[[#This Row],[NOTA]]=15,"CUMPLE","NO CUMPLE")</f>
        <v>CUMPLE</v>
      </c>
      <c r="AB53" s="9" t="str">
        <f>IF(COUNTIF($A$10:A53,A53)=1,IF(COUNTIFS($A:$A,A53,$AA:$AA,"NO CUMPLE")&gt;0,"NO CUMPLE","CUMPLE"),"")</f>
        <v/>
      </c>
      <c r="AC53" s="9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18"/>
      <c r="BX53" s="18">
        <f>IF($X53="","",AE53/$X$10)</f>
        <v>0</v>
      </c>
      <c r="BY53" s="18">
        <f>IF($X53="","",AF53/$X$10)</f>
        <v>0</v>
      </c>
      <c r="BZ53" s="18">
        <f>IF($X53="","",AG53/$X$10)</f>
        <v>0</v>
      </c>
      <c r="CA53" s="18">
        <f>IF($X53="","",AH53/$X$10)</f>
        <v>0</v>
      </c>
      <c r="CB53" s="18">
        <f t="shared" si="2"/>
        <v>0</v>
      </c>
      <c r="CC53" s="18">
        <f>IF($X53="","",AJ53/$X$10)</f>
        <v>0</v>
      </c>
      <c r="CD53" s="18">
        <f>IF($X53="","",AK53/$X$10)</f>
        <v>0</v>
      </c>
      <c r="CE53" s="18">
        <f>IF($X53="","",AL53/$X$10)</f>
        <v>0</v>
      </c>
      <c r="CF53" s="18">
        <f>IF($X53="","",AM53/$X$10)</f>
        <v>0</v>
      </c>
      <c r="CG53" s="18">
        <f>IF($X53="","",AN53/$X$10)</f>
        <v>0</v>
      </c>
      <c r="CH53" s="18">
        <f>IF($X53="","",AO53/$X$10)</f>
        <v>0</v>
      </c>
      <c r="CI53" s="18">
        <f>IF($X53="","",AP53/$X$10)</f>
        <v>0</v>
      </c>
      <c r="CJ53" s="18">
        <f>IF($X53="","",AQ53/$X$10)</f>
        <v>0</v>
      </c>
      <c r="CK53" s="18">
        <f>IF($X53="","",AR53/$X$10)</f>
        <v>0</v>
      </c>
      <c r="CL53" s="18">
        <f>IF($X53="","",AS53/$X$10)</f>
        <v>0</v>
      </c>
      <c r="CM53" s="18">
        <f>IF($X53="","",AT53/$X$10)</f>
        <v>0</v>
      </c>
      <c r="CN53" s="18">
        <f>IF($X53="","",AU53/$X$10)</f>
        <v>0</v>
      </c>
      <c r="CO53" s="18">
        <f>IF($X53="","",AV53/$X$10)</f>
        <v>0</v>
      </c>
      <c r="CP53" s="18">
        <f>IF($X53="","",AW53/$X$10)</f>
        <v>0</v>
      </c>
      <c r="CQ53" s="18">
        <f>IF($X53="","",AX53/$X$10)</f>
        <v>0</v>
      </c>
      <c r="CR53" s="18">
        <f>IF($X53="","",AY53/$X$10)</f>
        <v>0</v>
      </c>
      <c r="CS53" s="18">
        <f>IF($X53="","",AZ53/$X$10)</f>
        <v>0</v>
      </c>
      <c r="CT53" s="18">
        <f>IF($X53="","",BA53/$X$10)</f>
        <v>0</v>
      </c>
      <c r="CU53" s="18">
        <f>IF($X53="","",BB53/$X$10)</f>
        <v>0</v>
      </c>
      <c r="CV53" s="18">
        <f>IF($X53="","",BC53/$X$10)</f>
        <v>0</v>
      </c>
      <c r="CW53" s="18">
        <f>IF($X53="","",BD53/$X$10)</f>
        <v>0</v>
      </c>
      <c r="CX53" s="18">
        <f>IF($X53="","",BE53/$X$10)</f>
        <v>0</v>
      </c>
      <c r="CY53" s="18">
        <f>IF($X53="","",BF53/$X$10)</f>
        <v>0</v>
      </c>
      <c r="CZ53" s="18">
        <f>IF($X53="","",BG53/$X$10)</f>
        <v>0</v>
      </c>
      <c r="DA53" s="18">
        <f>IF($X53="","",BH53/$X$10)</f>
        <v>0</v>
      </c>
      <c r="DB53" s="18">
        <f>IF($X53="","",BI53/$X$10)</f>
        <v>0</v>
      </c>
      <c r="DC53" s="18">
        <f>IF($X53="","",BJ53/$X$10)</f>
        <v>0</v>
      </c>
      <c r="DD53" s="18">
        <f>IF($X53="","",BK53/$X$10)</f>
        <v>0</v>
      </c>
      <c r="DE53" s="18">
        <f>IF($X53="","",BL53/$X$10)</f>
        <v>0</v>
      </c>
      <c r="DF53" s="18">
        <f>IF($X53="","",BM53/$X$10)</f>
        <v>0</v>
      </c>
      <c r="DG53" s="18">
        <f t="shared" si="3"/>
        <v>0</v>
      </c>
      <c r="DH53" s="18">
        <f>IF($X53="","",BO53/$X$10)</f>
        <v>0</v>
      </c>
      <c r="DI53" s="18">
        <f>IF($X53="","",BP53/$X$10)</f>
        <v>0</v>
      </c>
      <c r="DJ53" s="18">
        <f>IF($X53="","",BQ53/$X$10)</f>
        <v>0</v>
      </c>
      <c r="DK53" s="18">
        <f>IF($X53="","",BR53/$X$10)</f>
        <v>0</v>
      </c>
      <c r="DL53" s="18">
        <f>IF($X53="","",BS53/$X$10)</f>
        <v>0</v>
      </c>
      <c r="DM53" s="18">
        <f>IF($X53="","",BT53/$X$10)</f>
        <v>0</v>
      </c>
      <c r="DN53" s="18">
        <f t="shared" si="6"/>
        <v>0</v>
      </c>
      <c r="DO53" s="16">
        <f>IF($X53="","",SUM(Tabla152[[#This Row],[PODRIDO]],Tabla152[[#This Row],[HONGO]],Tabla152[[#This Row],[PICADO DE AVE CON PUDRICIÓN]],Tabla152[[#This Row],[FUMAGINA]])/$X$10)</f>
        <v>0</v>
      </c>
      <c r="DP53" s="16">
        <f>IF($X53="","",SUM(Tabla152[[#This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53" s="16">
        <f>IF($X53="","",SUM(Tabla152[[#This Row],[BLANDO]:[COLAPSADO]])/$X$10)</f>
        <v>0</v>
      </c>
      <c r="DR53" s="16">
        <f>IF($X53="","",SUM(Tabla152[[#This Row],[DESHIDRATADO LEVE]:[DESHIDRATADO INMADURO]])/$X$10)</f>
        <v>0</v>
      </c>
      <c r="DS53" s="18">
        <f t="shared" si="1"/>
        <v>0</v>
      </c>
      <c r="DT53" s="16">
        <f>IF($X53="","",SUM(Tabla152[[#This Row],[PRESENCIA DE LARVA]],Tabla152[[#This Row],[CHANCHITO BLANCO]])/$X$10)</f>
        <v>0</v>
      </c>
      <c r="DU53" s="18">
        <f>IF($X53="","",SUM(Tabla152[[#This Row],[ROJO GRADO 2 A MÁS]],Tabla152[[#This Row],[IMMADURO VERDE]],Tabla152[[#This Row],[DESORDEN POR MADURACIÓN]],Tabla152[[#This Row],[ARO PEDICELAR VERDE EXTREMO]])/$X$10)</f>
        <v>0</v>
      </c>
      <c r="DV53" s="16">
        <f>IF($X53="","",SUM(Tabla152[[#This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53" s="16">
        <f>IF($X53="","",BU53/$X$10)</f>
        <v>0</v>
      </c>
      <c r="DX53" s="16">
        <f>IF($X53="","",AJ53/$X$10)</f>
        <v>0</v>
      </c>
      <c r="DY53" s="16">
        <f>IF($X53="","",SUM(Tabla152[[#This Row],[PRESENCIA DE COROLA]],Tabla152[[#This Row],[PRESENCIA DE RESTO FLORAL VERDE]],Tabla152[[#This Row],[PRESENCIA DE PEDÚNCULO]])/$X$10)</f>
        <v>0</v>
      </c>
      <c r="DZ53" s="16">
        <f>IF($X53="","",SUM(Tabla152[[#This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54" spans="1:130" x14ac:dyDescent="0.3">
      <c r="A54" s="9">
        <f>IF(W54="","",IF(ROW()=10,1,IF(W54=W53,A53,MAX($A$9:A53)+1)))</f>
        <v>15</v>
      </c>
      <c r="B54" s="9">
        <f>WEEKNUM(Tabla152[[#This Row],[FECHA DE COSECHA]],21)</f>
        <v>36</v>
      </c>
      <c r="C54" s="9"/>
      <c r="D54" s="17">
        <v>46267</v>
      </c>
      <c r="E54" s="17">
        <v>46267</v>
      </c>
      <c r="F54" s="9">
        <v>1</v>
      </c>
      <c r="G54" s="9" t="s">
        <v>77</v>
      </c>
      <c r="H54" s="9" t="s">
        <v>144</v>
      </c>
      <c r="I54" s="9" t="s">
        <v>134</v>
      </c>
      <c r="J54" s="9" t="s">
        <v>78</v>
      </c>
      <c r="K54" s="9" t="s">
        <v>153</v>
      </c>
      <c r="L54" s="9" t="s">
        <v>131</v>
      </c>
      <c r="M54" s="9" t="s">
        <v>239</v>
      </c>
      <c r="N54" s="9" t="s">
        <v>151</v>
      </c>
      <c r="O54" s="9" t="s">
        <v>244</v>
      </c>
      <c r="P54" s="9" t="s">
        <v>152</v>
      </c>
      <c r="Q54" s="9"/>
      <c r="R54" s="9">
        <v>8</v>
      </c>
      <c r="S54" s="9">
        <v>74547547</v>
      </c>
      <c r="T54" t="s">
        <v>232</v>
      </c>
      <c r="U54" s="9" t="s">
        <v>147</v>
      </c>
      <c r="V54" s="9"/>
      <c r="W54" s="19" t="s">
        <v>167</v>
      </c>
      <c r="X54" s="9">
        <v>61</v>
      </c>
      <c r="Y54" s="9">
        <v>3</v>
      </c>
      <c r="Z54" s="9">
        <v>15</v>
      </c>
      <c r="AA54" s="9" t="str">
        <f>IF(Tabla152[[#This Row],[NOTA]]=15,"CUMPLE","NO CUMPLE")</f>
        <v>CUMPLE</v>
      </c>
      <c r="AB54" s="9" t="str">
        <f>IF(COUNTIF($A$10:A54,A54)=1,IF(COUNTIFS($A:$A,A54,$AA:$AA,"NO CUMPLE")&gt;0,"NO CUMPLE","CUMPLE"),"")</f>
        <v/>
      </c>
      <c r="AC54" s="9"/>
      <c r="AD54" s="8"/>
      <c r="AE54" s="8">
        <v>2</v>
      </c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18"/>
      <c r="BX54" s="18">
        <f>IF($X54="","",AE54/$X$10)</f>
        <v>3.1746031746031744E-2</v>
      </c>
      <c r="BY54" s="18">
        <f>IF($X54="","",AF54/$X$10)</f>
        <v>0</v>
      </c>
      <c r="BZ54" s="18">
        <f>IF($X54="","",AG54/$X$10)</f>
        <v>0</v>
      </c>
      <c r="CA54" s="18">
        <f>IF($X54="","",AH54/$X$10)</f>
        <v>0</v>
      </c>
      <c r="CB54" s="18">
        <f t="shared" si="2"/>
        <v>0</v>
      </c>
      <c r="CC54" s="18">
        <f>IF($X54="","",AJ54/$X$10)</f>
        <v>0</v>
      </c>
      <c r="CD54" s="18">
        <f>IF($X54="","",AK54/$X$10)</f>
        <v>0</v>
      </c>
      <c r="CE54" s="18">
        <f>IF($X54="","",AL54/$X$10)</f>
        <v>0</v>
      </c>
      <c r="CF54" s="18">
        <f>IF($X54="","",AM54/$X$10)</f>
        <v>0</v>
      </c>
      <c r="CG54" s="18">
        <f>IF($X54="","",AN54/$X$10)</f>
        <v>0</v>
      </c>
      <c r="CH54" s="18">
        <f>IF($X54="","",AO54/$X$10)</f>
        <v>0</v>
      </c>
      <c r="CI54" s="18">
        <f>IF($X54="","",AP54/$X$10)</f>
        <v>0</v>
      </c>
      <c r="CJ54" s="18">
        <f>IF($X54="","",AQ54/$X$10)</f>
        <v>0</v>
      </c>
      <c r="CK54" s="18">
        <f>IF($X54="","",AR54/$X$10)</f>
        <v>0</v>
      </c>
      <c r="CL54" s="18">
        <f>IF($X54="","",AS54/$X$10)</f>
        <v>0</v>
      </c>
      <c r="CM54" s="18">
        <f>IF($X54="","",AT54/$X$10)</f>
        <v>0</v>
      </c>
      <c r="CN54" s="18">
        <f>IF($X54="","",AU54/$X$10)</f>
        <v>0</v>
      </c>
      <c r="CO54" s="18">
        <f>IF($X54="","",AV54/$X$10)</f>
        <v>0</v>
      </c>
      <c r="CP54" s="18">
        <f>IF($X54="","",AW54/$X$10)</f>
        <v>0</v>
      </c>
      <c r="CQ54" s="18">
        <f>IF($X54="","",AX54/$X$10)</f>
        <v>0</v>
      </c>
      <c r="CR54" s="18">
        <f>IF($X54="","",AY54/$X$10)</f>
        <v>0</v>
      </c>
      <c r="CS54" s="18">
        <f>IF($X54="","",AZ54/$X$10)</f>
        <v>0</v>
      </c>
      <c r="CT54" s="18">
        <f>IF($X54="","",BA54/$X$10)</f>
        <v>0</v>
      </c>
      <c r="CU54" s="18">
        <f>IF($X54="","",BB54/$X$10)</f>
        <v>0</v>
      </c>
      <c r="CV54" s="18">
        <f>IF($X54="","",BC54/$X$10)</f>
        <v>0</v>
      </c>
      <c r="CW54" s="18">
        <f>IF($X54="","",BD54/$X$10)</f>
        <v>0</v>
      </c>
      <c r="CX54" s="18">
        <f>IF($X54="","",BE54/$X$10)</f>
        <v>0</v>
      </c>
      <c r="CY54" s="18">
        <f>IF($X54="","",BF54/$X$10)</f>
        <v>0</v>
      </c>
      <c r="CZ54" s="18">
        <f>IF($X54="","",BG54/$X$10)</f>
        <v>0</v>
      </c>
      <c r="DA54" s="18">
        <f>IF($X54="","",BH54/$X$10)</f>
        <v>0</v>
      </c>
      <c r="DB54" s="18">
        <f>IF($X54="","",BI54/$X$10)</f>
        <v>0</v>
      </c>
      <c r="DC54" s="18">
        <f>IF($X54="","",BJ54/$X$10)</f>
        <v>0</v>
      </c>
      <c r="DD54" s="18">
        <f>IF($X54="","",BK54/$X$10)</f>
        <v>0</v>
      </c>
      <c r="DE54" s="18">
        <f>IF($X54="","",BL54/$X$10)</f>
        <v>0</v>
      </c>
      <c r="DF54" s="18">
        <f>IF($X54="","",BM54/$X$10)</f>
        <v>0</v>
      </c>
      <c r="DG54" s="18">
        <f t="shared" si="3"/>
        <v>0</v>
      </c>
      <c r="DH54" s="18">
        <f>IF($X54="","",BO54/$X$10)</f>
        <v>0</v>
      </c>
      <c r="DI54" s="18">
        <f>IF($X54="","",BP54/$X$10)</f>
        <v>0</v>
      </c>
      <c r="DJ54" s="18">
        <f>IF($X54="","",BQ54/$X$10)</f>
        <v>0</v>
      </c>
      <c r="DK54" s="18">
        <f>IF($X54="","",BR54/$X$10)</f>
        <v>0</v>
      </c>
      <c r="DL54" s="18">
        <f>IF($X54="","",BS54/$X$10)</f>
        <v>0</v>
      </c>
      <c r="DM54" s="18">
        <f>IF($X54="","",BT54/$X$10)</f>
        <v>0</v>
      </c>
      <c r="DN54" s="18">
        <f t="shared" si="6"/>
        <v>0</v>
      </c>
      <c r="DO54" s="16">
        <f>IF($X54="","",SUM(Tabla152[[#This Row],[PODRIDO]],Tabla152[[#This Row],[HONGO]],Tabla152[[#This Row],[PICADO DE AVE CON PUDRICIÓN]],Tabla152[[#This Row],[FUMAGINA]])/$X$10)</f>
        <v>0</v>
      </c>
      <c r="DP54" s="16">
        <f>IF($X54="","",SUM(Tabla152[[#This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54" s="16">
        <f>IF($X54="","",SUM(Tabla152[[#This Row],[BLANDO]:[COLAPSADO]])/$X$10)</f>
        <v>0</v>
      </c>
      <c r="DR54" s="16">
        <f>IF($X54="","",SUM(Tabla152[[#This Row],[DESHIDRATADO LEVE]:[DESHIDRATADO INMADURO]])/$X$10)</f>
        <v>0</v>
      </c>
      <c r="DS54" s="18">
        <f t="shared" si="1"/>
        <v>0</v>
      </c>
      <c r="DT54" s="16">
        <f>IF($X54="","",SUM(Tabla152[[#This Row],[PRESENCIA DE LARVA]],Tabla152[[#This Row],[CHANCHITO BLANCO]])/$X$10)</f>
        <v>0</v>
      </c>
      <c r="DU54" s="18">
        <f>IF($X54="","",SUM(Tabla152[[#This Row],[ROJO GRADO 2 A MÁS]],Tabla152[[#This Row],[IMMADURO VERDE]],Tabla152[[#This Row],[DESORDEN POR MADURACIÓN]],Tabla152[[#This Row],[ARO PEDICELAR VERDE EXTREMO]])/$X$10)</f>
        <v>0</v>
      </c>
      <c r="DV54" s="16">
        <f>IF($X54="","",SUM(Tabla152[[#This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54" s="16">
        <f>IF($X54="","",BU54/$X$10)</f>
        <v>0</v>
      </c>
      <c r="DX54" s="16">
        <f>IF($X54="","",AJ54/$X$10)</f>
        <v>0</v>
      </c>
      <c r="DY54" s="16">
        <f>IF($X54="","",SUM(Tabla152[[#This Row],[PRESENCIA DE COROLA]],Tabla152[[#This Row],[PRESENCIA DE RESTO FLORAL VERDE]],Tabla152[[#This Row],[PRESENCIA DE PEDÚNCULO]])/$X$10)</f>
        <v>3.1746031746031744E-2</v>
      </c>
      <c r="DZ54" s="16">
        <f>IF($X54="","",SUM(Tabla152[[#This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55" spans="1:130" x14ac:dyDescent="0.3">
      <c r="A55" s="9">
        <f>IF(W55="","",IF(ROW()=10,1,IF(W55=W54,A54,MAX($A$9:A54)+1)))</f>
        <v>15</v>
      </c>
      <c r="B55" s="9">
        <f>WEEKNUM(Tabla152[[#This Row],[FECHA DE COSECHA]],21)</f>
        <v>36</v>
      </c>
      <c r="C55" s="9"/>
      <c r="D55" s="17">
        <v>46267</v>
      </c>
      <c r="E55" s="17">
        <v>46267</v>
      </c>
      <c r="F55" s="9">
        <v>1</v>
      </c>
      <c r="G55" s="9" t="s">
        <v>77</v>
      </c>
      <c r="H55" s="9" t="s">
        <v>144</v>
      </c>
      <c r="I55" s="9" t="s">
        <v>134</v>
      </c>
      <c r="J55" s="9" t="s">
        <v>78</v>
      </c>
      <c r="K55" s="9" t="s">
        <v>153</v>
      </c>
      <c r="L55" s="9" t="s">
        <v>131</v>
      </c>
      <c r="M55" s="9" t="s">
        <v>239</v>
      </c>
      <c r="N55" s="9" t="s">
        <v>151</v>
      </c>
      <c r="O55" s="9" t="s">
        <v>244</v>
      </c>
      <c r="P55" s="9" t="s">
        <v>152</v>
      </c>
      <c r="Q55" s="9"/>
      <c r="R55" s="9">
        <v>8</v>
      </c>
      <c r="S55" s="9">
        <v>74547547</v>
      </c>
      <c r="T55" t="s">
        <v>232</v>
      </c>
      <c r="U55" s="9" t="s">
        <v>147</v>
      </c>
      <c r="V55" s="9"/>
      <c r="W55" s="19" t="s">
        <v>167</v>
      </c>
      <c r="X55" s="9">
        <v>61</v>
      </c>
      <c r="Y55" s="9">
        <v>1</v>
      </c>
      <c r="Z55" s="9">
        <v>15</v>
      </c>
      <c r="AA55" s="9" t="str">
        <f>IF(Tabla152[[#This Row],[NOTA]]=15,"CUMPLE","NO CUMPLE")</f>
        <v>CUMPLE</v>
      </c>
      <c r="AB55" s="9" t="str">
        <f>IF(COUNTIF($A$10:A55,A55)=1,IF(COUNTIFS($A:$A,A55,$AA:$AA,"NO CUMPLE")&gt;0,"NO CUMPLE","CUMPLE"),"")</f>
        <v/>
      </c>
      <c r="AC55" s="9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18"/>
      <c r="BX55" s="18">
        <f>IF($X55="","",AE55/$X$10)</f>
        <v>0</v>
      </c>
      <c r="BY55" s="18">
        <f>IF($X55="","",AF55/$X$10)</f>
        <v>0</v>
      </c>
      <c r="BZ55" s="18">
        <f>IF($X55="","",AG55/$X$10)</f>
        <v>0</v>
      </c>
      <c r="CA55" s="18">
        <f>IF($X55="","",AH55/$X$10)</f>
        <v>0</v>
      </c>
      <c r="CB55" s="18">
        <f t="shared" si="2"/>
        <v>0</v>
      </c>
      <c r="CC55" s="18">
        <f>IF($X55="","",AJ55/$X$10)</f>
        <v>0</v>
      </c>
      <c r="CD55" s="18">
        <f>IF($X55="","",AK55/$X$10)</f>
        <v>0</v>
      </c>
      <c r="CE55" s="18">
        <f>IF($X55="","",AL55/$X$10)</f>
        <v>0</v>
      </c>
      <c r="CF55" s="18">
        <f>IF($X55="","",AM55/$X$10)</f>
        <v>0</v>
      </c>
      <c r="CG55" s="18">
        <f>IF($X55="","",AN55/$X$10)</f>
        <v>0</v>
      </c>
      <c r="CH55" s="18">
        <f>IF($X55="","",AO55/$X$10)</f>
        <v>0</v>
      </c>
      <c r="CI55" s="18">
        <f>IF($X55="","",AP55/$X$10)</f>
        <v>0</v>
      </c>
      <c r="CJ55" s="18">
        <f>IF($X55="","",AQ55/$X$10)</f>
        <v>0</v>
      </c>
      <c r="CK55" s="18">
        <f>IF($X55="","",AR55/$X$10)</f>
        <v>0</v>
      </c>
      <c r="CL55" s="18">
        <f>IF($X55="","",AS55/$X$10)</f>
        <v>0</v>
      </c>
      <c r="CM55" s="18">
        <f>IF($X55="","",AT55/$X$10)</f>
        <v>0</v>
      </c>
      <c r="CN55" s="18">
        <f>IF($X55="","",AU55/$X$10)</f>
        <v>0</v>
      </c>
      <c r="CO55" s="18">
        <f>IF($X55="","",AV55/$X$10)</f>
        <v>0</v>
      </c>
      <c r="CP55" s="18">
        <f>IF($X55="","",AW55/$X$10)</f>
        <v>0</v>
      </c>
      <c r="CQ55" s="18">
        <f>IF($X55="","",AX55/$X$10)</f>
        <v>0</v>
      </c>
      <c r="CR55" s="18">
        <f>IF($X55="","",AY55/$X$10)</f>
        <v>0</v>
      </c>
      <c r="CS55" s="18">
        <f>IF($X55="","",AZ55/$X$10)</f>
        <v>0</v>
      </c>
      <c r="CT55" s="18">
        <f>IF($X55="","",BA55/$X$10)</f>
        <v>0</v>
      </c>
      <c r="CU55" s="18">
        <f>IF($X55="","",BB55/$X$10)</f>
        <v>0</v>
      </c>
      <c r="CV55" s="18">
        <f>IF($X55="","",BC55/$X$10)</f>
        <v>0</v>
      </c>
      <c r="CW55" s="18">
        <f>IF($X55="","",BD55/$X$10)</f>
        <v>0</v>
      </c>
      <c r="CX55" s="18">
        <f>IF($X55="","",BE55/$X$10)</f>
        <v>0</v>
      </c>
      <c r="CY55" s="18">
        <f>IF($X55="","",BF55/$X$10)</f>
        <v>0</v>
      </c>
      <c r="CZ55" s="18">
        <f>IF($X55="","",BG55/$X$10)</f>
        <v>0</v>
      </c>
      <c r="DA55" s="18">
        <f>IF($X55="","",BH55/$X$10)</f>
        <v>0</v>
      </c>
      <c r="DB55" s="18">
        <f>IF($X55="","",BI55/$X$10)</f>
        <v>0</v>
      </c>
      <c r="DC55" s="18">
        <f>IF($X55="","",BJ55/$X$10)</f>
        <v>0</v>
      </c>
      <c r="DD55" s="18">
        <f>IF($X55="","",BK55/$X$10)</f>
        <v>0</v>
      </c>
      <c r="DE55" s="18">
        <f>IF($X55="","",BL55/$X$10)</f>
        <v>0</v>
      </c>
      <c r="DF55" s="18">
        <f>IF($X55="","",BM55/$X$10)</f>
        <v>0</v>
      </c>
      <c r="DG55" s="18">
        <f t="shared" si="3"/>
        <v>0</v>
      </c>
      <c r="DH55" s="18">
        <f>IF($X55="","",BO55/$X$10)</f>
        <v>0</v>
      </c>
      <c r="DI55" s="18">
        <f>IF($X55="","",BP55/$X$10)</f>
        <v>0</v>
      </c>
      <c r="DJ55" s="18">
        <f>IF($X55="","",BQ55/$X$10)</f>
        <v>0</v>
      </c>
      <c r="DK55" s="18">
        <f>IF($X55="","",BR55/$X$10)</f>
        <v>0</v>
      </c>
      <c r="DL55" s="18">
        <f>IF($X55="","",BS55/$X$10)</f>
        <v>0</v>
      </c>
      <c r="DM55" s="18">
        <f>IF($X55="","",BT55/$X$10)</f>
        <v>0</v>
      </c>
      <c r="DN55" s="18">
        <f t="shared" si="6"/>
        <v>0</v>
      </c>
      <c r="DO55" s="16">
        <f>IF($X55="","",SUM(Tabla152[[#This Row],[PODRIDO]],Tabla152[[#This Row],[HONGO]],Tabla152[[#This Row],[PICADO DE AVE CON PUDRICIÓN]],Tabla152[[#This Row],[FUMAGINA]])/$X$10)</f>
        <v>0</v>
      </c>
      <c r="DP55" s="16">
        <f>IF($X55="","",SUM(Tabla152[[#This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55" s="16">
        <f>IF($X55="","",SUM(Tabla152[[#This Row],[BLANDO]:[COLAPSADO]])/$X$10)</f>
        <v>0</v>
      </c>
      <c r="DR55" s="16">
        <f>IF($X55="","",SUM(Tabla152[[#This Row],[DESHIDRATADO LEVE]:[DESHIDRATADO INMADURO]])/$X$10)</f>
        <v>0</v>
      </c>
      <c r="DS55" s="18">
        <f t="shared" si="1"/>
        <v>0</v>
      </c>
      <c r="DT55" s="16">
        <f>IF($X55="","",SUM(Tabla152[[#This Row],[PRESENCIA DE LARVA]],Tabla152[[#This Row],[CHANCHITO BLANCO]])/$X$10)</f>
        <v>0</v>
      </c>
      <c r="DU55" s="18">
        <f>IF($X55="","",SUM(Tabla152[[#This Row],[ROJO GRADO 2 A MÁS]],Tabla152[[#This Row],[IMMADURO VERDE]],Tabla152[[#This Row],[DESORDEN POR MADURACIÓN]],Tabla152[[#This Row],[ARO PEDICELAR VERDE EXTREMO]])/$X$10)</f>
        <v>0</v>
      </c>
      <c r="DV55" s="16">
        <f>IF($X55="","",SUM(Tabla152[[#This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55" s="16">
        <f>IF($X55="","",BU55/$X$10)</f>
        <v>0</v>
      </c>
      <c r="DX55" s="16">
        <f>IF($X55="","",AJ55/$X$10)</f>
        <v>0</v>
      </c>
      <c r="DY55" s="16">
        <f>IF($X55="","",SUM(Tabla152[[#This Row],[PRESENCIA DE COROLA]],Tabla152[[#This Row],[PRESENCIA DE RESTO FLORAL VERDE]],Tabla152[[#This Row],[PRESENCIA DE PEDÚNCULO]])/$X$10)</f>
        <v>0</v>
      </c>
      <c r="DZ55" s="16">
        <f>IF($X55="","",SUM(Tabla152[[#This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56" spans="1:130" x14ac:dyDescent="0.3">
      <c r="A56" s="9">
        <f>IF(W56="","",IF(ROW()=10,1,IF(W56=W55,A55,MAX($A$9:A55)+1)))</f>
        <v>15</v>
      </c>
      <c r="B56" s="9">
        <f>WEEKNUM(Tabla152[[#This Row],[FECHA DE COSECHA]],21)</f>
        <v>36</v>
      </c>
      <c r="C56" s="9"/>
      <c r="D56" s="17">
        <v>46267</v>
      </c>
      <c r="E56" s="17">
        <v>46267</v>
      </c>
      <c r="F56" s="9">
        <v>1</v>
      </c>
      <c r="G56" s="9" t="s">
        <v>77</v>
      </c>
      <c r="H56" s="9" t="s">
        <v>144</v>
      </c>
      <c r="I56" s="9" t="s">
        <v>134</v>
      </c>
      <c r="J56" s="9" t="s">
        <v>78</v>
      </c>
      <c r="K56" s="9" t="s">
        <v>153</v>
      </c>
      <c r="L56" s="9" t="s">
        <v>131</v>
      </c>
      <c r="M56" s="9" t="s">
        <v>239</v>
      </c>
      <c r="N56" s="9" t="s">
        <v>151</v>
      </c>
      <c r="O56" s="9" t="s">
        <v>244</v>
      </c>
      <c r="P56" s="9" t="s">
        <v>152</v>
      </c>
      <c r="Q56" s="9"/>
      <c r="R56" s="9">
        <v>8</v>
      </c>
      <c r="S56" s="9">
        <v>74547547</v>
      </c>
      <c r="T56" t="s">
        <v>232</v>
      </c>
      <c r="U56" s="9" t="s">
        <v>147</v>
      </c>
      <c r="V56" s="9"/>
      <c r="W56" s="19" t="s">
        <v>167</v>
      </c>
      <c r="X56" s="9">
        <v>61</v>
      </c>
      <c r="Y56" s="9">
        <v>2</v>
      </c>
      <c r="Z56" s="9">
        <v>15</v>
      </c>
      <c r="AA56" s="9" t="str">
        <f>IF(Tabla152[[#This Row],[NOTA]]=15,"CUMPLE","NO CUMPLE")</f>
        <v>CUMPLE</v>
      </c>
      <c r="AB56" s="9" t="str">
        <f>IF(COUNTIF($A$10:A56,A56)=1,IF(COUNTIFS($A:$A,A56,$AA:$AA,"NO CUMPLE")&gt;0,"NO CUMPLE","CUMPLE"),"")</f>
        <v/>
      </c>
      <c r="AC56" s="9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18"/>
      <c r="BX56" s="18">
        <f>IF($X56="","",AE56/$X$10)</f>
        <v>0</v>
      </c>
      <c r="BY56" s="18">
        <f>IF($X56="","",AF56/$X$10)</f>
        <v>0</v>
      </c>
      <c r="BZ56" s="18">
        <f>IF($X56="","",AG56/$X$10)</f>
        <v>0</v>
      </c>
      <c r="CA56" s="18">
        <f>IF($X56="","",AH56/$X$10)</f>
        <v>0</v>
      </c>
      <c r="CB56" s="18">
        <f t="shared" si="2"/>
        <v>0</v>
      </c>
      <c r="CC56" s="18">
        <f>IF($X56="","",AJ56/$X$10)</f>
        <v>0</v>
      </c>
      <c r="CD56" s="18">
        <f>IF($X56="","",AK56/$X$10)</f>
        <v>0</v>
      </c>
      <c r="CE56" s="18">
        <f>IF($X56="","",AL56/$X$10)</f>
        <v>0</v>
      </c>
      <c r="CF56" s="18">
        <f>IF($X56="","",AM56/$X$10)</f>
        <v>0</v>
      </c>
      <c r="CG56" s="18">
        <f>IF($X56="","",AN56/$X$10)</f>
        <v>0</v>
      </c>
      <c r="CH56" s="18">
        <f>IF($X56="","",AO56/$X$10)</f>
        <v>0</v>
      </c>
      <c r="CI56" s="18">
        <f>IF($X56="","",AP56/$X$10)</f>
        <v>0</v>
      </c>
      <c r="CJ56" s="18">
        <f>IF($X56="","",AQ56/$X$10)</f>
        <v>0</v>
      </c>
      <c r="CK56" s="18">
        <f>IF($X56="","",AR56/$X$10)</f>
        <v>0</v>
      </c>
      <c r="CL56" s="18">
        <f>IF($X56="","",AS56/$X$10)</f>
        <v>0</v>
      </c>
      <c r="CM56" s="18">
        <f>IF($X56="","",AT56/$X$10)</f>
        <v>0</v>
      </c>
      <c r="CN56" s="18">
        <f>IF($X56="","",AU56/$X$10)</f>
        <v>0</v>
      </c>
      <c r="CO56" s="18">
        <f>IF($X56="","",AV56/$X$10)</f>
        <v>0</v>
      </c>
      <c r="CP56" s="18">
        <f>IF($X56="","",AW56/$X$10)</f>
        <v>0</v>
      </c>
      <c r="CQ56" s="18">
        <f>IF($X56="","",AX56/$X$10)</f>
        <v>0</v>
      </c>
      <c r="CR56" s="18">
        <f>IF($X56="","",AY56/$X$10)</f>
        <v>0</v>
      </c>
      <c r="CS56" s="18">
        <f>IF($X56="","",AZ56/$X$10)</f>
        <v>0</v>
      </c>
      <c r="CT56" s="18">
        <f>IF($X56="","",BA56/$X$10)</f>
        <v>0</v>
      </c>
      <c r="CU56" s="18">
        <f>IF($X56="","",BB56/$X$10)</f>
        <v>0</v>
      </c>
      <c r="CV56" s="18">
        <f>IF($X56="","",BC56/$X$10)</f>
        <v>0</v>
      </c>
      <c r="CW56" s="18">
        <f>IF($X56="","",BD56/$X$10)</f>
        <v>0</v>
      </c>
      <c r="CX56" s="18">
        <f>IF($X56="","",BE56/$X$10)</f>
        <v>0</v>
      </c>
      <c r="CY56" s="18">
        <f>IF($X56="","",BF56/$X$10)</f>
        <v>0</v>
      </c>
      <c r="CZ56" s="18">
        <f>IF($X56="","",BG56/$X$10)</f>
        <v>0</v>
      </c>
      <c r="DA56" s="18">
        <f>IF($X56="","",BH56/$X$10)</f>
        <v>0</v>
      </c>
      <c r="DB56" s="18">
        <f>IF($X56="","",BI56/$X$10)</f>
        <v>0</v>
      </c>
      <c r="DC56" s="18">
        <f>IF($X56="","",BJ56/$X$10)</f>
        <v>0</v>
      </c>
      <c r="DD56" s="18">
        <f>IF($X56="","",BK56/$X$10)</f>
        <v>0</v>
      </c>
      <c r="DE56" s="18">
        <f>IF($X56="","",BL56/$X$10)</f>
        <v>0</v>
      </c>
      <c r="DF56" s="18">
        <f>IF($X56="","",BM56/$X$10)</f>
        <v>0</v>
      </c>
      <c r="DG56" s="18">
        <f t="shared" si="3"/>
        <v>0</v>
      </c>
      <c r="DH56" s="18">
        <f>IF($X56="","",BO56/$X$10)</f>
        <v>0</v>
      </c>
      <c r="DI56" s="18">
        <f>IF($X56="","",BP56/$X$10)</f>
        <v>0</v>
      </c>
      <c r="DJ56" s="18">
        <f>IF($X56="","",BQ56/$X$10)</f>
        <v>0</v>
      </c>
      <c r="DK56" s="18">
        <f>IF($X56="","",BR56/$X$10)</f>
        <v>0</v>
      </c>
      <c r="DL56" s="18">
        <f>IF($X56="","",BS56/$X$10)</f>
        <v>0</v>
      </c>
      <c r="DM56" s="18">
        <f>IF($X56="","",BT56/$X$10)</f>
        <v>0</v>
      </c>
      <c r="DN56" s="18">
        <f t="shared" si="6"/>
        <v>0</v>
      </c>
      <c r="DO56" s="16">
        <f>IF($X56="","",SUM(Tabla152[[#This Row],[PODRIDO]],Tabla152[[#This Row],[HONGO]],Tabla152[[#This Row],[PICADO DE AVE CON PUDRICIÓN]],Tabla152[[#This Row],[FUMAGINA]])/$X$10)</f>
        <v>0</v>
      </c>
      <c r="DP56" s="16">
        <f>IF($X56="","",SUM(Tabla152[[#This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56" s="16">
        <f>IF($X56="","",SUM(Tabla152[[#This Row],[BLANDO]:[COLAPSADO]])/$X$10)</f>
        <v>0</v>
      </c>
      <c r="DR56" s="16">
        <f>IF($X56="","",SUM(Tabla152[[#This Row],[DESHIDRATADO LEVE]:[DESHIDRATADO INMADURO]])/$X$10)</f>
        <v>0</v>
      </c>
      <c r="DS56" s="18">
        <f t="shared" si="1"/>
        <v>0</v>
      </c>
      <c r="DT56" s="16">
        <f>IF($X56="","",SUM(Tabla152[[#This Row],[PRESENCIA DE LARVA]],Tabla152[[#This Row],[CHANCHITO BLANCO]])/$X$10)</f>
        <v>0</v>
      </c>
      <c r="DU56" s="18">
        <f>IF($X56="","",SUM(Tabla152[[#This Row],[ROJO GRADO 2 A MÁS]],Tabla152[[#This Row],[IMMADURO VERDE]],Tabla152[[#This Row],[DESORDEN POR MADURACIÓN]],Tabla152[[#This Row],[ARO PEDICELAR VERDE EXTREMO]])/$X$10)</f>
        <v>0</v>
      </c>
      <c r="DV56" s="16">
        <f>IF($X56="","",SUM(Tabla152[[#This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56" s="16">
        <f>IF($X56="","",BU56/$X$10)</f>
        <v>0</v>
      </c>
      <c r="DX56" s="16">
        <f>IF($X56="","",AJ56/$X$10)</f>
        <v>0</v>
      </c>
      <c r="DY56" s="16">
        <f>IF($X56="","",SUM(Tabla152[[#This Row],[PRESENCIA DE COROLA]],Tabla152[[#This Row],[PRESENCIA DE RESTO FLORAL VERDE]],Tabla152[[#This Row],[PRESENCIA DE PEDÚNCULO]])/$X$10)</f>
        <v>0</v>
      </c>
      <c r="DZ56" s="16">
        <f>IF($X56="","",SUM(Tabla152[[#This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57" spans="1:130" x14ac:dyDescent="0.3">
      <c r="A57" s="9">
        <f>IF(W57="","",IF(ROW()=10,1,IF(W57=W56,A56,MAX($A$9:A56)+1)))</f>
        <v>15</v>
      </c>
      <c r="B57" s="9">
        <f>WEEKNUM(Tabla152[[#This Row],[FECHA DE COSECHA]],21)</f>
        <v>36</v>
      </c>
      <c r="C57" s="9"/>
      <c r="D57" s="17">
        <v>46267</v>
      </c>
      <c r="E57" s="17">
        <v>46267</v>
      </c>
      <c r="F57" s="9">
        <v>1</v>
      </c>
      <c r="G57" s="9" t="s">
        <v>77</v>
      </c>
      <c r="H57" s="9" t="s">
        <v>144</v>
      </c>
      <c r="I57" s="9" t="s">
        <v>134</v>
      </c>
      <c r="J57" s="9" t="s">
        <v>78</v>
      </c>
      <c r="K57" s="9" t="s">
        <v>153</v>
      </c>
      <c r="L57" s="9" t="s">
        <v>131</v>
      </c>
      <c r="M57" s="9" t="s">
        <v>239</v>
      </c>
      <c r="N57" s="9" t="s">
        <v>151</v>
      </c>
      <c r="O57" s="9" t="s">
        <v>244</v>
      </c>
      <c r="P57" s="9" t="s">
        <v>152</v>
      </c>
      <c r="Q57" s="9"/>
      <c r="R57" s="9">
        <v>8</v>
      </c>
      <c r="S57" s="9">
        <v>74547547</v>
      </c>
      <c r="T57" t="s">
        <v>232</v>
      </c>
      <c r="U57" s="9" t="s">
        <v>147</v>
      </c>
      <c r="V57" s="9"/>
      <c r="W57" s="19" t="s">
        <v>167</v>
      </c>
      <c r="X57" s="9">
        <v>61</v>
      </c>
      <c r="Y57" s="9">
        <v>3</v>
      </c>
      <c r="Z57" s="9">
        <v>15</v>
      </c>
      <c r="AA57" s="9" t="str">
        <f>IF(Tabla152[[#This Row],[NOTA]]=15,"CUMPLE","NO CUMPLE")</f>
        <v>CUMPLE</v>
      </c>
      <c r="AB57" s="9" t="str">
        <f>IF(COUNTIF($A$10:A57,A57)=1,IF(COUNTIFS($A:$A,A57,$AA:$AA,"NO CUMPLE")&gt;0,"NO CUMPLE","CUMPLE"),"")</f>
        <v/>
      </c>
      <c r="AC57" s="9"/>
      <c r="AD57" s="8"/>
      <c r="AE57" s="8">
        <v>2</v>
      </c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18"/>
      <c r="BX57" s="18">
        <f>IF($X57="","",AE57/$X$10)</f>
        <v>3.1746031746031744E-2</v>
      </c>
      <c r="BY57" s="18">
        <f>IF($X57="","",AF57/$X$10)</f>
        <v>0</v>
      </c>
      <c r="BZ57" s="18">
        <f>IF($X57="","",AG57/$X$10)</f>
        <v>0</v>
      </c>
      <c r="CA57" s="18">
        <f>IF($X57="","",AH57/$X$10)</f>
        <v>0</v>
      </c>
      <c r="CB57" s="18">
        <f t="shared" si="2"/>
        <v>0</v>
      </c>
      <c r="CC57" s="18">
        <f>IF($X57="","",AJ57/$X$10)</f>
        <v>0</v>
      </c>
      <c r="CD57" s="18">
        <f>IF($X57="","",AK57/$X$10)</f>
        <v>0</v>
      </c>
      <c r="CE57" s="18">
        <f>IF($X57="","",AL57/$X$10)</f>
        <v>0</v>
      </c>
      <c r="CF57" s="18">
        <f>IF($X57="","",AM57/$X$10)</f>
        <v>0</v>
      </c>
      <c r="CG57" s="18">
        <f>IF($X57="","",AN57/$X$10)</f>
        <v>0</v>
      </c>
      <c r="CH57" s="18">
        <f>IF($X57="","",AO57/$X$10)</f>
        <v>0</v>
      </c>
      <c r="CI57" s="18">
        <f>IF($X57="","",AP57/$X$10)</f>
        <v>0</v>
      </c>
      <c r="CJ57" s="18">
        <f>IF($X57="","",AQ57/$X$10)</f>
        <v>0</v>
      </c>
      <c r="CK57" s="18">
        <f>IF($X57="","",AR57/$X$10)</f>
        <v>0</v>
      </c>
      <c r="CL57" s="18">
        <f>IF($X57="","",AS57/$X$10)</f>
        <v>0</v>
      </c>
      <c r="CM57" s="18">
        <f>IF($X57="","",AT57/$X$10)</f>
        <v>0</v>
      </c>
      <c r="CN57" s="18">
        <f>IF($X57="","",AU57/$X$10)</f>
        <v>0</v>
      </c>
      <c r="CO57" s="18">
        <f>IF($X57="","",AV57/$X$10)</f>
        <v>0</v>
      </c>
      <c r="CP57" s="18">
        <f>IF($X57="","",AW57/$X$10)</f>
        <v>0</v>
      </c>
      <c r="CQ57" s="18">
        <f>IF($X57="","",AX57/$X$10)</f>
        <v>0</v>
      </c>
      <c r="CR57" s="18">
        <f>IF($X57="","",AY57/$X$10)</f>
        <v>0</v>
      </c>
      <c r="CS57" s="18">
        <f>IF($X57="","",AZ57/$X$10)</f>
        <v>0</v>
      </c>
      <c r="CT57" s="18">
        <f>IF($X57="","",BA57/$X$10)</f>
        <v>0</v>
      </c>
      <c r="CU57" s="18">
        <f>IF($X57="","",BB57/$X$10)</f>
        <v>0</v>
      </c>
      <c r="CV57" s="18">
        <f>IF($X57="","",BC57/$X$10)</f>
        <v>0</v>
      </c>
      <c r="CW57" s="18">
        <f>IF($X57="","",BD57/$X$10)</f>
        <v>0</v>
      </c>
      <c r="CX57" s="18">
        <f>IF($X57="","",BE57/$X$10)</f>
        <v>0</v>
      </c>
      <c r="CY57" s="18">
        <f>IF($X57="","",BF57/$X$10)</f>
        <v>0</v>
      </c>
      <c r="CZ57" s="18">
        <f>IF($X57="","",BG57/$X$10)</f>
        <v>0</v>
      </c>
      <c r="DA57" s="18">
        <f>IF($X57="","",BH57/$X$10)</f>
        <v>0</v>
      </c>
      <c r="DB57" s="18">
        <f>IF($X57="","",BI57/$X$10)</f>
        <v>0</v>
      </c>
      <c r="DC57" s="18">
        <f>IF($X57="","",BJ57/$X$10)</f>
        <v>0</v>
      </c>
      <c r="DD57" s="18">
        <f>IF($X57="","",BK57/$X$10)</f>
        <v>0</v>
      </c>
      <c r="DE57" s="18">
        <f>IF($X57="","",BL57/$X$10)</f>
        <v>0</v>
      </c>
      <c r="DF57" s="18">
        <f>IF($X57="","",BM57/$X$10)</f>
        <v>0</v>
      </c>
      <c r="DG57" s="18">
        <f t="shared" si="3"/>
        <v>0</v>
      </c>
      <c r="DH57" s="18">
        <f>IF($X57="","",BO57/$X$10)</f>
        <v>0</v>
      </c>
      <c r="DI57" s="18">
        <f>IF($X57="","",BP57/$X$10)</f>
        <v>0</v>
      </c>
      <c r="DJ57" s="18">
        <f>IF($X57="","",BQ57/$X$10)</f>
        <v>0</v>
      </c>
      <c r="DK57" s="18">
        <f>IF($X57="","",BR57/$X$10)</f>
        <v>0</v>
      </c>
      <c r="DL57" s="18">
        <f>IF($X57="","",BS57/$X$10)</f>
        <v>0</v>
      </c>
      <c r="DM57" s="18">
        <f>IF($X57="","",BT57/$X$10)</f>
        <v>0</v>
      </c>
      <c r="DN57" s="18">
        <f t="shared" si="6"/>
        <v>0</v>
      </c>
      <c r="DO57" s="16">
        <f>IF($X57="","",SUM(Tabla152[[#This Row],[PODRIDO]],Tabla152[[#This Row],[HONGO]],Tabla152[[#This Row],[PICADO DE AVE CON PUDRICIÓN]],Tabla152[[#This Row],[FUMAGINA]])/$X$10)</f>
        <v>0</v>
      </c>
      <c r="DP57" s="16">
        <f>IF($X57="","",SUM(Tabla152[[#This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57" s="16">
        <f>IF($X57="","",SUM(Tabla152[[#This Row],[BLANDO]:[COLAPSADO]])/$X$10)</f>
        <v>0</v>
      </c>
      <c r="DR57" s="16">
        <f>IF($X57="","",SUM(Tabla152[[#This Row],[DESHIDRATADO LEVE]:[DESHIDRATADO INMADURO]])/$X$10)</f>
        <v>0</v>
      </c>
      <c r="DS57" s="18">
        <f t="shared" si="1"/>
        <v>0</v>
      </c>
      <c r="DT57" s="16">
        <f>IF($X57="","",SUM(Tabla152[[#This Row],[PRESENCIA DE LARVA]],Tabla152[[#This Row],[CHANCHITO BLANCO]])/$X$10)</f>
        <v>0</v>
      </c>
      <c r="DU57" s="18">
        <f>IF($X57="","",SUM(Tabla152[[#This Row],[ROJO GRADO 2 A MÁS]],Tabla152[[#This Row],[IMMADURO VERDE]],Tabla152[[#This Row],[DESORDEN POR MADURACIÓN]],Tabla152[[#This Row],[ARO PEDICELAR VERDE EXTREMO]])/$X$10)</f>
        <v>0</v>
      </c>
      <c r="DV57" s="16">
        <f>IF($X57="","",SUM(Tabla152[[#This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57" s="16">
        <f>IF($X57="","",BU57/$X$10)</f>
        <v>0</v>
      </c>
      <c r="DX57" s="16">
        <f>IF($X57="","",AJ57/$X$10)</f>
        <v>0</v>
      </c>
      <c r="DY57" s="16">
        <f>IF($X57="","",SUM(Tabla152[[#This Row],[PRESENCIA DE COROLA]],Tabla152[[#This Row],[PRESENCIA DE RESTO FLORAL VERDE]],Tabla152[[#This Row],[PRESENCIA DE PEDÚNCULO]])/$X$10)</f>
        <v>3.1746031746031744E-2</v>
      </c>
      <c r="DZ57" s="16">
        <f>IF($X57="","",SUM(Tabla152[[#This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58" spans="1:130" x14ac:dyDescent="0.3">
      <c r="A58" s="9">
        <f>IF(W58="","",IF(ROW()=10,1,IF(W58=W57,A57,MAX($A$9:A57)+1)))</f>
        <v>16</v>
      </c>
      <c r="B58" s="9">
        <f>WEEKNUM(Tabla152[[#This Row],[FECHA DE COSECHA]],21)</f>
        <v>36</v>
      </c>
      <c r="C58" s="9"/>
      <c r="D58" s="17">
        <v>46267</v>
      </c>
      <c r="E58" s="17">
        <v>46267</v>
      </c>
      <c r="F58" s="9">
        <v>1</v>
      </c>
      <c r="G58" s="9" t="s">
        <v>77</v>
      </c>
      <c r="H58" s="9" t="s">
        <v>144</v>
      </c>
      <c r="I58" s="9" t="s">
        <v>134</v>
      </c>
      <c r="J58" s="9" t="s">
        <v>78</v>
      </c>
      <c r="K58" s="9" t="s">
        <v>153</v>
      </c>
      <c r="L58" s="9" t="s">
        <v>131</v>
      </c>
      <c r="M58" s="9" t="s">
        <v>239</v>
      </c>
      <c r="N58" s="9" t="s">
        <v>151</v>
      </c>
      <c r="O58" s="9" t="s">
        <v>244</v>
      </c>
      <c r="P58" s="9" t="s">
        <v>152</v>
      </c>
      <c r="Q58" s="9"/>
      <c r="R58" s="9">
        <v>8</v>
      </c>
      <c r="S58" s="9">
        <v>74547547</v>
      </c>
      <c r="T58" t="s">
        <v>232</v>
      </c>
      <c r="U58" s="9" t="s">
        <v>147</v>
      </c>
      <c r="V58" s="9"/>
      <c r="W58" s="19" t="s">
        <v>168</v>
      </c>
      <c r="X58" s="9">
        <v>61</v>
      </c>
      <c r="Y58" s="9">
        <v>1</v>
      </c>
      <c r="Z58" s="9">
        <v>15</v>
      </c>
      <c r="AA58" s="9" t="str">
        <f>IF(Tabla152[[#This Row],[NOTA]]=15,"CUMPLE","NO CUMPLE")</f>
        <v>CUMPLE</v>
      </c>
      <c r="AB58" s="9" t="str">
        <f>IF(COUNTIF($A$10:A58,A58)=1,IF(COUNTIFS($A:$A,A58,$AA:$AA,"NO CUMPLE")&gt;0,"NO CUMPLE","CUMPLE"),"")</f>
        <v>CUMPLE</v>
      </c>
      <c r="AC58" s="9" t="s">
        <v>140</v>
      </c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18"/>
      <c r="BX58" s="18">
        <f>IF($X58="","",AE58/$X$10)</f>
        <v>0</v>
      </c>
      <c r="BY58" s="18">
        <f>IF($X58="","",AF58/$X$10)</f>
        <v>0</v>
      </c>
      <c r="BZ58" s="18">
        <f>IF($X58="","",AG58/$X$10)</f>
        <v>0</v>
      </c>
      <c r="CA58" s="18">
        <f>IF($X58="","",AH58/$X$10)</f>
        <v>0</v>
      </c>
      <c r="CB58" s="18">
        <f t="shared" si="2"/>
        <v>0</v>
      </c>
      <c r="CC58" s="18">
        <f>IF($X58="","",AJ58/$X$10)</f>
        <v>0</v>
      </c>
      <c r="CD58" s="18">
        <f>IF($X58="","",AK58/$X$10)</f>
        <v>0</v>
      </c>
      <c r="CE58" s="18">
        <f>IF($X58="","",AL58/$X$10)</f>
        <v>0</v>
      </c>
      <c r="CF58" s="18">
        <f>IF($X58="","",AM58/$X$10)</f>
        <v>0</v>
      </c>
      <c r="CG58" s="18">
        <f>IF($X58="","",AN58/$X$10)</f>
        <v>0</v>
      </c>
      <c r="CH58" s="18">
        <f>IF($X58="","",AO58/$X$10)</f>
        <v>0</v>
      </c>
      <c r="CI58" s="18">
        <f>IF($X58="","",AP58/$X$10)</f>
        <v>0</v>
      </c>
      <c r="CJ58" s="18">
        <f>IF($X58="","",AQ58/$X$10)</f>
        <v>0</v>
      </c>
      <c r="CK58" s="18">
        <f>IF($X58="","",AR58/$X$10)</f>
        <v>0</v>
      </c>
      <c r="CL58" s="18">
        <f>IF($X58="","",AS58/$X$10)</f>
        <v>0</v>
      </c>
      <c r="CM58" s="18">
        <f>IF($X58="","",AT58/$X$10)</f>
        <v>0</v>
      </c>
      <c r="CN58" s="18">
        <f>IF($X58="","",AU58/$X$10)</f>
        <v>0</v>
      </c>
      <c r="CO58" s="18">
        <f>IF($X58="","",AV58/$X$10)</f>
        <v>0</v>
      </c>
      <c r="CP58" s="18">
        <f>IF($X58="","",AW58/$X$10)</f>
        <v>0</v>
      </c>
      <c r="CQ58" s="18">
        <f>IF($X58="","",AX58/$X$10)</f>
        <v>0</v>
      </c>
      <c r="CR58" s="18">
        <f>IF($X58="","",AY58/$X$10)</f>
        <v>0</v>
      </c>
      <c r="CS58" s="18">
        <f>IF($X58="","",AZ58/$X$10)</f>
        <v>0</v>
      </c>
      <c r="CT58" s="18">
        <f>IF($X58="","",BA58/$X$10)</f>
        <v>0</v>
      </c>
      <c r="CU58" s="18">
        <f>IF($X58="","",BB58/$X$10)</f>
        <v>0</v>
      </c>
      <c r="CV58" s="18">
        <f>IF($X58="","",BC58/$X$10)</f>
        <v>0</v>
      </c>
      <c r="CW58" s="18">
        <f>IF($X58="","",BD58/$X$10)</f>
        <v>0</v>
      </c>
      <c r="CX58" s="18">
        <f>IF($X58="","",BE58/$X$10)</f>
        <v>0</v>
      </c>
      <c r="CY58" s="18">
        <f>IF($X58="","",BF58/$X$10)</f>
        <v>0</v>
      </c>
      <c r="CZ58" s="18">
        <f>IF($X58="","",BG58/$X$10)</f>
        <v>0</v>
      </c>
      <c r="DA58" s="18">
        <f>IF($X58="","",BH58/$X$10)</f>
        <v>0</v>
      </c>
      <c r="DB58" s="18">
        <f>IF($X58="","",BI58/$X$10)</f>
        <v>0</v>
      </c>
      <c r="DC58" s="18">
        <f>IF($X58="","",BJ58/$X$10)</f>
        <v>0</v>
      </c>
      <c r="DD58" s="18">
        <f>IF($X58="","",BK58/$X$10)</f>
        <v>0</v>
      </c>
      <c r="DE58" s="18">
        <f>IF($X58="","",BL58/$X$10)</f>
        <v>0</v>
      </c>
      <c r="DF58" s="18">
        <f>IF($X58="","",BM58/$X$10)</f>
        <v>0</v>
      </c>
      <c r="DG58" s="18">
        <f t="shared" si="3"/>
        <v>0</v>
      </c>
      <c r="DH58" s="18">
        <f>IF($X58="","",BO58/$X$10)</f>
        <v>0</v>
      </c>
      <c r="DI58" s="18">
        <f>IF($X58="","",BP58/$X$10)</f>
        <v>0</v>
      </c>
      <c r="DJ58" s="18">
        <f>IF($X58="","",BQ58/$X$10)</f>
        <v>0</v>
      </c>
      <c r="DK58" s="18">
        <f>IF($X58="","",BR58/$X$10)</f>
        <v>0</v>
      </c>
      <c r="DL58" s="18">
        <f>IF($X58="","",BS58/$X$10)</f>
        <v>0</v>
      </c>
      <c r="DM58" s="18">
        <f>IF($X58="","",BT58/$X$10)</f>
        <v>0</v>
      </c>
      <c r="DN58" s="18">
        <f t="shared" si="6"/>
        <v>0</v>
      </c>
      <c r="DO58" s="16">
        <f>IF($X58="","",SUM(Tabla152[[#This Row],[PODRIDO]],Tabla152[[#This Row],[HONGO]],Tabla152[[#This Row],[PICADO DE AVE CON PUDRICIÓN]],Tabla152[[#This Row],[FUMAGINA]])/$X$10)</f>
        <v>0</v>
      </c>
      <c r="DP58" s="16">
        <f>IF($X58="","",SUM(Tabla152[[#This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58" s="16">
        <f>IF($X58="","",SUM(Tabla152[[#This Row],[BLANDO]:[COLAPSADO]])/$X$10)</f>
        <v>0</v>
      </c>
      <c r="DR58" s="16">
        <f>IF($X58="","",SUM(Tabla152[[#This Row],[DESHIDRATADO LEVE]:[DESHIDRATADO INMADURO]])/$X$10)</f>
        <v>0</v>
      </c>
      <c r="DS58" s="18">
        <f t="shared" si="1"/>
        <v>0</v>
      </c>
      <c r="DT58" s="16">
        <f>IF($X58="","",SUM(Tabla152[[#This Row],[PRESENCIA DE LARVA]],Tabla152[[#This Row],[CHANCHITO BLANCO]])/$X$10)</f>
        <v>0</v>
      </c>
      <c r="DU58" s="18">
        <f>IF($X58="","",SUM(Tabla152[[#This Row],[ROJO GRADO 2 A MÁS]],Tabla152[[#This Row],[IMMADURO VERDE]],Tabla152[[#This Row],[DESORDEN POR MADURACIÓN]],Tabla152[[#This Row],[ARO PEDICELAR VERDE EXTREMO]])/$X$10)</f>
        <v>0</v>
      </c>
      <c r="DV58" s="16">
        <f>IF($X58="","",SUM(Tabla152[[#This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58" s="16">
        <f>IF($X58="","",BU58/$X$10)</f>
        <v>0</v>
      </c>
      <c r="DX58" s="16">
        <f>IF($X58="","",AJ58/$X$10)</f>
        <v>0</v>
      </c>
      <c r="DY58" s="16">
        <f>IF($X58="","",SUM(Tabla152[[#This Row],[PRESENCIA DE COROLA]],Tabla152[[#This Row],[PRESENCIA DE RESTO FLORAL VERDE]],Tabla152[[#This Row],[PRESENCIA DE PEDÚNCULO]])/$X$10)</f>
        <v>0</v>
      </c>
      <c r="DZ58" s="16">
        <f>IF($X58="","",SUM(Tabla152[[#This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59" spans="1:130" x14ac:dyDescent="0.3">
      <c r="A59" s="9">
        <f>IF(W59="","",IF(ROW()=10,1,IF(W59=W58,A58,MAX($A$9:A58)+1)))</f>
        <v>16</v>
      </c>
      <c r="B59" s="9">
        <f>WEEKNUM(Tabla152[[#This Row],[FECHA DE COSECHA]],21)</f>
        <v>36</v>
      </c>
      <c r="C59" s="9"/>
      <c r="D59" s="17">
        <v>46267</v>
      </c>
      <c r="E59" s="17">
        <v>46267</v>
      </c>
      <c r="F59" s="9">
        <v>1</v>
      </c>
      <c r="G59" s="9" t="s">
        <v>77</v>
      </c>
      <c r="H59" s="9" t="s">
        <v>144</v>
      </c>
      <c r="I59" s="9" t="s">
        <v>134</v>
      </c>
      <c r="J59" s="9" t="s">
        <v>78</v>
      </c>
      <c r="K59" s="9" t="s">
        <v>153</v>
      </c>
      <c r="L59" s="9" t="s">
        <v>131</v>
      </c>
      <c r="M59" s="9" t="s">
        <v>239</v>
      </c>
      <c r="N59" s="9" t="s">
        <v>151</v>
      </c>
      <c r="O59" s="9" t="s">
        <v>244</v>
      </c>
      <c r="P59" s="9" t="s">
        <v>152</v>
      </c>
      <c r="Q59" s="9"/>
      <c r="R59" s="9">
        <v>8</v>
      </c>
      <c r="S59" s="9">
        <v>74547547</v>
      </c>
      <c r="T59" t="s">
        <v>232</v>
      </c>
      <c r="U59" s="9" t="s">
        <v>147</v>
      </c>
      <c r="V59" s="9"/>
      <c r="W59" s="19" t="s">
        <v>168</v>
      </c>
      <c r="X59" s="9">
        <v>61</v>
      </c>
      <c r="Y59" s="9">
        <v>2</v>
      </c>
      <c r="Z59" s="9">
        <v>15</v>
      </c>
      <c r="AA59" s="9" t="str">
        <f>IF(Tabla152[[#This Row],[NOTA]]=15,"CUMPLE","NO CUMPLE")</f>
        <v>CUMPLE</v>
      </c>
      <c r="AB59" s="9" t="str">
        <f>IF(COUNTIF($A$10:A59,A59)=1,IF(COUNTIFS($A:$A,A59,$AA:$AA,"NO CUMPLE")&gt;0,"NO CUMPLE","CUMPLE"),"")</f>
        <v/>
      </c>
      <c r="AC59" s="9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18"/>
      <c r="BX59" s="18">
        <f>IF($X59="","",AE59/$X$10)</f>
        <v>0</v>
      </c>
      <c r="BY59" s="18">
        <f>IF($X59="","",AF59/$X$10)</f>
        <v>0</v>
      </c>
      <c r="BZ59" s="18">
        <f>IF($X59="","",AG59/$X$10)</f>
        <v>0</v>
      </c>
      <c r="CA59" s="18">
        <f>IF($X59="","",AH59/$X$10)</f>
        <v>0</v>
      </c>
      <c r="CB59" s="18">
        <f t="shared" si="2"/>
        <v>0</v>
      </c>
      <c r="CC59" s="18">
        <f>IF($X59="","",AJ59/$X$10)</f>
        <v>0</v>
      </c>
      <c r="CD59" s="18">
        <f>IF($X59="","",AK59/$X$10)</f>
        <v>0</v>
      </c>
      <c r="CE59" s="18">
        <f>IF($X59="","",AL59/$X$10)</f>
        <v>0</v>
      </c>
      <c r="CF59" s="18">
        <f>IF($X59="","",AM59/$X$10)</f>
        <v>0</v>
      </c>
      <c r="CG59" s="18">
        <f>IF($X59="","",AN59/$X$10)</f>
        <v>0</v>
      </c>
      <c r="CH59" s="18">
        <f>IF($X59="","",AO59/$X$10)</f>
        <v>0</v>
      </c>
      <c r="CI59" s="18">
        <f>IF($X59="","",AP59/$X$10)</f>
        <v>0</v>
      </c>
      <c r="CJ59" s="18">
        <f>IF($X59="","",AQ59/$X$10)</f>
        <v>0</v>
      </c>
      <c r="CK59" s="18">
        <f>IF($X59="","",AR59/$X$10)</f>
        <v>0</v>
      </c>
      <c r="CL59" s="18">
        <f>IF($X59="","",AS59/$X$10)</f>
        <v>0</v>
      </c>
      <c r="CM59" s="18">
        <f>IF($X59="","",AT59/$X$10)</f>
        <v>0</v>
      </c>
      <c r="CN59" s="18">
        <f>IF($X59="","",AU59/$X$10)</f>
        <v>0</v>
      </c>
      <c r="CO59" s="18">
        <f>IF($X59="","",AV59/$X$10)</f>
        <v>0</v>
      </c>
      <c r="CP59" s="18">
        <f>IF($X59="","",AW59/$X$10)</f>
        <v>0</v>
      </c>
      <c r="CQ59" s="18">
        <f>IF($X59="","",AX59/$X$10)</f>
        <v>0</v>
      </c>
      <c r="CR59" s="18">
        <f>IF($X59="","",AY59/$X$10)</f>
        <v>0</v>
      </c>
      <c r="CS59" s="18">
        <f>IF($X59="","",AZ59/$X$10)</f>
        <v>0</v>
      </c>
      <c r="CT59" s="18">
        <f>IF($X59="","",BA59/$X$10)</f>
        <v>0</v>
      </c>
      <c r="CU59" s="18">
        <f>IF($X59="","",BB59/$X$10)</f>
        <v>0</v>
      </c>
      <c r="CV59" s="18">
        <f>IF($X59="","",BC59/$X$10)</f>
        <v>0</v>
      </c>
      <c r="CW59" s="18">
        <f>IF($X59="","",BD59/$X$10)</f>
        <v>0</v>
      </c>
      <c r="CX59" s="18">
        <f>IF($X59="","",BE59/$X$10)</f>
        <v>0</v>
      </c>
      <c r="CY59" s="18">
        <f>IF($X59="","",BF59/$X$10)</f>
        <v>0</v>
      </c>
      <c r="CZ59" s="18">
        <f>IF($X59="","",BG59/$X$10)</f>
        <v>0</v>
      </c>
      <c r="DA59" s="18">
        <f>IF($X59="","",BH59/$X$10)</f>
        <v>0</v>
      </c>
      <c r="DB59" s="18">
        <f>IF($X59="","",BI59/$X$10)</f>
        <v>0</v>
      </c>
      <c r="DC59" s="18">
        <f>IF($X59="","",BJ59/$X$10)</f>
        <v>0</v>
      </c>
      <c r="DD59" s="18">
        <f>IF($X59="","",BK59/$X$10)</f>
        <v>0</v>
      </c>
      <c r="DE59" s="18">
        <f>IF($X59="","",BL59/$X$10)</f>
        <v>0</v>
      </c>
      <c r="DF59" s="18">
        <f>IF($X59="","",BM59/$X$10)</f>
        <v>0</v>
      </c>
      <c r="DG59" s="18">
        <f t="shared" si="3"/>
        <v>0</v>
      </c>
      <c r="DH59" s="18">
        <f>IF($X59="","",BO59/$X$10)</f>
        <v>0</v>
      </c>
      <c r="DI59" s="18">
        <f>IF($X59="","",BP59/$X$10)</f>
        <v>0</v>
      </c>
      <c r="DJ59" s="18">
        <f>IF($X59="","",BQ59/$X$10)</f>
        <v>0</v>
      </c>
      <c r="DK59" s="18">
        <f>IF($X59="","",BR59/$X$10)</f>
        <v>0</v>
      </c>
      <c r="DL59" s="18">
        <f>IF($X59="","",BS59/$X$10)</f>
        <v>0</v>
      </c>
      <c r="DM59" s="18">
        <f>IF($X59="","",BT59/$X$10)</f>
        <v>0</v>
      </c>
      <c r="DN59" s="18">
        <f t="shared" si="6"/>
        <v>0</v>
      </c>
      <c r="DO59" s="16">
        <f>IF($X59="","",SUM(Tabla152[[#This Row],[PODRIDO]],Tabla152[[#This Row],[HONGO]],Tabla152[[#This Row],[PICADO DE AVE CON PUDRICIÓN]],Tabla152[[#This Row],[FUMAGINA]])/$X$10)</f>
        <v>0</v>
      </c>
      <c r="DP59" s="16">
        <f>IF($X59="","",SUM(Tabla152[[#This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59" s="16">
        <f>IF($X59="","",SUM(Tabla152[[#This Row],[BLANDO]:[COLAPSADO]])/$X$10)</f>
        <v>0</v>
      </c>
      <c r="DR59" s="16">
        <f>IF($X59="","",SUM(Tabla152[[#This Row],[DESHIDRATADO LEVE]:[DESHIDRATADO INMADURO]])/$X$10)</f>
        <v>0</v>
      </c>
      <c r="DS59" s="18">
        <f t="shared" si="1"/>
        <v>0</v>
      </c>
      <c r="DT59" s="16">
        <f>IF($X59="","",SUM(Tabla152[[#This Row],[PRESENCIA DE LARVA]],Tabla152[[#This Row],[CHANCHITO BLANCO]])/$X$10)</f>
        <v>0</v>
      </c>
      <c r="DU59" s="18">
        <f>IF($X59="","",SUM(Tabla152[[#This Row],[ROJO GRADO 2 A MÁS]],Tabla152[[#This Row],[IMMADURO VERDE]],Tabla152[[#This Row],[DESORDEN POR MADURACIÓN]],Tabla152[[#This Row],[ARO PEDICELAR VERDE EXTREMO]])/$X$10)</f>
        <v>0</v>
      </c>
      <c r="DV59" s="16">
        <f>IF($X59="","",SUM(Tabla152[[#This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59" s="16">
        <f>IF($X59="","",BU59/$X$10)</f>
        <v>0</v>
      </c>
      <c r="DX59" s="16">
        <f>IF($X59="","",AJ59/$X$10)</f>
        <v>0</v>
      </c>
      <c r="DY59" s="16">
        <f>IF($X59="","",SUM(Tabla152[[#This Row],[PRESENCIA DE COROLA]],Tabla152[[#This Row],[PRESENCIA DE RESTO FLORAL VERDE]],Tabla152[[#This Row],[PRESENCIA DE PEDÚNCULO]])/$X$10)</f>
        <v>0</v>
      </c>
      <c r="DZ59" s="16">
        <f>IF($X59="","",SUM(Tabla152[[#This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60" spans="1:130" x14ac:dyDescent="0.3">
      <c r="A60" s="9">
        <f>IF(W60="","",IF(ROW()=10,1,IF(W60=W59,A59,MAX($A$9:A59)+1)))</f>
        <v>16</v>
      </c>
      <c r="B60" s="9">
        <f>WEEKNUM(Tabla152[[#This Row],[FECHA DE COSECHA]],21)</f>
        <v>36</v>
      </c>
      <c r="C60" s="9"/>
      <c r="D60" s="17">
        <v>46267</v>
      </c>
      <c r="E60" s="17">
        <v>46267</v>
      </c>
      <c r="F60" s="9">
        <v>1</v>
      </c>
      <c r="G60" s="9" t="s">
        <v>77</v>
      </c>
      <c r="H60" s="9" t="s">
        <v>144</v>
      </c>
      <c r="I60" s="9" t="s">
        <v>134</v>
      </c>
      <c r="J60" s="9" t="s">
        <v>78</v>
      </c>
      <c r="K60" s="9" t="s">
        <v>153</v>
      </c>
      <c r="L60" s="9" t="s">
        <v>131</v>
      </c>
      <c r="M60" s="9" t="s">
        <v>239</v>
      </c>
      <c r="N60" s="9" t="s">
        <v>151</v>
      </c>
      <c r="O60" s="9" t="s">
        <v>244</v>
      </c>
      <c r="P60" s="9" t="s">
        <v>152</v>
      </c>
      <c r="Q60" s="9"/>
      <c r="R60" s="9">
        <v>8</v>
      </c>
      <c r="S60" s="9">
        <v>74547547</v>
      </c>
      <c r="T60" t="s">
        <v>232</v>
      </c>
      <c r="U60" s="9" t="s">
        <v>147</v>
      </c>
      <c r="V60" s="9"/>
      <c r="W60" s="19" t="s">
        <v>168</v>
      </c>
      <c r="X60" s="9">
        <v>61</v>
      </c>
      <c r="Y60" s="9">
        <v>3</v>
      </c>
      <c r="Z60" s="9">
        <v>15</v>
      </c>
      <c r="AA60" s="9" t="str">
        <f>IF(Tabla152[[#This Row],[NOTA]]=15,"CUMPLE","NO CUMPLE")</f>
        <v>CUMPLE</v>
      </c>
      <c r="AB60" s="9" t="str">
        <f>IF(COUNTIF($A$10:A60,A60)=1,IF(COUNTIFS($A:$A,A60,$AA:$AA,"NO CUMPLE")&gt;0,"NO CUMPLE","CUMPLE"),"")</f>
        <v/>
      </c>
      <c r="AC60" s="9"/>
      <c r="AD60" s="8"/>
      <c r="AE60" s="8">
        <v>1</v>
      </c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18"/>
      <c r="BX60" s="18">
        <f>IF($X60="","",AE60/$X$10)</f>
        <v>1.5873015873015872E-2</v>
      </c>
      <c r="BY60" s="18">
        <f>IF($X60="","",AF60/$X$10)</f>
        <v>0</v>
      </c>
      <c r="BZ60" s="18">
        <f>IF($X60="","",AG60/$X$10)</f>
        <v>0</v>
      </c>
      <c r="CA60" s="18">
        <f>IF($X60="","",AH60/$X$10)</f>
        <v>0</v>
      </c>
      <c r="CB60" s="18">
        <f t="shared" si="2"/>
        <v>0</v>
      </c>
      <c r="CC60" s="18">
        <f>IF($X60="","",AJ60/$X$10)</f>
        <v>0</v>
      </c>
      <c r="CD60" s="18">
        <f>IF($X60="","",AK60/$X$10)</f>
        <v>0</v>
      </c>
      <c r="CE60" s="18">
        <f>IF($X60="","",AL60/$X$10)</f>
        <v>0</v>
      </c>
      <c r="CF60" s="18">
        <f>IF($X60="","",AM60/$X$10)</f>
        <v>0</v>
      </c>
      <c r="CG60" s="18">
        <f>IF($X60="","",AN60/$X$10)</f>
        <v>0</v>
      </c>
      <c r="CH60" s="18">
        <f>IF($X60="","",AO60/$X$10)</f>
        <v>0</v>
      </c>
      <c r="CI60" s="18">
        <f>IF($X60="","",AP60/$X$10)</f>
        <v>0</v>
      </c>
      <c r="CJ60" s="18">
        <f>IF($X60="","",AQ60/$X$10)</f>
        <v>0</v>
      </c>
      <c r="CK60" s="18">
        <f>IF($X60="","",AR60/$X$10)</f>
        <v>0</v>
      </c>
      <c r="CL60" s="18">
        <f>IF($X60="","",AS60/$X$10)</f>
        <v>0</v>
      </c>
      <c r="CM60" s="18">
        <f>IF($X60="","",AT60/$X$10)</f>
        <v>0</v>
      </c>
      <c r="CN60" s="18">
        <f>IF($X60="","",AU60/$X$10)</f>
        <v>0</v>
      </c>
      <c r="CO60" s="18">
        <f>IF($X60="","",AV60/$X$10)</f>
        <v>0</v>
      </c>
      <c r="CP60" s="18">
        <f>IF($X60="","",AW60/$X$10)</f>
        <v>0</v>
      </c>
      <c r="CQ60" s="18">
        <f>IF($X60="","",AX60/$X$10)</f>
        <v>0</v>
      </c>
      <c r="CR60" s="18">
        <f>IF($X60="","",AY60/$X$10)</f>
        <v>0</v>
      </c>
      <c r="CS60" s="18">
        <f>IF($X60="","",AZ60/$X$10)</f>
        <v>0</v>
      </c>
      <c r="CT60" s="18">
        <f>IF($X60="","",BA60/$X$10)</f>
        <v>0</v>
      </c>
      <c r="CU60" s="18">
        <f>IF($X60="","",BB60/$X$10)</f>
        <v>0</v>
      </c>
      <c r="CV60" s="18">
        <f>IF($X60="","",BC60/$X$10)</f>
        <v>0</v>
      </c>
      <c r="CW60" s="18">
        <f>IF($X60="","",BD60/$X$10)</f>
        <v>0</v>
      </c>
      <c r="CX60" s="18">
        <f>IF($X60="","",BE60/$X$10)</f>
        <v>0</v>
      </c>
      <c r="CY60" s="18">
        <f>IF($X60="","",BF60/$X$10)</f>
        <v>0</v>
      </c>
      <c r="CZ60" s="18">
        <f>IF($X60="","",BG60/$X$10)</f>
        <v>0</v>
      </c>
      <c r="DA60" s="18">
        <f>IF($X60="","",BH60/$X$10)</f>
        <v>0</v>
      </c>
      <c r="DB60" s="18">
        <f>IF($X60="","",BI60/$X$10)</f>
        <v>0</v>
      </c>
      <c r="DC60" s="18">
        <f>IF($X60="","",BJ60/$X$10)</f>
        <v>0</v>
      </c>
      <c r="DD60" s="18">
        <f>IF($X60="","",BK60/$X$10)</f>
        <v>0</v>
      </c>
      <c r="DE60" s="18">
        <f>IF($X60="","",BL60/$X$10)</f>
        <v>0</v>
      </c>
      <c r="DF60" s="18">
        <f>IF($X60="","",BM60/$X$10)</f>
        <v>0</v>
      </c>
      <c r="DG60" s="18">
        <f t="shared" si="3"/>
        <v>0</v>
      </c>
      <c r="DH60" s="18">
        <f>IF($X60="","",BO60/$X$10)</f>
        <v>0</v>
      </c>
      <c r="DI60" s="18">
        <f>IF($X60="","",BP60/$X$10)</f>
        <v>0</v>
      </c>
      <c r="DJ60" s="18">
        <f>IF($X60="","",BQ60/$X$10)</f>
        <v>0</v>
      </c>
      <c r="DK60" s="18">
        <f>IF($X60="","",BR60/$X$10)</f>
        <v>0</v>
      </c>
      <c r="DL60" s="18">
        <f>IF($X60="","",BS60/$X$10)</f>
        <v>0</v>
      </c>
      <c r="DM60" s="18">
        <f>IF($X60="","",BT60/$X$10)</f>
        <v>0</v>
      </c>
      <c r="DN60" s="18">
        <f t="shared" si="6"/>
        <v>0</v>
      </c>
      <c r="DO60" s="16">
        <f>IF($X60="","",SUM(Tabla152[[#This Row],[PODRIDO]],Tabla152[[#This Row],[HONGO]],Tabla152[[#This Row],[PICADO DE AVE CON PUDRICIÓN]],Tabla152[[#This Row],[FUMAGINA]])/$X$10)</f>
        <v>0</v>
      </c>
      <c r="DP60" s="16">
        <f>IF($X60="","",SUM(Tabla152[[#This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60" s="16">
        <f>IF($X60="","",SUM(Tabla152[[#This Row],[BLANDO]:[COLAPSADO]])/$X$10)</f>
        <v>0</v>
      </c>
      <c r="DR60" s="16">
        <f>IF($X60="","",SUM(Tabla152[[#This Row],[DESHIDRATADO LEVE]:[DESHIDRATADO INMADURO]])/$X$10)</f>
        <v>0</v>
      </c>
      <c r="DS60" s="18">
        <f t="shared" si="1"/>
        <v>0</v>
      </c>
      <c r="DT60" s="16">
        <f>IF($X60="","",SUM(Tabla152[[#This Row],[PRESENCIA DE LARVA]],Tabla152[[#This Row],[CHANCHITO BLANCO]])/$X$10)</f>
        <v>0</v>
      </c>
      <c r="DU60" s="18">
        <f>IF($X60="","",SUM(Tabla152[[#This Row],[ROJO GRADO 2 A MÁS]],Tabla152[[#This Row],[IMMADURO VERDE]],Tabla152[[#This Row],[DESORDEN POR MADURACIÓN]],Tabla152[[#This Row],[ARO PEDICELAR VERDE EXTREMO]])/$X$10)</f>
        <v>0</v>
      </c>
      <c r="DV60" s="16">
        <f>IF($X60="","",SUM(Tabla152[[#This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60" s="16">
        <f>IF($X60="","",BU60/$X$10)</f>
        <v>0</v>
      </c>
      <c r="DX60" s="16">
        <f>IF($X60="","",AJ60/$X$10)</f>
        <v>0</v>
      </c>
      <c r="DY60" s="16">
        <f>IF($X60="","",SUM(Tabla152[[#This Row],[PRESENCIA DE COROLA]],Tabla152[[#This Row],[PRESENCIA DE RESTO FLORAL VERDE]],Tabla152[[#This Row],[PRESENCIA DE PEDÚNCULO]])/$X$10)</f>
        <v>1.5873015873015872E-2</v>
      </c>
      <c r="DZ60" s="16">
        <f>IF($X60="","",SUM(Tabla152[[#This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61" spans="1:130" x14ac:dyDescent="0.3">
      <c r="A61" s="9">
        <f>IF(W61="","",IF(ROW()=10,1,IF(W61=W60,A60,MAX($A$9:A60)+1)))</f>
        <v>17</v>
      </c>
      <c r="B61" s="9">
        <f>WEEKNUM(Tabla152[[#This Row],[FECHA DE COSECHA]],21)</f>
        <v>36</v>
      </c>
      <c r="C61" s="9"/>
      <c r="D61" s="17">
        <v>46267</v>
      </c>
      <c r="E61" s="17">
        <v>46267</v>
      </c>
      <c r="F61" s="9">
        <v>1</v>
      </c>
      <c r="G61" s="9" t="s">
        <v>77</v>
      </c>
      <c r="H61" s="9" t="s">
        <v>144</v>
      </c>
      <c r="I61" s="9" t="s">
        <v>134</v>
      </c>
      <c r="J61" s="9" t="s">
        <v>78</v>
      </c>
      <c r="K61" s="9" t="s">
        <v>153</v>
      </c>
      <c r="L61" s="9" t="s">
        <v>131</v>
      </c>
      <c r="M61" s="9" t="s">
        <v>239</v>
      </c>
      <c r="N61" s="9" t="s">
        <v>151</v>
      </c>
      <c r="O61" s="9" t="s">
        <v>244</v>
      </c>
      <c r="P61" s="9" t="s">
        <v>152</v>
      </c>
      <c r="Q61" s="9"/>
      <c r="R61" s="9">
        <v>8</v>
      </c>
      <c r="S61" s="9">
        <v>74547547</v>
      </c>
      <c r="T61" t="s">
        <v>232</v>
      </c>
      <c r="U61" s="9" t="s">
        <v>147</v>
      </c>
      <c r="V61" s="9"/>
      <c r="W61" s="19" t="s">
        <v>169</v>
      </c>
      <c r="X61" s="9">
        <v>61</v>
      </c>
      <c r="Y61" s="9">
        <v>1</v>
      </c>
      <c r="Z61" s="9">
        <v>5</v>
      </c>
      <c r="AA61" s="9" t="str">
        <f>IF(Tabla152[[#This Row],[NOTA]]=15,"CUMPLE","NO CUMPLE")</f>
        <v>NO CUMPLE</v>
      </c>
      <c r="AB61" s="9" t="str">
        <f>IF(COUNTIF($A$10:A61,A61)=1,IF(COUNTIFS($A:$A,A61,$AA:$AA,"NO CUMPLE")&gt;0,"NO CUMPLE","CUMPLE"),"")</f>
        <v>NO CUMPLE</v>
      </c>
      <c r="AC61" s="9" t="s">
        <v>140</v>
      </c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7"/>
      <c r="AR61" s="7"/>
      <c r="AS61" s="7">
        <v>2</v>
      </c>
      <c r="AT61" s="7">
        <v>2</v>
      </c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18"/>
      <c r="BX61" s="18">
        <f>IF($X61="","",AE61/$X$10)</f>
        <v>0</v>
      </c>
      <c r="BY61" s="18">
        <f>IF($X61="","",AF61/$X$10)</f>
        <v>0</v>
      </c>
      <c r="BZ61" s="18">
        <f>IF($X61="","",AG61/$X$10)</f>
        <v>0</v>
      </c>
      <c r="CA61" s="18">
        <f>IF($X61="","",AH61/$X$10)</f>
        <v>0</v>
      </c>
      <c r="CB61" s="18">
        <f t="shared" si="2"/>
        <v>0</v>
      </c>
      <c r="CC61" s="18">
        <f>IF($X61="","",AJ61/$X$10)</f>
        <v>0</v>
      </c>
      <c r="CD61" s="18">
        <f>IF($X61="","",AK61/$X$10)</f>
        <v>0</v>
      </c>
      <c r="CE61" s="18">
        <f>IF($X61="","",AL61/$X$10)</f>
        <v>0</v>
      </c>
      <c r="CF61" s="18">
        <f>IF($X61="","",AM61/$X$10)</f>
        <v>0</v>
      </c>
      <c r="CG61" s="18">
        <f>IF($X61="","",AN61/$X$10)</f>
        <v>0</v>
      </c>
      <c r="CH61" s="18">
        <f>IF($X61="","",AO61/$X$10)</f>
        <v>0</v>
      </c>
      <c r="CI61" s="18">
        <f>IF($X61="","",AP61/$X$10)</f>
        <v>0</v>
      </c>
      <c r="CJ61" s="18">
        <f>IF($X61="","",AQ61/$X$10)</f>
        <v>0</v>
      </c>
      <c r="CK61" s="18">
        <f>IF($X61="","",AR61/$X$10)</f>
        <v>0</v>
      </c>
      <c r="CL61" s="18">
        <f>IF($X61="","",AS61/$X$10)</f>
        <v>3.1746031746031744E-2</v>
      </c>
      <c r="CM61" s="18">
        <f>IF($X61="","",AT61/$X$10)</f>
        <v>3.1746031746031744E-2</v>
      </c>
      <c r="CN61" s="18">
        <f>IF($X61="","",AU61/$X$10)</f>
        <v>0</v>
      </c>
      <c r="CO61" s="18">
        <f>IF($X61="","",AV61/$X$10)</f>
        <v>0</v>
      </c>
      <c r="CP61" s="18">
        <f>IF($X61="","",AW61/$X$10)</f>
        <v>0</v>
      </c>
      <c r="CQ61" s="18">
        <f>IF($X61="","",AX61/$X$10)</f>
        <v>0</v>
      </c>
      <c r="CR61" s="18">
        <f>IF($X61="","",AY61/$X$10)</f>
        <v>0</v>
      </c>
      <c r="CS61" s="18">
        <f>IF($X61="","",AZ61/$X$10)</f>
        <v>0</v>
      </c>
      <c r="CT61" s="18">
        <f>IF($X61="","",BA61/$X$10)</f>
        <v>0</v>
      </c>
      <c r="CU61" s="18">
        <f>IF($X61="","",BB61/$X$10)</f>
        <v>0</v>
      </c>
      <c r="CV61" s="18">
        <f>IF($X61="","",BC61/$X$10)</f>
        <v>0</v>
      </c>
      <c r="CW61" s="18">
        <f>IF($X61="","",BD61/$X$10)</f>
        <v>0</v>
      </c>
      <c r="CX61" s="18">
        <f>IF($X61="","",BE61/$X$10)</f>
        <v>0</v>
      </c>
      <c r="CY61" s="18">
        <f>IF($X61="","",BF61/$X$10)</f>
        <v>0</v>
      </c>
      <c r="CZ61" s="18">
        <f>IF($X61="","",BG61/$X$10)</f>
        <v>0</v>
      </c>
      <c r="DA61" s="18">
        <f>IF($X61="","",BH61/$X$10)</f>
        <v>0</v>
      </c>
      <c r="DB61" s="18">
        <f>IF($X61="","",BI61/$X$10)</f>
        <v>0</v>
      </c>
      <c r="DC61" s="18">
        <f>IF($X61="","",BJ61/$X$10)</f>
        <v>0</v>
      </c>
      <c r="DD61" s="18">
        <f>IF($X61="","",BK61/$X$10)</f>
        <v>0</v>
      </c>
      <c r="DE61" s="18">
        <f>IF($X61="","",BL61/$X$10)</f>
        <v>0</v>
      </c>
      <c r="DF61" s="18">
        <f>IF($X61="","",BM61/$X$10)</f>
        <v>0</v>
      </c>
      <c r="DG61" s="18">
        <f t="shared" si="3"/>
        <v>0</v>
      </c>
      <c r="DH61" s="18">
        <f>IF($X61="","",BO61/$X$10)</f>
        <v>0</v>
      </c>
      <c r="DI61" s="18">
        <f>IF($X61="","",BP61/$X$10)</f>
        <v>0</v>
      </c>
      <c r="DJ61" s="18">
        <f>IF($X61="","",BQ61/$X$10)</f>
        <v>0</v>
      </c>
      <c r="DK61" s="18">
        <f>IF($X61="","",BR61/$X$10)</f>
        <v>0</v>
      </c>
      <c r="DL61" s="18">
        <f>IF($X61="","",BS61/$X$10)</f>
        <v>0</v>
      </c>
      <c r="DM61" s="18">
        <f>IF($X61="","",BT61/$X$10)</f>
        <v>0</v>
      </c>
      <c r="DN61" s="18">
        <f t="shared" si="6"/>
        <v>0</v>
      </c>
      <c r="DO61" s="16">
        <f>IF($X61="","",SUM(Tabla152[[#This Row],[PODRIDO]],Tabla152[[#This Row],[HONGO]],Tabla152[[#This Row],[PICADO DE AVE CON PUDRICIÓN]],Tabla152[[#This Row],[FUMAGINA]])/$X$10)</f>
        <v>0</v>
      </c>
      <c r="DP61" s="16">
        <f>IF($X61="","",SUM(Tabla152[[#This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61" s="16">
        <f>IF($X61="","",SUM(Tabla152[[#This Row],[BLANDO]:[COLAPSADO]])/$X$10)</f>
        <v>0</v>
      </c>
      <c r="DR61" s="16">
        <f>IF($X61="","",SUM(Tabla152[[#This Row],[DESHIDRATADO LEVE]:[DESHIDRATADO INMADURO]])/$X$10)</f>
        <v>3.1746031746031744E-2</v>
      </c>
      <c r="DS61" s="18">
        <f t="shared" si="1"/>
        <v>0</v>
      </c>
      <c r="DT61" s="16">
        <f>IF($X61="","",SUM(Tabla152[[#This Row],[PRESENCIA DE LARVA]],Tabla152[[#This Row],[CHANCHITO BLANCO]])/$X$10)</f>
        <v>0</v>
      </c>
      <c r="DU61" s="18">
        <f>IF($X61="","",SUM(Tabla152[[#This Row],[ROJO GRADO 2 A MÁS]],Tabla152[[#This Row],[IMMADURO VERDE]],Tabla152[[#This Row],[DESORDEN POR MADURACIÓN]],Tabla152[[#This Row],[ARO PEDICELAR VERDE EXTREMO]])/$X$10)</f>
        <v>0</v>
      </c>
      <c r="DV61" s="16">
        <f>IF($X61="","",SUM(Tabla152[[#This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61" s="16">
        <f>IF($X61="","",BU61/$X$10)</f>
        <v>0</v>
      </c>
      <c r="DX61" s="16">
        <f>IF($X61="","",AJ61/$X$10)</f>
        <v>0</v>
      </c>
      <c r="DY61" s="16">
        <f>IF($X61="","",SUM(Tabla152[[#This Row],[PRESENCIA DE COROLA]],Tabla152[[#This Row],[PRESENCIA DE RESTO FLORAL VERDE]],Tabla152[[#This Row],[PRESENCIA DE PEDÚNCULO]])/$X$10)</f>
        <v>0</v>
      </c>
      <c r="DZ61" s="16">
        <f>IF($X61="","",SUM(Tabla152[[#This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62" spans="1:130" x14ac:dyDescent="0.3">
      <c r="A62" s="9">
        <f>IF(W62="","",IF(ROW()=10,1,IF(W62=W61,A61,MAX($A$9:A61)+1)))</f>
        <v>17</v>
      </c>
      <c r="B62" s="9">
        <f>WEEKNUM(Tabla152[[#This Row],[FECHA DE COSECHA]],21)</f>
        <v>36</v>
      </c>
      <c r="C62" s="9"/>
      <c r="D62" s="17">
        <v>46267</v>
      </c>
      <c r="E62" s="17">
        <v>46267</v>
      </c>
      <c r="F62" s="9">
        <v>1</v>
      </c>
      <c r="G62" s="9" t="s">
        <v>77</v>
      </c>
      <c r="H62" s="9" t="s">
        <v>144</v>
      </c>
      <c r="I62" s="9" t="s">
        <v>134</v>
      </c>
      <c r="J62" s="9" t="s">
        <v>78</v>
      </c>
      <c r="K62" s="9" t="s">
        <v>153</v>
      </c>
      <c r="L62" s="9" t="s">
        <v>131</v>
      </c>
      <c r="M62" s="9" t="s">
        <v>239</v>
      </c>
      <c r="N62" s="9" t="s">
        <v>151</v>
      </c>
      <c r="O62" s="9" t="s">
        <v>244</v>
      </c>
      <c r="P62" s="9" t="s">
        <v>152</v>
      </c>
      <c r="Q62" s="9"/>
      <c r="R62" s="9">
        <v>8</v>
      </c>
      <c r="S62" s="9">
        <v>74547547</v>
      </c>
      <c r="T62" t="s">
        <v>232</v>
      </c>
      <c r="U62" s="9" t="s">
        <v>147</v>
      </c>
      <c r="V62" s="9"/>
      <c r="W62" s="19" t="s">
        <v>169</v>
      </c>
      <c r="X62" s="9">
        <v>61</v>
      </c>
      <c r="Y62" s="9">
        <v>2</v>
      </c>
      <c r="Z62" s="9">
        <v>15</v>
      </c>
      <c r="AA62" s="9" t="str">
        <f>IF(Tabla152[[#This Row],[NOTA]]=15,"CUMPLE","NO CUMPLE")</f>
        <v>CUMPLE</v>
      </c>
      <c r="AB62" s="9" t="str">
        <f>IF(COUNTIF($A$10:A62,A62)=1,IF(COUNTIFS($A:$A,A62,$AA:$AA,"NO CUMPLE")&gt;0,"NO CUMPLE","CUMPLE"),"")</f>
        <v/>
      </c>
      <c r="AC62" s="9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18"/>
      <c r="BX62" s="18">
        <f>IF($X62="","",AE62/$X$10)</f>
        <v>0</v>
      </c>
      <c r="BY62" s="18">
        <f>IF($X62="","",AF62/$X$10)</f>
        <v>0</v>
      </c>
      <c r="BZ62" s="18">
        <f>IF($X62="","",AG62/$X$10)</f>
        <v>0</v>
      </c>
      <c r="CA62" s="18">
        <f>IF($X62="","",AH62/$X$10)</f>
        <v>0</v>
      </c>
      <c r="CB62" s="18">
        <f t="shared" si="2"/>
        <v>0</v>
      </c>
      <c r="CC62" s="18">
        <f>IF($X62="","",AJ62/$X$10)</f>
        <v>0</v>
      </c>
      <c r="CD62" s="18">
        <f>IF($X62="","",AK62/$X$10)</f>
        <v>0</v>
      </c>
      <c r="CE62" s="18">
        <f>IF($X62="","",AL62/$X$10)</f>
        <v>0</v>
      </c>
      <c r="CF62" s="18">
        <f>IF($X62="","",AM62/$X$10)</f>
        <v>0</v>
      </c>
      <c r="CG62" s="18">
        <f>IF($X62="","",AN62/$X$10)</f>
        <v>0</v>
      </c>
      <c r="CH62" s="18">
        <f>IF($X62="","",AO62/$X$10)</f>
        <v>0</v>
      </c>
      <c r="CI62" s="18">
        <f>IF($X62="","",AP62/$X$10)</f>
        <v>0</v>
      </c>
      <c r="CJ62" s="18">
        <f>IF($X62="","",AQ62/$X$10)</f>
        <v>0</v>
      </c>
      <c r="CK62" s="18">
        <f>IF($X62="","",AR62/$X$10)</f>
        <v>0</v>
      </c>
      <c r="CL62" s="18">
        <f>IF($X62="","",AS62/$X$10)</f>
        <v>0</v>
      </c>
      <c r="CM62" s="18">
        <f>IF($X62="","",AT62/$X$10)</f>
        <v>0</v>
      </c>
      <c r="CN62" s="18">
        <f>IF($X62="","",AU62/$X$10)</f>
        <v>0</v>
      </c>
      <c r="CO62" s="18">
        <f>IF($X62="","",AV62/$X$10)</f>
        <v>0</v>
      </c>
      <c r="CP62" s="18">
        <f>IF($X62="","",AW62/$X$10)</f>
        <v>0</v>
      </c>
      <c r="CQ62" s="18">
        <f>IF($X62="","",AX62/$X$10)</f>
        <v>0</v>
      </c>
      <c r="CR62" s="18">
        <f>IF($X62="","",AY62/$X$10)</f>
        <v>0</v>
      </c>
      <c r="CS62" s="18">
        <f>IF($X62="","",AZ62/$X$10)</f>
        <v>0</v>
      </c>
      <c r="CT62" s="18">
        <f>IF($X62="","",BA62/$X$10)</f>
        <v>0</v>
      </c>
      <c r="CU62" s="18">
        <f>IF($X62="","",BB62/$X$10)</f>
        <v>0</v>
      </c>
      <c r="CV62" s="18">
        <f>IF($X62="","",BC62/$X$10)</f>
        <v>0</v>
      </c>
      <c r="CW62" s="18">
        <f>IF($X62="","",BD62/$X$10)</f>
        <v>0</v>
      </c>
      <c r="CX62" s="18">
        <f>IF($X62="","",BE62/$X$10)</f>
        <v>0</v>
      </c>
      <c r="CY62" s="18">
        <f>IF($X62="","",BF62/$X$10)</f>
        <v>0</v>
      </c>
      <c r="CZ62" s="18">
        <f>IF($X62="","",BG62/$X$10)</f>
        <v>0</v>
      </c>
      <c r="DA62" s="18">
        <f>IF($X62="","",BH62/$X$10)</f>
        <v>0</v>
      </c>
      <c r="DB62" s="18">
        <f>IF($X62="","",BI62/$X$10)</f>
        <v>0</v>
      </c>
      <c r="DC62" s="18">
        <f>IF($X62="","",BJ62/$X$10)</f>
        <v>0</v>
      </c>
      <c r="DD62" s="18">
        <f>IF($X62="","",BK62/$X$10)</f>
        <v>0</v>
      </c>
      <c r="DE62" s="18">
        <f>IF($X62="","",BL62/$X$10)</f>
        <v>0</v>
      </c>
      <c r="DF62" s="18">
        <f>IF($X62="","",BM62/$X$10)</f>
        <v>0</v>
      </c>
      <c r="DG62" s="18">
        <f t="shared" si="3"/>
        <v>0</v>
      </c>
      <c r="DH62" s="18">
        <f>IF($X62="","",BO62/$X$10)</f>
        <v>0</v>
      </c>
      <c r="DI62" s="18">
        <f>IF($X62="","",BP62/$X$10)</f>
        <v>0</v>
      </c>
      <c r="DJ62" s="18">
        <f>IF($X62="","",BQ62/$X$10)</f>
        <v>0</v>
      </c>
      <c r="DK62" s="18">
        <f>IF($X62="","",BR62/$X$10)</f>
        <v>0</v>
      </c>
      <c r="DL62" s="18">
        <f>IF($X62="","",BS62/$X$10)</f>
        <v>0</v>
      </c>
      <c r="DM62" s="18">
        <f>IF($X62="","",BT62/$X$10)</f>
        <v>0</v>
      </c>
      <c r="DN62" s="18">
        <f t="shared" si="6"/>
        <v>0</v>
      </c>
      <c r="DO62" s="16">
        <f>IF($X62="","",SUM(Tabla152[[#This Row],[PODRIDO]],Tabla152[[#This Row],[HONGO]],Tabla152[[#This Row],[PICADO DE AVE CON PUDRICIÓN]],Tabla152[[#This Row],[FUMAGINA]])/$X$10)</f>
        <v>0</v>
      </c>
      <c r="DP62" s="16">
        <f>IF($X62="","",SUM(Tabla152[[#This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62" s="16">
        <f>IF($X62="","",SUM(Tabla152[[#This Row],[BLANDO]:[COLAPSADO]])/$X$10)</f>
        <v>0</v>
      </c>
      <c r="DR62" s="16">
        <f>IF($X62="","",SUM(Tabla152[[#This Row],[DESHIDRATADO LEVE]:[DESHIDRATADO INMADURO]])/$X$10)</f>
        <v>0</v>
      </c>
      <c r="DS62" s="18">
        <f t="shared" si="1"/>
        <v>0</v>
      </c>
      <c r="DT62" s="16">
        <f>IF($X62="","",SUM(Tabla152[[#This Row],[PRESENCIA DE LARVA]],Tabla152[[#This Row],[CHANCHITO BLANCO]])/$X$10)</f>
        <v>0</v>
      </c>
      <c r="DU62" s="18">
        <f>IF($X62="","",SUM(Tabla152[[#This Row],[ROJO GRADO 2 A MÁS]],Tabla152[[#This Row],[IMMADURO VERDE]],Tabla152[[#This Row],[DESORDEN POR MADURACIÓN]],Tabla152[[#This Row],[ARO PEDICELAR VERDE EXTREMO]])/$X$10)</f>
        <v>0</v>
      </c>
      <c r="DV62" s="16">
        <f>IF($X62="","",SUM(Tabla152[[#This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62" s="16">
        <f>IF($X62="","",BU62/$X$10)</f>
        <v>0</v>
      </c>
      <c r="DX62" s="16">
        <f>IF($X62="","",AJ62/$X$10)</f>
        <v>0</v>
      </c>
      <c r="DY62" s="16">
        <f>IF($X62="","",SUM(Tabla152[[#This Row],[PRESENCIA DE COROLA]],Tabla152[[#This Row],[PRESENCIA DE RESTO FLORAL VERDE]],Tabla152[[#This Row],[PRESENCIA DE PEDÚNCULO]])/$X$10)</f>
        <v>0</v>
      </c>
      <c r="DZ62" s="16">
        <f>IF($X62="","",SUM(Tabla152[[#This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63" spans="1:130" x14ac:dyDescent="0.3">
      <c r="A63" s="9">
        <f>IF(W63="","",IF(ROW()=10,1,IF(W63=W62,A62,MAX($A$9:A62)+1)))</f>
        <v>17</v>
      </c>
      <c r="B63" s="9">
        <f>WEEKNUM(Tabla152[[#This Row],[FECHA DE COSECHA]],21)</f>
        <v>36</v>
      </c>
      <c r="C63" s="9"/>
      <c r="D63" s="17">
        <v>46267</v>
      </c>
      <c r="E63" s="17">
        <v>46267</v>
      </c>
      <c r="F63" s="9">
        <v>1</v>
      </c>
      <c r="G63" s="9" t="s">
        <v>77</v>
      </c>
      <c r="H63" s="9" t="s">
        <v>144</v>
      </c>
      <c r="I63" s="9" t="s">
        <v>134</v>
      </c>
      <c r="J63" s="9" t="s">
        <v>78</v>
      </c>
      <c r="K63" s="9" t="s">
        <v>153</v>
      </c>
      <c r="L63" s="9" t="s">
        <v>131</v>
      </c>
      <c r="M63" s="9" t="s">
        <v>239</v>
      </c>
      <c r="N63" s="9" t="s">
        <v>151</v>
      </c>
      <c r="O63" s="9" t="s">
        <v>244</v>
      </c>
      <c r="P63" s="9" t="s">
        <v>152</v>
      </c>
      <c r="Q63" s="9"/>
      <c r="R63" s="9">
        <v>8</v>
      </c>
      <c r="S63" s="9">
        <v>74547547</v>
      </c>
      <c r="T63" t="s">
        <v>232</v>
      </c>
      <c r="U63" s="9" t="s">
        <v>147</v>
      </c>
      <c r="V63" s="9"/>
      <c r="W63" s="19" t="s">
        <v>169</v>
      </c>
      <c r="X63" s="9">
        <v>61</v>
      </c>
      <c r="Y63" s="9">
        <v>3</v>
      </c>
      <c r="Z63" s="9">
        <v>5</v>
      </c>
      <c r="AA63" s="9" t="str">
        <f>IF(Tabla152[[#This Row],[NOTA]]=15,"CUMPLE","NO CUMPLE")</f>
        <v>NO CUMPLE</v>
      </c>
      <c r="AB63" s="9" t="str">
        <f>IF(COUNTIF($A$10:A63,A63)=1,IF(COUNTIFS($A:$A,A63,$AA:$AA,"NO CUMPLE")&gt;0,"NO CUMPLE","CUMPLE"),"")</f>
        <v/>
      </c>
      <c r="AC63" s="9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7"/>
      <c r="AR63" s="7">
        <v>2</v>
      </c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18"/>
      <c r="BX63" s="18">
        <f>IF($X63="","",AE63/$X$10)</f>
        <v>0</v>
      </c>
      <c r="BY63" s="18">
        <f>IF($X63="","",AF63/$X$10)</f>
        <v>0</v>
      </c>
      <c r="BZ63" s="18">
        <f>IF($X63="","",AG63/$X$10)</f>
        <v>0</v>
      </c>
      <c r="CA63" s="18">
        <f>IF($X63="","",AH63/$X$10)</f>
        <v>0</v>
      </c>
      <c r="CB63" s="18">
        <f t="shared" si="2"/>
        <v>0</v>
      </c>
      <c r="CC63" s="18">
        <f>IF($X63="","",AJ63/$X$10)</f>
        <v>0</v>
      </c>
      <c r="CD63" s="18">
        <f>IF($X63="","",AK63/$X$10)</f>
        <v>0</v>
      </c>
      <c r="CE63" s="18">
        <f>IF($X63="","",AL63/$X$10)</f>
        <v>0</v>
      </c>
      <c r="CF63" s="18">
        <f>IF($X63="","",AM63/$X$10)</f>
        <v>0</v>
      </c>
      <c r="CG63" s="18">
        <f>IF($X63="","",AN63/$X$10)</f>
        <v>0</v>
      </c>
      <c r="CH63" s="18">
        <f>IF($X63="","",AO63/$X$10)</f>
        <v>0</v>
      </c>
      <c r="CI63" s="18">
        <f>IF($X63="","",AP63/$X$10)</f>
        <v>0</v>
      </c>
      <c r="CJ63" s="18">
        <f>IF($X63="","",AQ63/$X$10)</f>
        <v>0</v>
      </c>
      <c r="CK63" s="18">
        <f>IF($X63="","",AR63/$X$10)</f>
        <v>3.1746031746031744E-2</v>
      </c>
      <c r="CL63" s="18">
        <f>IF($X63="","",AS63/$X$10)</f>
        <v>0</v>
      </c>
      <c r="CM63" s="18">
        <f>IF($X63="","",AT63/$X$10)</f>
        <v>0</v>
      </c>
      <c r="CN63" s="18">
        <f>IF($X63="","",AU63/$X$10)</f>
        <v>0</v>
      </c>
      <c r="CO63" s="18">
        <f>IF($X63="","",AV63/$X$10)</f>
        <v>0</v>
      </c>
      <c r="CP63" s="18">
        <f>IF($X63="","",AW63/$X$10)</f>
        <v>0</v>
      </c>
      <c r="CQ63" s="18">
        <f>IF($X63="","",AX63/$X$10)</f>
        <v>0</v>
      </c>
      <c r="CR63" s="18">
        <f>IF($X63="","",AY63/$X$10)</f>
        <v>0</v>
      </c>
      <c r="CS63" s="18">
        <f>IF($X63="","",AZ63/$X$10)</f>
        <v>0</v>
      </c>
      <c r="CT63" s="18">
        <f>IF($X63="","",BA63/$X$10)</f>
        <v>0</v>
      </c>
      <c r="CU63" s="18">
        <f>IF($X63="","",BB63/$X$10)</f>
        <v>0</v>
      </c>
      <c r="CV63" s="18">
        <f>IF($X63="","",BC63/$X$10)</f>
        <v>0</v>
      </c>
      <c r="CW63" s="18">
        <f>IF($X63="","",BD63/$X$10)</f>
        <v>0</v>
      </c>
      <c r="CX63" s="18">
        <f>IF($X63="","",BE63/$X$10)</f>
        <v>0</v>
      </c>
      <c r="CY63" s="18">
        <f>IF($X63="","",BF63/$X$10)</f>
        <v>0</v>
      </c>
      <c r="CZ63" s="18">
        <f>IF($X63="","",BG63/$X$10)</f>
        <v>0</v>
      </c>
      <c r="DA63" s="18">
        <f>IF($X63="","",BH63/$X$10)</f>
        <v>0</v>
      </c>
      <c r="DB63" s="18">
        <f>IF($X63="","",BI63/$X$10)</f>
        <v>0</v>
      </c>
      <c r="DC63" s="18">
        <f>IF($X63="","",BJ63/$X$10)</f>
        <v>0</v>
      </c>
      <c r="DD63" s="18">
        <f>IF($X63="","",BK63/$X$10)</f>
        <v>0</v>
      </c>
      <c r="DE63" s="18">
        <f>IF($X63="","",BL63/$X$10)</f>
        <v>0</v>
      </c>
      <c r="DF63" s="18">
        <f>IF($X63="","",BM63/$X$10)</f>
        <v>0</v>
      </c>
      <c r="DG63" s="18">
        <f t="shared" si="3"/>
        <v>0</v>
      </c>
      <c r="DH63" s="18">
        <f>IF($X63="","",BO63/$X$10)</f>
        <v>0</v>
      </c>
      <c r="DI63" s="18">
        <f>IF($X63="","",BP63/$X$10)</f>
        <v>0</v>
      </c>
      <c r="DJ63" s="18">
        <f>IF($X63="","",BQ63/$X$10)</f>
        <v>0</v>
      </c>
      <c r="DK63" s="18">
        <f>IF($X63="","",BR63/$X$10)</f>
        <v>0</v>
      </c>
      <c r="DL63" s="18">
        <f>IF($X63="","",BS63/$X$10)</f>
        <v>0</v>
      </c>
      <c r="DM63" s="18">
        <f>IF($X63="","",BT63/$X$10)</f>
        <v>0</v>
      </c>
      <c r="DN63" s="18">
        <f t="shared" si="6"/>
        <v>0</v>
      </c>
      <c r="DO63" s="16">
        <f>IF($X63="","",SUM(Tabla152[[#This Row],[PODRIDO]],Tabla152[[#This Row],[HONGO]],Tabla152[[#This Row],[PICADO DE AVE CON PUDRICIÓN]],Tabla152[[#This Row],[FUMAGINA]])/$X$10)</f>
        <v>0</v>
      </c>
      <c r="DP63" s="16">
        <f>IF($X63="","",SUM(Tabla152[[#This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63" s="16">
        <f>IF($X63="","",SUM(Tabla152[[#This Row],[BLANDO]:[COLAPSADO]])/$X$10)</f>
        <v>0</v>
      </c>
      <c r="DR63" s="16">
        <f>IF($X63="","",SUM(Tabla152[[#This Row],[DESHIDRATADO LEVE]:[DESHIDRATADO INMADURO]])/$X$10)</f>
        <v>3.1746031746031744E-2</v>
      </c>
      <c r="DS63" s="18">
        <f t="shared" si="1"/>
        <v>0</v>
      </c>
      <c r="DT63" s="16">
        <f>IF($X63="","",SUM(Tabla152[[#This Row],[PRESENCIA DE LARVA]],Tabla152[[#This Row],[CHANCHITO BLANCO]])/$X$10)</f>
        <v>0</v>
      </c>
      <c r="DU63" s="18">
        <f>IF($X63="","",SUM(Tabla152[[#This Row],[ROJO GRADO 2 A MÁS]],Tabla152[[#This Row],[IMMADURO VERDE]],Tabla152[[#This Row],[DESORDEN POR MADURACIÓN]],Tabla152[[#This Row],[ARO PEDICELAR VERDE EXTREMO]])/$X$10)</f>
        <v>0</v>
      </c>
      <c r="DV63" s="16">
        <f>IF($X63="","",SUM(Tabla152[[#This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63" s="16">
        <f>IF($X63="","",BU63/$X$10)</f>
        <v>0</v>
      </c>
      <c r="DX63" s="16">
        <f>IF($X63="","",AJ63/$X$10)</f>
        <v>0</v>
      </c>
      <c r="DY63" s="16">
        <f>IF($X63="","",SUM(Tabla152[[#This Row],[PRESENCIA DE COROLA]],Tabla152[[#This Row],[PRESENCIA DE RESTO FLORAL VERDE]],Tabla152[[#This Row],[PRESENCIA DE PEDÚNCULO]])/$X$10)</f>
        <v>0</v>
      </c>
      <c r="DZ63" s="16">
        <f>IF($X63="","",SUM(Tabla152[[#This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64" spans="1:130" x14ac:dyDescent="0.3">
      <c r="A64" s="9">
        <f>IF(W64="","",IF(ROW()=10,1,IF(W64=W63,A63,MAX($A$9:A63)+1)))</f>
        <v>18</v>
      </c>
      <c r="B64" s="9">
        <f>WEEKNUM(Tabla152[[#This Row],[FECHA DE COSECHA]],21)</f>
        <v>36</v>
      </c>
      <c r="C64" s="9"/>
      <c r="D64" s="17">
        <v>46267</v>
      </c>
      <c r="E64" s="17">
        <v>46267</v>
      </c>
      <c r="F64" s="9">
        <v>1</v>
      </c>
      <c r="G64" s="9" t="s">
        <v>77</v>
      </c>
      <c r="H64" s="9" t="s">
        <v>144</v>
      </c>
      <c r="I64" s="9" t="s">
        <v>134</v>
      </c>
      <c r="J64" s="9" t="s">
        <v>78</v>
      </c>
      <c r="K64" s="9" t="s">
        <v>153</v>
      </c>
      <c r="L64" s="9" t="s">
        <v>131</v>
      </c>
      <c r="M64" s="9" t="s">
        <v>239</v>
      </c>
      <c r="N64" s="9" t="s">
        <v>151</v>
      </c>
      <c r="O64" s="9" t="s">
        <v>244</v>
      </c>
      <c r="P64" s="9" t="s">
        <v>152</v>
      </c>
      <c r="Q64" s="9"/>
      <c r="R64" s="9">
        <v>8</v>
      </c>
      <c r="S64" s="9">
        <v>74547547</v>
      </c>
      <c r="T64" t="s">
        <v>232</v>
      </c>
      <c r="U64" s="9" t="s">
        <v>147</v>
      </c>
      <c r="V64" s="9"/>
      <c r="W64" s="19" t="s">
        <v>170</v>
      </c>
      <c r="X64" s="9">
        <v>61</v>
      </c>
      <c r="Y64" s="9">
        <v>1</v>
      </c>
      <c r="Z64" s="9">
        <v>5</v>
      </c>
      <c r="AA64" s="9" t="str">
        <f>IF(Tabla152[[#This Row],[NOTA]]=15,"CUMPLE","NO CUMPLE")</f>
        <v>NO CUMPLE</v>
      </c>
      <c r="AB64" s="9" t="str">
        <f>IF(COUNTIF($A$10:A64,A64)=1,IF(COUNTIFS($A:$A,A64,$AA:$AA,"NO CUMPLE")&gt;0,"NO CUMPLE","CUMPLE"),"")</f>
        <v>NO CUMPLE</v>
      </c>
      <c r="AC64" s="9" t="s">
        <v>140</v>
      </c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7"/>
      <c r="AR64" s="7"/>
      <c r="AS64" s="7"/>
      <c r="AT64" s="7">
        <v>2</v>
      </c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18"/>
      <c r="BX64" s="18">
        <f>IF($X64="","",AE64/$X$10)</f>
        <v>0</v>
      </c>
      <c r="BY64" s="18">
        <f>IF($X64="","",AF64/$X$10)</f>
        <v>0</v>
      </c>
      <c r="BZ64" s="18">
        <f>IF($X64="","",AG64/$X$10)</f>
        <v>0</v>
      </c>
      <c r="CA64" s="18">
        <f>IF($X64="","",AH64/$X$10)</f>
        <v>0</v>
      </c>
      <c r="CB64" s="18">
        <f t="shared" si="2"/>
        <v>0</v>
      </c>
      <c r="CC64" s="18">
        <f>IF($X64="","",AJ64/$X$10)</f>
        <v>0</v>
      </c>
      <c r="CD64" s="18">
        <f>IF($X64="","",AK64/$X$10)</f>
        <v>0</v>
      </c>
      <c r="CE64" s="18">
        <f>IF($X64="","",AL64/$X$10)</f>
        <v>0</v>
      </c>
      <c r="CF64" s="18">
        <f>IF($X64="","",AM64/$X$10)</f>
        <v>0</v>
      </c>
      <c r="CG64" s="18">
        <f>IF($X64="","",AN64/$X$10)</f>
        <v>0</v>
      </c>
      <c r="CH64" s="18">
        <f>IF($X64="","",AO64/$X$10)</f>
        <v>0</v>
      </c>
      <c r="CI64" s="18">
        <f>IF($X64="","",AP64/$X$10)</f>
        <v>0</v>
      </c>
      <c r="CJ64" s="18">
        <f>IF($X64="","",AQ64/$X$10)</f>
        <v>0</v>
      </c>
      <c r="CK64" s="18">
        <f>IF($X64="","",AR64/$X$10)</f>
        <v>0</v>
      </c>
      <c r="CL64" s="18">
        <f>IF($X64="","",AS64/$X$10)</f>
        <v>0</v>
      </c>
      <c r="CM64" s="18">
        <f>IF($X64="","",AT64/$X$10)</f>
        <v>3.1746031746031744E-2</v>
      </c>
      <c r="CN64" s="18">
        <f>IF($X64="","",AU64/$X$10)</f>
        <v>0</v>
      </c>
      <c r="CO64" s="18">
        <f>IF($X64="","",AV64/$X$10)</f>
        <v>0</v>
      </c>
      <c r="CP64" s="18">
        <f>IF($X64="","",AW64/$X$10)</f>
        <v>0</v>
      </c>
      <c r="CQ64" s="18">
        <f>IF($X64="","",AX64/$X$10)</f>
        <v>0</v>
      </c>
      <c r="CR64" s="18">
        <f>IF($X64="","",AY64/$X$10)</f>
        <v>0</v>
      </c>
      <c r="CS64" s="18">
        <f>IF($X64="","",AZ64/$X$10)</f>
        <v>0</v>
      </c>
      <c r="CT64" s="18">
        <f>IF($X64="","",BA64/$X$10)</f>
        <v>0</v>
      </c>
      <c r="CU64" s="18">
        <f>IF($X64="","",BB64/$X$10)</f>
        <v>0</v>
      </c>
      <c r="CV64" s="18">
        <f>IF($X64="","",BC64/$X$10)</f>
        <v>0</v>
      </c>
      <c r="CW64" s="18">
        <f>IF($X64="","",BD64/$X$10)</f>
        <v>0</v>
      </c>
      <c r="CX64" s="18">
        <f>IF($X64="","",BE64/$X$10)</f>
        <v>0</v>
      </c>
      <c r="CY64" s="18">
        <f>IF($X64="","",BF64/$X$10)</f>
        <v>0</v>
      </c>
      <c r="CZ64" s="18">
        <f>IF($X64="","",BG64/$X$10)</f>
        <v>0</v>
      </c>
      <c r="DA64" s="18">
        <f>IF($X64="","",BH64/$X$10)</f>
        <v>0</v>
      </c>
      <c r="DB64" s="18">
        <f>IF($X64="","",BI64/$X$10)</f>
        <v>0</v>
      </c>
      <c r="DC64" s="18">
        <f>IF($X64="","",BJ64/$X$10)</f>
        <v>0</v>
      </c>
      <c r="DD64" s="18">
        <f>IF($X64="","",BK64/$X$10)</f>
        <v>0</v>
      </c>
      <c r="DE64" s="18">
        <f>IF($X64="","",BL64/$X$10)</f>
        <v>0</v>
      </c>
      <c r="DF64" s="18">
        <f>IF($X64="","",BM64/$X$10)</f>
        <v>0</v>
      </c>
      <c r="DG64" s="18">
        <f t="shared" si="3"/>
        <v>0</v>
      </c>
      <c r="DH64" s="18">
        <f>IF($X64="","",BO64/$X$10)</f>
        <v>0</v>
      </c>
      <c r="DI64" s="18">
        <f>IF($X64="","",BP64/$X$10)</f>
        <v>0</v>
      </c>
      <c r="DJ64" s="18">
        <f>IF($X64="","",BQ64/$X$10)</f>
        <v>0</v>
      </c>
      <c r="DK64" s="18">
        <f>IF($X64="","",BR64/$X$10)</f>
        <v>0</v>
      </c>
      <c r="DL64" s="18">
        <f>IF($X64="","",BS64/$X$10)</f>
        <v>0</v>
      </c>
      <c r="DM64" s="18">
        <f>IF($X64="","",BT64/$X$10)</f>
        <v>0</v>
      </c>
      <c r="DN64" s="18">
        <f t="shared" si="6"/>
        <v>0</v>
      </c>
      <c r="DO64" s="16">
        <f>IF($X64="","",SUM(Tabla152[[#This Row],[PODRIDO]],Tabla152[[#This Row],[HONGO]],Tabla152[[#This Row],[PICADO DE AVE CON PUDRICIÓN]],Tabla152[[#This Row],[FUMAGINA]])/$X$10)</f>
        <v>0</v>
      </c>
      <c r="DP64" s="16">
        <f>IF($X64="","",SUM(Tabla152[[#This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64" s="16">
        <f>IF($X64="","",SUM(Tabla152[[#This Row],[BLANDO]:[COLAPSADO]])/$X$10)</f>
        <v>0</v>
      </c>
      <c r="DR64" s="16">
        <f>IF($X64="","",SUM(Tabla152[[#This Row],[DESHIDRATADO LEVE]:[DESHIDRATADO INMADURO]])/$X$10)</f>
        <v>0</v>
      </c>
      <c r="DS64" s="18">
        <f t="shared" si="1"/>
        <v>0</v>
      </c>
      <c r="DT64" s="16">
        <f>IF($X64="","",SUM(Tabla152[[#This Row],[PRESENCIA DE LARVA]],Tabla152[[#This Row],[CHANCHITO BLANCO]])/$X$10)</f>
        <v>0</v>
      </c>
      <c r="DU64" s="18">
        <f>IF($X64="","",SUM(Tabla152[[#This Row],[ROJO GRADO 2 A MÁS]],Tabla152[[#This Row],[IMMADURO VERDE]],Tabla152[[#This Row],[DESORDEN POR MADURACIÓN]],Tabla152[[#This Row],[ARO PEDICELAR VERDE EXTREMO]])/$X$10)</f>
        <v>0</v>
      </c>
      <c r="DV64" s="16">
        <f>IF($X64="","",SUM(Tabla152[[#This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64" s="16">
        <f>IF($X64="","",BU64/$X$10)</f>
        <v>0</v>
      </c>
      <c r="DX64" s="16">
        <f>IF($X64="","",AJ64/$X$10)</f>
        <v>0</v>
      </c>
      <c r="DY64" s="16">
        <f>IF($X64="","",SUM(Tabla152[[#This Row],[PRESENCIA DE COROLA]],Tabla152[[#This Row],[PRESENCIA DE RESTO FLORAL VERDE]],Tabla152[[#This Row],[PRESENCIA DE PEDÚNCULO]])/$X$10)</f>
        <v>0</v>
      </c>
      <c r="DZ64" s="16">
        <f>IF($X64="","",SUM(Tabla152[[#This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65" spans="1:130" x14ac:dyDescent="0.3">
      <c r="A65" s="9">
        <f>IF(W65="","",IF(ROW()=10,1,IF(W65=W64,A64,MAX($A$9:A64)+1)))</f>
        <v>18</v>
      </c>
      <c r="B65" s="9">
        <f>WEEKNUM(Tabla152[[#This Row],[FECHA DE COSECHA]],21)</f>
        <v>36</v>
      </c>
      <c r="C65" s="9"/>
      <c r="D65" s="17">
        <v>46267</v>
      </c>
      <c r="E65" s="17">
        <v>46267</v>
      </c>
      <c r="F65" s="9">
        <v>1</v>
      </c>
      <c r="G65" s="9" t="s">
        <v>77</v>
      </c>
      <c r="H65" s="9" t="s">
        <v>144</v>
      </c>
      <c r="I65" s="9" t="s">
        <v>134</v>
      </c>
      <c r="J65" s="9" t="s">
        <v>78</v>
      </c>
      <c r="K65" s="9" t="s">
        <v>153</v>
      </c>
      <c r="L65" s="9" t="s">
        <v>131</v>
      </c>
      <c r="M65" s="9" t="s">
        <v>239</v>
      </c>
      <c r="N65" s="9" t="s">
        <v>151</v>
      </c>
      <c r="O65" s="9" t="s">
        <v>244</v>
      </c>
      <c r="P65" s="9" t="s">
        <v>152</v>
      </c>
      <c r="Q65" s="9"/>
      <c r="R65" s="9">
        <v>8</v>
      </c>
      <c r="S65" s="9">
        <v>74547547</v>
      </c>
      <c r="T65" t="s">
        <v>232</v>
      </c>
      <c r="U65" s="9" t="s">
        <v>147</v>
      </c>
      <c r="V65" s="9"/>
      <c r="W65" s="19" t="s">
        <v>170</v>
      </c>
      <c r="X65" s="9">
        <v>61</v>
      </c>
      <c r="Y65" s="9">
        <v>2</v>
      </c>
      <c r="Z65" s="9">
        <v>5</v>
      </c>
      <c r="AA65" s="9" t="str">
        <f>IF(Tabla152[[#This Row],[NOTA]]=15,"CUMPLE","NO CUMPLE")</f>
        <v>NO CUMPLE</v>
      </c>
      <c r="AB65" s="9" t="str">
        <f>IF(COUNTIF($A$10:A65,A65)=1,IF(COUNTIFS($A:$A,A65,$AA:$AA,"NO CUMPLE")&gt;0,"NO CUMPLE","CUMPLE"),"")</f>
        <v/>
      </c>
      <c r="AC65" s="9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7"/>
      <c r="AR65" s="7"/>
      <c r="AS65" s="7"/>
      <c r="AT65" s="7">
        <v>1</v>
      </c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18"/>
      <c r="BX65" s="18">
        <f>IF($X65="","",AE65/$X$10)</f>
        <v>0</v>
      </c>
      <c r="BY65" s="18">
        <f>IF($X65="","",AF65/$X$10)</f>
        <v>0</v>
      </c>
      <c r="BZ65" s="18">
        <f>IF($X65="","",AG65/$X$10)</f>
        <v>0</v>
      </c>
      <c r="CA65" s="18">
        <f>IF($X65="","",AH65/$X$10)</f>
        <v>0</v>
      </c>
      <c r="CB65" s="18">
        <f t="shared" si="2"/>
        <v>0</v>
      </c>
      <c r="CC65" s="18">
        <f>IF($X65="","",AJ65/$X$10)</f>
        <v>0</v>
      </c>
      <c r="CD65" s="18">
        <f>IF($X65="","",AK65/$X$10)</f>
        <v>0</v>
      </c>
      <c r="CE65" s="18">
        <f>IF($X65="","",AL65/$X$10)</f>
        <v>0</v>
      </c>
      <c r="CF65" s="18">
        <f>IF($X65="","",AM65/$X$10)</f>
        <v>0</v>
      </c>
      <c r="CG65" s="18">
        <f>IF($X65="","",AN65/$X$10)</f>
        <v>0</v>
      </c>
      <c r="CH65" s="18">
        <f>IF($X65="","",AO65/$X$10)</f>
        <v>0</v>
      </c>
      <c r="CI65" s="18">
        <f>IF($X65="","",AP65/$X$10)</f>
        <v>0</v>
      </c>
      <c r="CJ65" s="18">
        <f>IF($X65="","",AQ65/$X$10)</f>
        <v>0</v>
      </c>
      <c r="CK65" s="18">
        <f>IF($X65="","",AR65/$X$10)</f>
        <v>0</v>
      </c>
      <c r="CL65" s="18">
        <f>IF($X65="","",AS65/$X$10)</f>
        <v>0</v>
      </c>
      <c r="CM65" s="18">
        <f>IF($X65="","",AT65/$X$10)</f>
        <v>1.5873015873015872E-2</v>
      </c>
      <c r="CN65" s="18">
        <f>IF($X65="","",AU65/$X$10)</f>
        <v>0</v>
      </c>
      <c r="CO65" s="18">
        <f>IF($X65="","",AV65/$X$10)</f>
        <v>0</v>
      </c>
      <c r="CP65" s="18">
        <f>IF($X65="","",AW65/$X$10)</f>
        <v>0</v>
      </c>
      <c r="CQ65" s="18">
        <f>IF($X65="","",AX65/$X$10)</f>
        <v>0</v>
      </c>
      <c r="CR65" s="18">
        <f>IF($X65="","",AY65/$X$10)</f>
        <v>0</v>
      </c>
      <c r="CS65" s="18">
        <f>IF($X65="","",AZ65/$X$10)</f>
        <v>0</v>
      </c>
      <c r="CT65" s="18">
        <f>IF($X65="","",BA65/$X$10)</f>
        <v>0</v>
      </c>
      <c r="CU65" s="18">
        <f>IF($X65="","",BB65/$X$10)</f>
        <v>0</v>
      </c>
      <c r="CV65" s="18">
        <f>IF($X65="","",BC65/$X$10)</f>
        <v>0</v>
      </c>
      <c r="CW65" s="18">
        <f>IF($X65="","",BD65/$X$10)</f>
        <v>0</v>
      </c>
      <c r="CX65" s="18">
        <f>IF($X65="","",BE65/$X$10)</f>
        <v>0</v>
      </c>
      <c r="CY65" s="18">
        <f>IF($X65="","",BF65/$X$10)</f>
        <v>0</v>
      </c>
      <c r="CZ65" s="18">
        <f>IF($X65="","",BG65/$X$10)</f>
        <v>0</v>
      </c>
      <c r="DA65" s="18">
        <f>IF($X65="","",BH65/$X$10)</f>
        <v>0</v>
      </c>
      <c r="DB65" s="18">
        <f>IF($X65="","",BI65/$X$10)</f>
        <v>0</v>
      </c>
      <c r="DC65" s="18">
        <f>IF($X65="","",BJ65/$X$10)</f>
        <v>0</v>
      </c>
      <c r="DD65" s="18">
        <f>IF($X65="","",BK65/$X$10)</f>
        <v>0</v>
      </c>
      <c r="DE65" s="18">
        <f>IF($X65="","",BL65/$X$10)</f>
        <v>0</v>
      </c>
      <c r="DF65" s="18">
        <f>IF($X65="","",BM65/$X$10)</f>
        <v>0</v>
      </c>
      <c r="DG65" s="18">
        <f t="shared" si="3"/>
        <v>0</v>
      </c>
      <c r="DH65" s="18">
        <f>IF($X65="","",BO65/$X$10)</f>
        <v>0</v>
      </c>
      <c r="DI65" s="18">
        <f>IF($X65="","",BP65/$X$10)</f>
        <v>0</v>
      </c>
      <c r="DJ65" s="18">
        <f>IF($X65="","",BQ65/$X$10)</f>
        <v>0</v>
      </c>
      <c r="DK65" s="18">
        <f>IF($X65="","",BR65/$X$10)</f>
        <v>0</v>
      </c>
      <c r="DL65" s="18">
        <f>IF($X65="","",BS65/$X$10)</f>
        <v>0</v>
      </c>
      <c r="DM65" s="18">
        <f>IF($X65="","",BT65/$X$10)</f>
        <v>0</v>
      </c>
      <c r="DN65" s="18">
        <f t="shared" si="6"/>
        <v>0</v>
      </c>
      <c r="DO65" s="16">
        <f>IF($X65="","",SUM(Tabla152[[#This Row],[PODRIDO]],Tabla152[[#This Row],[HONGO]],Tabla152[[#This Row],[PICADO DE AVE CON PUDRICIÓN]],Tabla152[[#This Row],[FUMAGINA]])/$X$10)</f>
        <v>0</v>
      </c>
      <c r="DP65" s="16">
        <f>IF($X65="","",SUM(Tabla152[[#This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1.5873015873015872E-2</v>
      </c>
      <c r="DQ65" s="16">
        <f>IF($X65="","",SUM(Tabla152[[#This Row],[BLANDO]:[COLAPSADO]])/$X$10)</f>
        <v>0</v>
      </c>
      <c r="DR65" s="16">
        <f>IF($X65="","",SUM(Tabla152[[#This Row],[DESHIDRATADO LEVE]:[DESHIDRATADO INMADURO]])/$X$10)</f>
        <v>0</v>
      </c>
      <c r="DS65" s="18">
        <f t="shared" si="1"/>
        <v>0</v>
      </c>
      <c r="DT65" s="16">
        <f>IF($X65="","",SUM(Tabla152[[#This Row],[PRESENCIA DE LARVA]],Tabla152[[#This Row],[CHANCHITO BLANCO]])/$X$10)</f>
        <v>0</v>
      </c>
      <c r="DU65" s="18">
        <f>IF($X65="","",SUM(Tabla152[[#This Row],[ROJO GRADO 2 A MÁS]],Tabla152[[#This Row],[IMMADURO VERDE]],Tabla152[[#This Row],[DESORDEN POR MADURACIÓN]],Tabla152[[#This Row],[ARO PEDICELAR VERDE EXTREMO]])/$X$10)</f>
        <v>0</v>
      </c>
      <c r="DV65" s="16">
        <f>IF($X65="","",SUM(Tabla152[[#This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65" s="16">
        <f>IF($X65="","",BU65/$X$10)</f>
        <v>0</v>
      </c>
      <c r="DX65" s="16">
        <f>IF($X65="","",AJ65/$X$10)</f>
        <v>0</v>
      </c>
      <c r="DY65" s="16">
        <f>IF($X65="","",SUM(Tabla152[[#This Row],[PRESENCIA DE COROLA]],Tabla152[[#This Row],[PRESENCIA DE RESTO FLORAL VERDE]],Tabla152[[#This Row],[PRESENCIA DE PEDÚNCULO]])/$X$10)</f>
        <v>0</v>
      </c>
      <c r="DZ65" s="16">
        <f>IF($X65="","",SUM(Tabla152[[#This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66" spans="1:130" x14ac:dyDescent="0.3">
      <c r="A66" s="9">
        <f>IF(W66="","",IF(ROW()=10,1,IF(W66=W65,A65,MAX($A$9:A65)+1)))</f>
        <v>18</v>
      </c>
      <c r="B66" s="9">
        <f>WEEKNUM(Tabla152[[#This Row],[FECHA DE COSECHA]],21)</f>
        <v>36</v>
      </c>
      <c r="C66" s="9"/>
      <c r="D66" s="17">
        <v>46267</v>
      </c>
      <c r="E66" s="17">
        <v>46267</v>
      </c>
      <c r="F66" s="9">
        <v>1</v>
      </c>
      <c r="G66" s="9" t="s">
        <v>77</v>
      </c>
      <c r="H66" s="9" t="s">
        <v>144</v>
      </c>
      <c r="I66" s="9" t="s">
        <v>134</v>
      </c>
      <c r="J66" s="9" t="s">
        <v>78</v>
      </c>
      <c r="K66" s="9" t="s">
        <v>153</v>
      </c>
      <c r="L66" s="9" t="s">
        <v>131</v>
      </c>
      <c r="M66" s="9" t="s">
        <v>239</v>
      </c>
      <c r="N66" s="9" t="s">
        <v>151</v>
      </c>
      <c r="O66" s="9" t="s">
        <v>244</v>
      </c>
      <c r="P66" s="9" t="s">
        <v>152</v>
      </c>
      <c r="Q66" s="9"/>
      <c r="R66" s="9">
        <v>8</v>
      </c>
      <c r="S66" s="9">
        <v>74547547</v>
      </c>
      <c r="T66" t="s">
        <v>232</v>
      </c>
      <c r="U66" s="9" t="s">
        <v>147</v>
      </c>
      <c r="V66" s="9"/>
      <c r="W66" s="19" t="s">
        <v>170</v>
      </c>
      <c r="X66" s="9">
        <v>61</v>
      </c>
      <c r="Y66" s="9">
        <v>3</v>
      </c>
      <c r="Z66" s="9">
        <v>5</v>
      </c>
      <c r="AA66" s="9" t="str">
        <f>IF(Tabla152[[#This Row],[NOTA]]=15,"CUMPLE","NO CUMPLE")</f>
        <v>NO CUMPLE</v>
      </c>
      <c r="AB66" s="9" t="str">
        <f>IF(COUNTIF($A$10:A66,A66)=1,IF(COUNTIFS($A:$A,A66,$AA:$AA,"NO CUMPLE")&gt;0,"NO CUMPLE","CUMPLE"),"")</f>
        <v/>
      </c>
      <c r="AC66" s="9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7"/>
      <c r="AR66" s="7"/>
      <c r="AS66" s="7"/>
      <c r="AT66" s="7">
        <v>2</v>
      </c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18"/>
      <c r="BX66" s="18">
        <f>IF($X66="","",AE66/$X$10)</f>
        <v>0</v>
      </c>
      <c r="BY66" s="18">
        <f>IF($X66="","",AF66/$X$10)</f>
        <v>0</v>
      </c>
      <c r="BZ66" s="18">
        <f>IF($X66="","",AG66/$X$10)</f>
        <v>0</v>
      </c>
      <c r="CA66" s="18">
        <f>IF($X66="","",AH66/$X$10)</f>
        <v>0</v>
      </c>
      <c r="CB66" s="18">
        <f t="shared" si="2"/>
        <v>0</v>
      </c>
      <c r="CC66" s="18">
        <f>IF($X66="","",AJ66/$X$10)</f>
        <v>0</v>
      </c>
      <c r="CD66" s="18">
        <f>IF($X66="","",AK66/$X$10)</f>
        <v>0</v>
      </c>
      <c r="CE66" s="18">
        <f>IF($X66="","",AL66/$X$10)</f>
        <v>0</v>
      </c>
      <c r="CF66" s="18">
        <f>IF($X66="","",AM66/$X$10)</f>
        <v>0</v>
      </c>
      <c r="CG66" s="18">
        <f>IF($X66="","",AN66/$X$10)</f>
        <v>0</v>
      </c>
      <c r="CH66" s="18">
        <f>IF($X66="","",AO66/$X$10)</f>
        <v>0</v>
      </c>
      <c r="CI66" s="18">
        <f>IF($X66="","",AP66/$X$10)</f>
        <v>0</v>
      </c>
      <c r="CJ66" s="18">
        <f>IF($X66="","",AQ66/$X$10)</f>
        <v>0</v>
      </c>
      <c r="CK66" s="18">
        <f>IF($X66="","",AR66/$X$10)</f>
        <v>0</v>
      </c>
      <c r="CL66" s="18">
        <f>IF($X66="","",AS66/$X$10)</f>
        <v>0</v>
      </c>
      <c r="CM66" s="18">
        <f>IF($X66="","",AT66/$X$10)</f>
        <v>3.1746031746031744E-2</v>
      </c>
      <c r="CN66" s="18">
        <f>IF($X66="","",AU66/$X$10)</f>
        <v>0</v>
      </c>
      <c r="CO66" s="18">
        <f>IF($X66="","",AV66/$X$10)</f>
        <v>0</v>
      </c>
      <c r="CP66" s="18">
        <f>IF($X66="","",AW66/$X$10)</f>
        <v>0</v>
      </c>
      <c r="CQ66" s="18">
        <f>IF($X66="","",AX66/$X$10)</f>
        <v>0</v>
      </c>
      <c r="CR66" s="18">
        <f>IF($X66="","",AY66/$X$10)</f>
        <v>0</v>
      </c>
      <c r="CS66" s="18">
        <f>IF($X66="","",AZ66/$X$10)</f>
        <v>0</v>
      </c>
      <c r="CT66" s="18">
        <f>IF($X66="","",BA66/$X$10)</f>
        <v>0</v>
      </c>
      <c r="CU66" s="18">
        <f>IF($X66="","",BB66/$X$10)</f>
        <v>0</v>
      </c>
      <c r="CV66" s="18">
        <f>IF($X66="","",BC66/$X$10)</f>
        <v>0</v>
      </c>
      <c r="CW66" s="18">
        <f>IF($X66="","",BD66/$X$10)</f>
        <v>0</v>
      </c>
      <c r="CX66" s="18">
        <f>IF($X66="","",BE66/$X$10)</f>
        <v>0</v>
      </c>
      <c r="CY66" s="18">
        <f>IF($X66="","",BF66/$X$10)</f>
        <v>0</v>
      </c>
      <c r="CZ66" s="18">
        <f>IF($X66="","",BG66/$X$10)</f>
        <v>0</v>
      </c>
      <c r="DA66" s="18">
        <f>IF($X66="","",BH66/$X$10)</f>
        <v>0</v>
      </c>
      <c r="DB66" s="18">
        <f>IF($X66="","",BI66/$X$10)</f>
        <v>0</v>
      </c>
      <c r="DC66" s="18">
        <f>IF($X66="","",BJ66/$X$10)</f>
        <v>0</v>
      </c>
      <c r="DD66" s="18">
        <f>IF($X66="","",BK66/$X$10)</f>
        <v>0</v>
      </c>
      <c r="DE66" s="18">
        <f>IF($X66="","",BL66/$X$10)</f>
        <v>0</v>
      </c>
      <c r="DF66" s="18">
        <f>IF($X66="","",BM66/$X$10)</f>
        <v>0</v>
      </c>
      <c r="DG66" s="18">
        <f t="shared" si="3"/>
        <v>0</v>
      </c>
      <c r="DH66" s="18">
        <f>IF($X66="","",BO66/$X$10)</f>
        <v>0</v>
      </c>
      <c r="DI66" s="18">
        <f>IF($X66="","",BP66/$X$10)</f>
        <v>0</v>
      </c>
      <c r="DJ66" s="18">
        <f>IF($X66="","",BQ66/$X$10)</f>
        <v>0</v>
      </c>
      <c r="DK66" s="18">
        <f>IF($X66="","",BR66/$X$10)</f>
        <v>0</v>
      </c>
      <c r="DL66" s="18">
        <f>IF($X66="","",BS66/$X$10)</f>
        <v>0</v>
      </c>
      <c r="DM66" s="18">
        <f>IF($X66="","",BT66/$X$10)</f>
        <v>0</v>
      </c>
      <c r="DN66" s="18">
        <f t="shared" si="6"/>
        <v>0</v>
      </c>
      <c r="DO66" s="16">
        <f>IF($X66="","",SUM(Tabla152[[#This Row],[PODRIDO]],Tabla152[[#This Row],[HONGO]],Tabla152[[#This Row],[PICADO DE AVE CON PUDRICIÓN]],Tabla152[[#This Row],[FUMAGINA]])/$X$10)</f>
        <v>0</v>
      </c>
      <c r="DP66" s="16">
        <f>IF($X66="","",SUM(Tabla152[[#This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66" s="16">
        <f>IF($X66="","",SUM(Tabla152[[#This Row],[BLANDO]:[COLAPSADO]])/$X$10)</f>
        <v>0</v>
      </c>
      <c r="DR66" s="16">
        <f>IF($X66="","",SUM(Tabla152[[#This Row],[DESHIDRATADO LEVE]:[DESHIDRATADO INMADURO]])/$X$10)</f>
        <v>0</v>
      </c>
      <c r="DS66" s="18">
        <f t="shared" si="1"/>
        <v>0</v>
      </c>
      <c r="DT66" s="16">
        <f>IF($X66="","",SUM(Tabla152[[#This Row],[PRESENCIA DE LARVA]],Tabla152[[#This Row],[CHANCHITO BLANCO]])/$X$10)</f>
        <v>0</v>
      </c>
      <c r="DU66" s="18">
        <f>IF($X66="","",SUM(Tabla152[[#This Row],[ROJO GRADO 2 A MÁS]],Tabla152[[#This Row],[IMMADURO VERDE]],Tabla152[[#This Row],[DESORDEN POR MADURACIÓN]],Tabla152[[#This Row],[ARO PEDICELAR VERDE EXTREMO]])/$X$10)</f>
        <v>0</v>
      </c>
      <c r="DV66" s="16">
        <f>IF($X66="","",SUM(Tabla152[[#This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66" s="16">
        <f>IF($X66="","",BU66/$X$10)</f>
        <v>0</v>
      </c>
      <c r="DX66" s="16">
        <f>IF($X66="","",AJ66/$X$10)</f>
        <v>0</v>
      </c>
      <c r="DY66" s="16">
        <f>IF($X66="","",SUM(Tabla152[[#This Row],[PRESENCIA DE COROLA]],Tabla152[[#This Row],[PRESENCIA DE RESTO FLORAL VERDE]],Tabla152[[#This Row],[PRESENCIA DE PEDÚNCULO]])/$X$10)</f>
        <v>0</v>
      </c>
      <c r="DZ66" s="16">
        <f>IF($X66="","",SUM(Tabla152[[#This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67" spans="1:130" x14ac:dyDescent="0.3">
      <c r="A67" s="9">
        <f>IF(W67="","",IF(ROW()=10,1,IF(W67=W66,A66,MAX($A$9:A66)+1)))</f>
        <v>19</v>
      </c>
      <c r="B67" s="9">
        <f>WEEKNUM(Tabla152[[#This Row],[FECHA DE COSECHA]],21)</f>
        <v>36</v>
      </c>
      <c r="C67" s="9"/>
      <c r="D67" s="17">
        <v>46267</v>
      </c>
      <c r="E67" s="17">
        <v>46267</v>
      </c>
      <c r="F67" s="9">
        <v>1</v>
      </c>
      <c r="G67" s="9" t="s">
        <v>77</v>
      </c>
      <c r="H67" s="9" t="s">
        <v>144</v>
      </c>
      <c r="I67" s="9" t="s">
        <v>134</v>
      </c>
      <c r="J67" s="9" t="s">
        <v>78</v>
      </c>
      <c r="K67" s="9" t="s">
        <v>153</v>
      </c>
      <c r="L67" s="9" t="s">
        <v>131</v>
      </c>
      <c r="M67" s="9" t="s">
        <v>239</v>
      </c>
      <c r="N67" s="9" t="s">
        <v>151</v>
      </c>
      <c r="O67" s="9" t="s">
        <v>244</v>
      </c>
      <c r="P67" s="9" t="s">
        <v>152</v>
      </c>
      <c r="Q67" s="9"/>
      <c r="R67" s="9">
        <v>8</v>
      </c>
      <c r="S67" s="9">
        <v>74547547</v>
      </c>
      <c r="T67" t="s">
        <v>232</v>
      </c>
      <c r="U67" s="9" t="s">
        <v>147</v>
      </c>
      <c r="V67" s="9"/>
      <c r="W67" s="19" t="s">
        <v>171</v>
      </c>
      <c r="X67" s="9">
        <v>61</v>
      </c>
      <c r="Y67" s="9">
        <v>1</v>
      </c>
      <c r="Z67" s="9">
        <v>15</v>
      </c>
      <c r="AA67" s="9" t="str">
        <f>IF(Tabla152[[#This Row],[NOTA]]=15,"CUMPLE","NO CUMPLE")</f>
        <v>CUMPLE</v>
      </c>
      <c r="AB67" s="9" t="str">
        <f>IF(COUNTIF($A$10:A67,A67)=1,IF(COUNTIFS($A:$A,A67,$AA:$AA,"NO CUMPLE")&gt;0,"NO CUMPLE","CUMPLE"),"")</f>
        <v>CUMPLE</v>
      </c>
      <c r="AC67" s="9" t="s">
        <v>140</v>
      </c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18"/>
      <c r="BX67" s="18">
        <f>IF($X67="","",AE67/$X$10)</f>
        <v>0</v>
      </c>
      <c r="BY67" s="18">
        <f>IF($X67="","",AF67/$X$10)</f>
        <v>0</v>
      </c>
      <c r="BZ67" s="18">
        <f>IF($X67="","",AG67/$X$10)</f>
        <v>0</v>
      </c>
      <c r="CA67" s="18">
        <f>IF($X67="","",AH67/$X$10)</f>
        <v>0</v>
      </c>
      <c r="CB67" s="18">
        <f t="shared" si="2"/>
        <v>0</v>
      </c>
      <c r="CC67" s="18">
        <f>IF($X67="","",AJ67/$X$10)</f>
        <v>0</v>
      </c>
      <c r="CD67" s="18">
        <f>IF($X67="","",AK67/$X$10)</f>
        <v>0</v>
      </c>
      <c r="CE67" s="18">
        <f>IF($X67="","",AL67/$X$10)</f>
        <v>0</v>
      </c>
      <c r="CF67" s="18">
        <f>IF($X67="","",AM67/$X$10)</f>
        <v>0</v>
      </c>
      <c r="CG67" s="18">
        <f>IF($X67="","",AN67/$X$10)</f>
        <v>0</v>
      </c>
      <c r="CH67" s="18">
        <f>IF($X67="","",AO67/$X$10)</f>
        <v>0</v>
      </c>
      <c r="CI67" s="18">
        <f>IF($X67="","",AP67/$X$10)</f>
        <v>0</v>
      </c>
      <c r="CJ67" s="18">
        <f>IF($X67="","",AQ67/$X$10)</f>
        <v>0</v>
      </c>
      <c r="CK67" s="18">
        <f>IF($X67="","",AR67/$X$10)</f>
        <v>0</v>
      </c>
      <c r="CL67" s="18">
        <f>IF($X67="","",AS67/$X$10)</f>
        <v>0</v>
      </c>
      <c r="CM67" s="18">
        <f>IF($X67="","",AT67/$X$10)</f>
        <v>0</v>
      </c>
      <c r="CN67" s="18">
        <f>IF($X67="","",AU67/$X$10)</f>
        <v>0</v>
      </c>
      <c r="CO67" s="18">
        <f>IF($X67="","",AV67/$X$10)</f>
        <v>0</v>
      </c>
      <c r="CP67" s="18">
        <f>IF($X67="","",AW67/$X$10)</f>
        <v>0</v>
      </c>
      <c r="CQ67" s="18">
        <f>IF($X67="","",AX67/$X$10)</f>
        <v>0</v>
      </c>
      <c r="CR67" s="18">
        <f>IF($X67="","",AY67/$X$10)</f>
        <v>0</v>
      </c>
      <c r="CS67" s="18">
        <f>IF($X67="","",AZ67/$X$10)</f>
        <v>0</v>
      </c>
      <c r="CT67" s="18">
        <f>IF($X67="","",BA67/$X$10)</f>
        <v>0</v>
      </c>
      <c r="CU67" s="18">
        <f>IF($X67="","",BB67/$X$10)</f>
        <v>0</v>
      </c>
      <c r="CV67" s="18">
        <f>IF($X67="","",BC67/$X$10)</f>
        <v>0</v>
      </c>
      <c r="CW67" s="18">
        <f>IF($X67="","",BD67/$X$10)</f>
        <v>0</v>
      </c>
      <c r="CX67" s="18">
        <f>IF($X67="","",BE67/$X$10)</f>
        <v>0</v>
      </c>
      <c r="CY67" s="18">
        <f>IF($X67="","",BF67/$X$10)</f>
        <v>0</v>
      </c>
      <c r="CZ67" s="18">
        <f>IF($X67="","",BG67/$X$10)</f>
        <v>0</v>
      </c>
      <c r="DA67" s="18">
        <f>IF($X67="","",BH67/$X$10)</f>
        <v>0</v>
      </c>
      <c r="DB67" s="18">
        <f>IF($X67="","",BI67/$X$10)</f>
        <v>0</v>
      </c>
      <c r="DC67" s="18">
        <f>IF($X67="","",BJ67/$X$10)</f>
        <v>0</v>
      </c>
      <c r="DD67" s="18">
        <f>IF($X67="","",BK67/$X$10)</f>
        <v>0</v>
      </c>
      <c r="DE67" s="18">
        <f>IF($X67="","",BL67/$X$10)</f>
        <v>0</v>
      </c>
      <c r="DF67" s="18">
        <f>IF($X67="","",BM67/$X$10)</f>
        <v>0</v>
      </c>
      <c r="DG67" s="18">
        <f t="shared" si="3"/>
        <v>0</v>
      </c>
      <c r="DH67" s="18">
        <f>IF($X67="","",BO67/$X$10)</f>
        <v>0</v>
      </c>
      <c r="DI67" s="18">
        <f>IF($X67="","",BP67/$X$10)</f>
        <v>0</v>
      </c>
      <c r="DJ67" s="18">
        <f>IF($X67="","",BQ67/$X$10)</f>
        <v>0</v>
      </c>
      <c r="DK67" s="18">
        <f>IF($X67="","",BR67/$X$10)</f>
        <v>0</v>
      </c>
      <c r="DL67" s="18">
        <f>IF($X67="","",BS67/$X$10)</f>
        <v>0</v>
      </c>
      <c r="DM67" s="18">
        <f>IF($X67="","",BT67/$X$10)</f>
        <v>0</v>
      </c>
      <c r="DN67" s="18">
        <f t="shared" si="6"/>
        <v>0</v>
      </c>
      <c r="DO67" s="16">
        <f>IF($X67="","",SUM(Tabla152[[#This Row],[PODRIDO]],Tabla152[[#This Row],[HONGO]],Tabla152[[#This Row],[PICADO DE AVE CON PUDRICIÓN]],Tabla152[[#This Row],[FUMAGINA]])/$X$10)</f>
        <v>0</v>
      </c>
      <c r="DP67" s="16">
        <f>IF($X67="","",SUM(Tabla152[[#This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67" s="16">
        <f>IF($X67="","",SUM(Tabla152[[#This Row],[BLANDO]:[COLAPSADO]])/$X$10)</f>
        <v>0</v>
      </c>
      <c r="DR67" s="16">
        <f>IF($X67="","",SUM(Tabla152[[#This Row],[DESHIDRATADO LEVE]:[DESHIDRATADO INMADURO]])/$X$10)</f>
        <v>0</v>
      </c>
      <c r="DS67" s="18">
        <f t="shared" si="1"/>
        <v>0</v>
      </c>
      <c r="DT67" s="16">
        <f>IF($X67="","",SUM(Tabla152[[#This Row],[PRESENCIA DE LARVA]],Tabla152[[#This Row],[CHANCHITO BLANCO]])/$X$10)</f>
        <v>0</v>
      </c>
      <c r="DU67" s="18">
        <f>IF($X67="","",SUM(Tabla152[[#This Row],[ROJO GRADO 2 A MÁS]],Tabla152[[#This Row],[IMMADURO VERDE]],Tabla152[[#This Row],[DESORDEN POR MADURACIÓN]],Tabla152[[#This Row],[ARO PEDICELAR VERDE EXTREMO]])/$X$10)</f>
        <v>0</v>
      </c>
      <c r="DV67" s="16">
        <f>IF($X67="","",SUM(Tabla152[[#This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67" s="16">
        <f>IF($X67="","",BU67/$X$10)</f>
        <v>0</v>
      </c>
      <c r="DX67" s="16">
        <f>IF($X67="","",AJ67/$X$10)</f>
        <v>0</v>
      </c>
      <c r="DY67" s="16">
        <f>IF($X67="","",SUM(Tabla152[[#This Row],[PRESENCIA DE COROLA]],Tabla152[[#This Row],[PRESENCIA DE RESTO FLORAL VERDE]],Tabla152[[#This Row],[PRESENCIA DE PEDÚNCULO]])/$X$10)</f>
        <v>0</v>
      </c>
      <c r="DZ67" s="16">
        <f>IF($X67="","",SUM(Tabla152[[#This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68" spans="1:130" x14ac:dyDescent="0.3">
      <c r="A68" s="9">
        <f>IF(W68="","",IF(ROW()=10,1,IF(W68=W67,A67,MAX($A$9:A67)+1)))</f>
        <v>19</v>
      </c>
      <c r="B68" s="9">
        <f>WEEKNUM(Tabla152[[#This Row],[FECHA DE COSECHA]],21)</f>
        <v>36</v>
      </c>
      <c r="C68" s="9"/>
      <c r="D68" s="17">
        <v>46267</v>
      </c>
      <c r="E68" s="17">
        <v>46267</v>
      </c>
      <c r="F68" s="9">
        <v>1</v>
      </c>
      <c r="G68" s="9" t="s">
        <v>77</v>
      </c>
      <c r="H68" s="9" t="s">
        <v>144</v>
      </c>
      <c r="I68" s="9" t="s">
        <v>134</v>
      </c>
      <c r="J68" s="9" t="s">
        <v>78</v>
      </c>
      <c r="K68" s="9" t="s">
        <v>153</v>
      </c>
      <c r="L68" s="9" t="s">
        <v>131</v>
      </c>
      <c r="M68" s="9" t="s">
        <v>239</v>
      </c>
      <c r="N68" s="9" t="s">
        <v>151</v>
      </c>
      <c r="O68" s="9" t="s">
        <v>244</v>
      </c>
      <c r="P68" s="9" t="s">
        <v>152</v>
      </c>
      <c r="Q68" s="9"/>
      <c r="R68" s="9">
        <v>8</v>
      </c>
      <c r="S68" s="9">
        <v>74547547</v>
      </c>
      <c r="T68" t="s">
        <v>232</v>
      </c>
      <c r="U68" s="9" t="s">
        <v>147</v>
      </c>
      <c r="V68" s="9"/>
      <c r="W68" s="19" t="s">
        <v>171</v>
      </c>
      <c r="X68" s="9">
        <v>61</v>
      </c>
      <c r="Y68" s="9">
        <v>2</v>
      </c>
      <c r="Z68" s="9">
        <v>15</v>
      </c>
      <c r="AA68" s="9" t="str">
        <f>IF(Tabla152[[#This Row],[NOTA]]=15,"CUMPLE","NO CUMPLE")</f>
        <v>CUMPLE</v>
      </c>
      <c r="AB68" s="9" t="str">
        <f>IF(COUNTIF($A$10:A68,A68)=1,IF(COUNTIFS($A:$A,A68,$AA:$AA,"NO CUMPLE")&gt;0,"NO CUMPLE","CUMPLE"),"")</f>
        <v/>
      </c>
      <c r="AC68" s="9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18"/>
      <c r="BX68" s="18">
        <f>IF($X68="","",AE68/$X$10)</f>
        <v>0</v>
      </c>
      <c r="BY68" s="18">
        <f>IF($X68="","",AF68/$X$10)</f>
        <v>0</v>
      </c>
      <c r="BZ68" s="18">
        <f>IF($X68="","",AG68/$X$10)</f>
        <v>0</v>
      </c>
      <c r="CA68" s="18">
        <f>IF($X68="","",AH68/$X$10)</f>
        <v>0</v>
      </c>
      <c r="CB68" s="18">
        <f t="shared" si="2"/>
        <v>0</v>
      </c>
      <c r="CC68" s="18">
        <f>IF($X68="","",AJ68/$X$10)</f>
        <v>0</v>
      </c>
      <c r="CD68" s="18">
        <f>IF($X68="","",AK68/$X$10)</f>
        <v>0</v>
      </c>
      <c r="CE68" s="18">
        <f>IF($X68="","",AL68/$X$10)</f>
        <v>0</v>
      </c>
      <c r="CF68" s="18">
        <f>IF($X68="","",AM68/$X$10)</f>
        <v>0</v>
      </c>
      <c r="CG68" s="18">
        <f>IF($X68="","",AN68/$X$10)</f>
        <v>0</v>
      </c>
      <c r="CH68" s="18">
        <f>IF($X68="","",AO68/$X$10)</f>
        <v>0</v>
      </c>
      <c r="CI68" s="18">
        <f>IF($X68="","",AP68/$X$10)</f>
        <v>0</v>
      </c>
      <c r="CJ68" s="18">
        <f>IF($X68="","",AQ68/$X$10)</f>
        <v>0</v>
      </c>
      <c r="CK68" s="18">
        <f>IF($X68="","",AR68/$X$10)</f>
        <v>0</v>
      </c>
      <c r="CL68" s="18">
        <f>IF($X68="","",AS68/$X$10)</f>
        <v>0</v>
      </c>
      <c r="CM68" s="18">
        <f>IF($X68="","",AT68/$X$10)</f>
        <v>0</v>
      </c>
      <c r="CN68" s="18">
        <f>IF($X68="","",AU68/$X$10)</f>
        <v>0</v>
      </c>
      <c r="CO68" s="18">
        <f>IF($X68="","",AV68/$X$10)</f>
        <v>0</v>
      </c>
      <c r="CP68" s="18">
        <f>IF($X68="","",AW68/$X$10)</f>
        <v>0</v>
      </c>
      <c r="CQ68" s="18">
        <f>IF($X68="","",AX68/$X$10)</f>
        <v>0</v>
      </c>
      <c r="CR68" s="18">
        <f>IF($X68="","",AY68/$X$10)</f>
        <v>0</v>
      </c>
      <c r="CS68" s="18">
        <f>IF($X68="","",AZ68/$X$10)</f>
        <v>0</v>
      </c>
      <c r="CT68" s="18">
        <f>IF($X68="","",BA68/$X$10)</f>
        <v>0</v>
      </c>
      <c r="CU68" s="18">
        <f>IF($X68="","",BB68/$X$10)</f>
        <v>0</v>
      </c>
      <c r="CV68" s="18">
        <f>IF($X68="","",BC68/$X$10)</f>
        <v>0</v>
      </c>
      <c r="CW68" s="18">
        <f>IF($X68="","",BD68/$X$10)</f>
        <v>0</v>
      </c>
      <c r="CX68" s="18">
        <f>IF($X68="","",BE68/$X$10)</f>
        <v>0</v>
      </c>
      <c r="CY68" s="18">
        <f>IF($X68="","",BF68/$X$10)</f>
        <v>0</v>
      </c>
      <c r="CZ68" s="18">
        <f>IF($X68="","",BG68/$X$10)</f>
        <v>0</v>
      </c>
      <c r="DA68" s="18">
        <f>IF($X68="","",BH68/$X$10)</f>
        <v>0</v>
      </c>
      <c r="DB68" s="18">
        <f>IF($X68="","",BI68/$X$10)</f>
        <v>0</v>
      </c>
      <c r="DC68" s="18">
        <f>IF($X68="","",BJ68/$X$10)</f>
        <v>0</v>
      </c>
      <c r="DD68" s="18">
        <f>IF($X68="","",BK68/$X$10)</f>
        <v>0</v>
      </c>
      <c r="DE68" s="18">
        <f>IF($X68="","",BL68/$X$10)</f>
        <v>0</v>
      </c>
      <c r="DF68" s="18">
        <f>IF($X68="","",BM68/$X$10)</f>
        <v>0</v>
      </c>
      <c r="DG68" s="18">
        <f t="shared" si="3"/>
        <v>0</v>
      </c>
      <c r="DH68" s="18">
        <f>IF($X68="","",BO68/$X$10)</f>
        <v>0</v>
      </c>
      <c r="DI68" s="18">
        <f>IF($X68="","",BP68/$X$10)</f>
        <v>0</v>
      </c>
      <c r="DJ68" s="18">
        <f>IF($X68="","",BQ68/$X$10)</f>
        <v>0</v>
      </c>
      <c r="DK68" s="18">
        <f>IF($X68="","",BR68/$X$10)</f>
        <v>0</v>
      </c>
      <c r="DL68" s="18">
        <f>IF($X68="","",BS68/$X$10)</f>
        <v>0</v>
      </c>
      <c r="DM68" s="18">
        <f>IF($X68="","",BT68/$X$10)</f>
        <v>0</v>
      </c>
      <c r="DN68" s="18">
        <f t="shared" si="6"/>
        <v>0</v>
      </c>
      <c r="DO68" s="16">
        <f>IF($X68="","",SUM(Tabla152[[#This Row],[PODRIDO]],Tabla152[[#This Row],[HONGO]],Tabla152[[#This Row],[PICADO DE AVE CON PUDRICIÓN]],Tabla152[[#This Row],[FUMAGINA]])/$X$10)</f>
        <v>0</v>
      </c>
      <c r="DP68" s="16">
        <f>IF($X68="","",SUM(Tabla152[[#This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68" s="16">
        <f>IF($X68="","",SUM(Tabla152[[#This Row],[BLANDO]:[COLAPSADO]])/$X$10)</f>
        <v>0</v>
      </c>
      <c r="DR68" s="16">
        <f>IF($X68="","",SUM(Tabla152[[#This Row],[DESHIDRATADO LEVE]:[DESHIDRATADO INMADURO]])/$X$10)</f>
        <v>0</v>
      </c>
      <c r="DS68" s="18">
        <f t="shared" si="1"/>
        <v>0</v>
      </c>
      <c r="DT68" s="16">
        <f>IF($X68="","",SUM(Tabla152[[#This Row],[PRESENCIA DE LARVA]],Tabla152[[#This Row],[CHANCHITO BLANCO]])/$X$10)</f>
        <v>0</v>
      </c>
      <c r="DU68" s="18">
        <f>IF($X68="","",SUM(Tabla152[[#This Row],[ROJO GRADO 2 A MÁS]],Tabla152[[#This Row],[IMMADURO VERDE]],Tabla152[[#This Row],[DESORDEN POR MADURACIÓN]],Tabla152[[#This Row],[ARO PEDICELAR VERDE EXTREMO]])/$X$10)</f>
        <v>0</v>
      </c>
      <c r="DV68" s="16">
        <f>IF($X68="","",SUM(Tabla152[[#This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68" s="16">
        <f>IF($X68="","",BU68/$X$10)</f>
        <v>0</v>
      </c>
      <c r="DX68" s="16">
        <f>IF($X68="","",AJ68/$X$10)</f>
        <v>0</v>
      </c>
      <c r="DY68" s="16">
        <f>IF($X68="","",SUM(Tabla152[[#This Row],[PRESENCIA DE COROLA]],Tabla152[[#This Row],[PRESENCIA DE RESTO FLORAL VERDE]],Tabla152[[#This Row],[PRESENCIA DE PEDÚNCULO]])/$X$10)</f>
        <v>0</v>
      </c>
      <c r="DZ68" s="16">
        <f>IF($X68="","",SUM(Tabla152[[#This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69" spans="1:130" x14ac:dyDescent="0.3">
      <c r="A69" s="9">
        <f>IF(W69="","",IF(ROW()=10,1,IF(W69=W68,A68,MAX($A$9:A68)+1)))</f>
        <v>19</v>
      </c>
      <c r="B69" s="9">
        <f>WEEKNUM(Tabla152[[#This Row],[FECHA DE COSECHA]],21)</f>
        <v>36</v>
      </c>
      <c r="C69" s="9"/>
      <c r="D69" s="17">
        <v>46267</v>
      </c>
      <c r="E69" s="17">
        <v>46267</v>
      </c>
      <c r="F69" s="9">
        <v>1</v>
      </c>
      <c r="G69" s="9" t="s">
        <v>77</v>
      </c>
      <c r="H69" s="9" t="s">
        <v>144</v>
      </c>
      <c r="I69" s="9" t="s">
        <v>134</v>
      </c>
      <c r="J69" s="9" t="s">
        <v>78</v>
      </c>
      <c r="K69" s="9" t="s">
        <v>153</v>
      </c>
      <c r="L69" s="9" t="s">
        <v>131</v>
      </c>
      <c r="M69" s="9" t="s">
        <v>239</v>
      </c>
      <c r="N69" s="9" t="s">
        <v>151</v>
      </c>
      <c r="O69" s="9" t="s">
        <v>244</v>
      </c>
      <c r="P69" s="9" t="s">
        <v>152</v>
      </c>
      <c r="Q69" s="9"/>
      <c r="R69" s="9">
        <v>8</v>
      </c>
      <c r="S69" s="9">
        <v>74547547</v>
      </c>
      <c r="T69" t="s">
        <v>232</v>
      </c>
      <c r="U69" s="9" t="s">
        <v>147</v>
      </c>
      <c r="V69" s="9"/>
      <c r="W69" s="19" t="s">
        <v>171</v>
      </c>
      <c r="X69" s="9">
        <v>61</v>
      </c>
      <c r="Y69" s="9">
        <v>3</v>
      </c>
      <c r="Z69" s="9">
        <v>15</v>
      </c>
      <c r="AA69" s="9" t="str">
        <f>IF(Tabla152[[#This Row],[NOTA]]=15,"CUMPLE","NO CUMPLE")</f>
        <v>CUMPLE</v>
      </c>
      <c r="AB69" s="9" t="str">
        <f>IF(COUNTIF($A$10:A69,A69)=1,IF(COUNTIFS($A:$A,A69,$AA:$AA,"NO CUMPLE")&gt;0,"NO CUMPLE","CUMPLE"),"")</f>
        <v/>
      </c>
      <c r="AC69" s="9"/>
      <c r="AD69" s="8"/>
      <c r="AE69" s="8">
        <v>2</v>
      </c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18"/>
      <c r="BX69" s="18">
        <f>IF($X69="","",AE69/$X$10)</f>
        <v>3.1746031746031744E-2</v>
      </c>
      <c r="BY69" s="18">
        <f>IF($X69="","",AF69/$X$10)</f>
        <v>0</v>
      </c>
      <c r="BZ69" s="18">
        <f>IF($X69="","",AG69/$X$10)</f>
        <v>0</v>
      </c>
      <c r="CA69" s="18">
        <f>IF($X69="","",AH69/$X$10)</f>
        <v>0</v>
      </c>
      <c r="CB69" s="18">
        <f t="shared" si="2"/>
        <v>0</v>
      </c>
      <c r="CC69" s="18">
        <f>IF($X69="","",AJ69/$X$10)</f>
        <v>0</v>
      </c>
      <c r="CD69" s="18">
        <f>IF($X69="","",AK69/$X$10)</f>
        <v>0</v>
      </c>
      <c r="CE69" s="18">
        <f>IF($X69="","",AL69/$X$10)</f>
        <v>0</v>
      </c>
      <c r="CF69" s="18">
        <f>IF($X69="","",AM69/$X$10)</f>
        <v>0</v>
      </c>
      <c r="CG69" s="18">
        <f>IF($X69="","",AN69/$X$10)</f>
        <v>0</v>
      </c>
      <c r="CH69" s="18">
        <f>IF($X69="","",AO69/$X$10)</f>
        <v>0</v>
      </c>
      <c r="CI69" s="18">
        <f>IF($X69="","",AP69/$X$10)</f>
        <v>0</v>
      </c>
      <c r="CJ69" s="18">
        <f>IF($X69="","",AQ69/$X$10)</f>
        <v>0</v>
      </c>
      <c r="CK69" s="18">
        <f>IF($X69="","",AR69/$X$10)</f>
        <v>0</v>
      </c>
      <c r="CL69" s="18">
        <f>IF($X69="","",AS69/$X$10)</f>
        <v>0</v>
      </c>
      <c r="CM69" s="18">
        <f>IF($X69="","",AT69/$X$10)</f>
        <v>0</v>
      </c>
      <c r="CN69" s="18">
        <f>IF($X69="","",AU69/$X$10)</f>
        <v>0</v>
      </c>
      <c r="CO69" s="18">
        <f>IF($X69="","",AV69/$X$10)</f>
        <v>0</v>
      </c>
      <c r="CP69" s="18">
        <f>IF($X69="","",AW69/$X$10)</f>
        <v>0</v>
      </c>
      <c r="CQ69" s="18">
        <f>IF($X69="","",AX69/$X$10)</f>
        <v>0</v>
      </c>
      <c r="CR69" s="18">
        <f>IF($X69="","",AY69/$X$10)</f>
        <v>0</v>
      </c>
      <c r="CS69" s="18">
        <f>IF($X69="","",AZ69/$X$10)</f>
        <v>0</v>
      </c>
      <c r="CT69" s="18">
        <f>IF($X69="","",BA69/$X$10)</f>
        <v>0</v>
      </c>
      <c r="CU69" s="18">
        <f>IF($X69="","",BB69/$X$10)</f>
        <v>0</v>
      </c>
      <c r="CV69" s="18">
        <f>IF($X69="","",BC69/$X$10)</f>
        <v>0</v>
      </c>
      <c r="CW69" s="18">
        <f>IF($X69="","",BD69/$X$10)</f>
        <v>0</v>
      </c>
      <c r="CX69" s="18">
        <f>IF($X69="","",BE69/$X$10)</f>
        <v>0</v>
      </c>
      <c r="CY69" s="18">
        <f>IF($X69="","",BF69/$X$10)</f>
        <v>0</v>
      </c>
      <c r="CZ69" s="18">
        <f>IF($X69="","",BG69/$X$10)</f>
        <v>0</v>
      </c>
      <c r="DA69" s="18">
        <f>IF($X69="","",BH69/$X$10)</f>
        <v>0</v>
      </c>
      <c r="DB69" s="18">
        <f>IF($X69="","",BI69/$X$10)</f>
        <v>0</v>
      </c>
      <c r="DC69" s="18">
        <f>IF($X69="","",BJ69/$X$10)</f>
        <v>0</v>
      </c>
      <c r="DD69" s="18">
        <f>IF($X69="","",BK69/$X$10)</f>
        <v>0</v>
      </c>
      <c r="DE69" s="18">
        <f>IF($X69="","",BL69/$X$10)</f>
        <v>0</v>
      </c>
      <c r="DF69" s="18">
        <f>IF($X69="","",BM69/$X$10)</f>
        <v>0</v>
      </c>
      <c r="DG69" s="18">
        <f t="shared" si="3"/>
        <v>0</v>
      </c>
      <c r="DH69" s="18">
        <f>IF($X69="","",BO69/$X$10)</f>
        <v>0</v>
      </c>
      <c r="DI69" s="18">
        <f>IF($X69="","",BP69/$X$10)</f>
        <v>0</v>
      </c>
      <c r="DJ69" s="18">
        <f>IF($X69="","",BQ69/$X$10)</f>
        <v>0</v>
      </c>
      <c r="DK69" s="18">
        <f>IF($X69="","",BR69/$X$10)</f>
        <v>0</v>
      </c>
      <c r="DL69" s="18">
        <f>IF($X69="","",BS69/$X$10)</f>
        <v>0</v>
      </c>
      <c r="DM69" s="18">
        <f>IF($X69="","",BT69/$X$10)</f>
        <v>0</v>
      </c>
      <c r="DN69" s="18">
        <f t="shared" si="6"/>
        <v>0</v>
      </c>
      <c r="DO69" s="16">
        <f>IF($X69="","",SUM(Tabla152[[#This Row],[PODRIDO]],Tabla152[[#This Row],[HONGO]],Tabla152[[#This Row],[PICADO DE AVE CON PUDRICIÓN]],Tabla152[[#This Row],[FUMAGINA]])/$X$10)</f>
        <v>0</v>
      </c>
      <c r="DP69" s="16">
        <f>IF($X69="","",SUM(Tabla152[[#This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69" s="16">
        <f>IF($X69="","",SUM(Tabla152[[#This Row],[BLANDO]:[COLAPSADO]])/$X$10)</f>
        <v>0</v>
      </c>
      <c r="DR69" s="16">
        <f>IF($X69="","",SUM(Tabla152[[#This Row],[DESHIDRATADO LEVE]:[DESHIDRATADO INMADURO]])/$X$10)</f>
        <v>0</v>
      </c>
      <c r="DS69" s="18">
        <f t="shared" si="1"/>
        <v>0</v>
      </c>
      <c r="DT69" s="16">
        <f>IF($X69="","",SUM(Tabla152[[#This Row],[PRESENCIA DE LARVA]],Tabla152[[#This Row],[CHANCHITO BLANCO]])/$X$10)</f>
        <v>0</v>
      </c>
      <c r="DU69" s="18">
        <f>IF($X69="","",SUM(Tabla152[[#This Row],[ROJO GRADO 2 A MÁS]],Tabla152[[#This Row],[IMMADURO VERDE]],Tabla152[[#This Row],[DESORDEN POR MADURACIÓN]],Tabla152[[#This Row],[ARO PEDICELAR VERDE EXTREMO]])/$X$10)</f>
        <v>0</v>
      </c>
      <c r="DV69" s="16">
        <f>IF($X69="","",SUM(Tabla152[[#This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69" s="16">
        <f>IF($X69="","",BU69/$X$10)</f>
        <v>0</v>
      </c>
      <c r="DX69" s="16">
        <f>IF($X69="","",AJ69/$X$10)</f>
        <v>0</v>
      </c>
      <c r="DY69" s="16">
        <f>IF($X69="","",SUM(Tabla152[[#This Row],[PRESENCIA DE COROLA]],Tabla152[[#This Row],[PRESENCIA DE RESTO FLORAL VERDE]],Tabla152[[#This Row],[PRESENCIA DE PEDÚNCULO]])/$X$10)</f>
        <v>3.1746031746031744E-2</v>
      </c>
      <c r="DZ69" s="16">
        <f>IF($X69="","",SUM(Tabla152[[#This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70" spans="1:130" x14ac:dyDescent="0.3">
      <c r="A70" s="9">
        <f>IF(W70="","",IF(ROW()=10,1,IF(W70=W69,A69,MAX($A$9:A69)+1)))</f>
        <v>20</v>
      </c>
      <c r="B70" s="9">
        <f>WEEKNUM(Tabla152[[#This Row],[FECHA DE COSECHA]],21)</f>
        <v>36</v>
      </c>
      <c r="C70" s="9"/>
      <c r="D70" s="17">
        <v>46267</v>
      </c>
      <c r="E70" s="17">
        <v>46267</v>
      </c>
      <c r="F70" s="9">
        <v>1</v>
      </c>
      <c r="G70" s="9" t="s">
        <v>77</v>
      </c>
      <c r="H70" s="9" t="s">
        <v>144</v>
      </c>
      <c r="I70" s="9" t="s">
        <v>134</v>
      </c>
      <c r="J70" s="9" t="s">
        <v>78</v>
      </c>
      <c r="K70" s="9" t="s">
        <v>153</v>
      </c>
      <c r="L70" s="9" t="s">
        <v>131</v>
      </c>
      <c r="M70" s="9" t="s">
        <v>239</v>
      </c>
      <c r="N70" s="9" t="s">
        <v>151</v>
      </c>
      <c r="O70" s="9" t="s">
        <v>244</v>
      </c>
      <c r="P70" s="9" t="s">
        <v>152</v>
      </c>
      <c r="Q70" s="9"/>
      <c r="R70" s="9">
        <v>8</v>
      </c>
      <c r="S70" s="9">
        <v>74547547</v>
      </c>
      <c r="T70" t="s">
        <v>232</v>
      </c>
      <c r="U70" s="9" t="s">
        <v>147</v>
      </c>
      <c r="V70" s="9"/>
      <c r="W70" s="19" t="s">
        <v>172</v>
      </c>
      <c r="X70" s="9">
        <v>61</v>
      </c>
      <c r="Y70" s="9">
        <v>1</v>
      </c>
      <c r="Z70" s="9">
        <v>15</v>
      </c>
      <c r="AA70" s="9" t="str">
        <f>IF(Tabla152[[#This Row],[NOTA]]=15,"CUMPLE","NO CUMPLE")</f>
        <v>CUMPLE</v>
      </c>
      <c r="AB70" s="9" t="str">
        <f>IF(COUNTIF($A$10:A70,A70)=1,IF(COUNTIFS($A:$A,A70,$AA:$AA,"NO CUMPLE")&gt;0,"NO CUMPLE","CUMPLE"),"")</f>
        <v>CUMPLE</v>
      </c>
      <c r="AC70" s="9" t="s">
        <v>140</v>
      </c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18"/>
      <c r="BX70" s="18">
        <f>IF($X70="","",AE70/$X$10)</f>
        <v>0</v>
      </c>
      <c r="BY70" s="18">
        <f>IF($X70="","",AF70/$X$10)</f>
        <v>0</v>
      </c>
      <c r="BZ70" s="18">
        <f>IF($X70="","",AG70/$X$10)</f>
        <v>0</v>
      </c>
      <c r="CA70" s="18">
        <f>IF($X70="","",AH70/$X$10)</f>
        <v>0</v>
      </c>
      <c r="CB70" s="18">
        <f t="shared" si="2"/>
        <v>0</v>
      </c>
      <c r="CC70" s="18">
        <f>IF($X70="","",AJ70/$X$10)</f>
        <v>0</v>
      </c>
      <c r="CD70" s="18">
        <f>IF($X70="","",AK70/$X$10)</f>
        <v>0</v>
      </c>
      <c r="CE70" s="18">
        <f>IF($X70="","",AL70/$X$10)</f>
        <v>0</v>
      </c>
      <c r="CF70" s="18">
        <f>IF($X70="","",AM70/$X$10)</f>
        <v>0</v>
      </c>
      <c r="CG70" s="18">
        <f>IF($X70="","",AN70/$X$10)</f>
        <v>0</v>
      </c>
      <c r="CH70" s="18">
        <f>IF($X70="","",AO70/$X$10)</f>
        <v>0</v>
      </c>
      <c r="CI70" s="18">
        <f>IF($X70="","",AP70/$X$10)</f>
        <v>0</v>
      </c>
      <c r="CJ70" s="18">
        <f>IF($X70="","",AQ70/$X$10)</f>
        <v>0</v>
      </c>
      <c r="CK70" s="18">
        <f>IF($X70="","",AR70/$X$10)</f>
        <v>0</v>
      </c>
      <c r="CL70" s="18">
        <f>IF($X70="","",AS70/$X$10)</f>
        <v>0</v>
      </c>
      <c r="CM70" s="18">
        <f>IF($X70="","",AT70/$X$10)</f>
        <v>0</v>
      </c>
      <c r="CN70" s="18">
        <f>IF($X70="","",AU70/$X$10)</f>
        <v>0</v>
      </c>
      <c r="CO70" s="18">
        <f>IF($X70="","",AV70/$X$10)</f>
        <v>0</v>
      </c>
      <c r="CP70" s="18">
        <f>IF($X70="","",AW70/$X$10)</f>
        <v>0</v>
      </c>
      <c r="CQ70" s="18">
        <f>IF($X70="","",AX70/$X$10)</f>
        <v>0</v>
      </c>
      <c r="CR70" s="18">
        <f>IF($X70="","",AY70/$X$10)</f>
        <v>0</v>
      </c>
      <c r="CS70" s="18">
        <f>IF($X70="","",AZ70/$X$10)</f>
        <v>0</v>
      </c>
      <c r="CT70" s="18">
        <f>IF($X70="","",BA70/$X$10)</f>
        <v>0</v>
      </c>
      <c r="CU70" s="18">
        <f>IF($X70="","",BB70/$X$10)</f>
        <v>0</v>
      </c>
      <c r="CV70" s="18">
        <f>IF($X70="","",BC70/$X$10)</f>
        <v>0</v>
      </c>
      <c r="CW70" s="18">
        <f>IF($X70="","",BD70/$X$10)</f>
        <v>0</v>
      </c>
      <c r="CX70" s="18">
        <f>IF($X70="","",BE70/$X$10)</f>
        <v>0</v>
      </c>
      <c r="CY70" s="18">
        <f>IF($X70="","",BF70/$X$10)</f>
        <v>0</v>
      </c>
      <c r="CZ70" s="18">
        <f>IF($X70="","",BG70/$X$10)</f>
        <v>0</v>
      </c>
      <c r="DA70" s="18">
        <f>IF($X70="","",BH70/$X$10)</f>
        <v>0</v>
      </c>
      <c r="DB70" s="18">
        <f>IF($X70="","",BI70/$X$10)</f>
        <v>0</v>
      </c>
      <c r="DC70" s="18">
        <f>IF($X70="","",BJ70/$X$10)</f>
        <v>0</v>
      </c>
      <c r="DD70" s="18">
        <f>IF($X70="","",BK70/$X$10)</f>
        <v>0</v>
      </c>
      <c r="DE70" s="18">
        <f>IF($X70="","",BL70/$X$10)</f>
        <v>0</v>
      </c>
      <c r="DF70" s="18">
        <f>IF($X70="","",BM70/$X$10)</f>
        <v>0</v>
      </c>
      <c r="DG70" s="18">
        <f t="shared" si="3"/>
        <v>0</v>
      </c>
      <c r="DH70" s="18">
        <f>IF($X70="","",BO70/$X$10)</f>
        <v>0</v>
      </c>
      <c r="DI70" s="18">
        <f>IF($X70="","",BP70/$X$10)</f>
        <v>0</v>
      </c>
      <c r="DJ70" s="18">
        <f>IF($X70="","",BQ70/$X$10)</f>
        <v>0</v>
      </c>
      <c r="DK70" s="18">
        <f>IF($X70="","",BR70/$X$10)</f>
        <v>0</v>
      </c>
      <c r="DL70" s="18">
        <f>IF($X70="","",BS70/$X$10)</f>
        <v>0</v>
      </c>
      <c r="DM70" s="18">
        <f>IF($X70="","",BT70/$X$10)</f>
        <v>0</v>
      </c>
      <c r="DN70" s="18">
        <f t="shared" si="6"/>
        <v>0</v>
      </c>
      <c r="DO70" s="16">
        <f>IF($X70="","",SUM(Tabla152[[#This Row],[PODRIDO]],Tabla152[[#This Row],[HONGO]],Tabla152[[#This Row],[PICADO DE AVE CON PUDRICIÓN]],Tabla152[[#This Row],[FUMAGINA]])/$X$10)</f>
        <v>0</v>
      </c>
      <c r="DP70" s="16">
        <f>IF($X70="","",SUM(Tabla152[[#This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70" s="16">
        <f>IF($X70="","",SUM(Tabla152[[#This Row],[BLANDO]:[COLAPSADO]])/$X$10)</f>
        <v>0</v>
      </c>
      <c r="DR70" s="16">
        <f>IF($X70="","",SUM(Tabla152[[#This Row],[DESHIDRATADO LEVE]:[DESHIDRATADO INMADURO]])/$X$10)</f>
        <v>0</v>
      </c>
      <c r="DS70" s="18">
        <f t="shared" si="1"/>
        <v>0</v>
      </c>
      <c r="DT70" s="16">
        <f>IF($X70="","",SUM(Tabla152[[#This Row],[PRESENCIA DE LARVA]],Tabla152[[#This Row],[CHANCHITO BLANCO]])/$X$10)</f>
        <v>0</v>
      </c>
      <c r="DU70" s="18">
        <f>IF($X70="","",SUM(Tabla152[[#This Row],[ROJO GRADO 2 A MÁS]],Tabla152[[#This Row],[IMMADURO VERDE]],Tabla152[[#This Row],[DESORDEN POR MADURACIÓN]],Tabla152[[#This Row],[ARO PEDICELAR VERDE EXTREMO]])/$X$10)</f>
        <v>0</v>
      </c>
      <c r="DV70" s="16">
        <f>IF($X70="","",SUM(Tabla152[[#This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70" s="16">
        <f>IF($X70="","",BU70/$X$10)</f>
        <v>0</v>
      </c>
      <c r="DX70" s="16">
        <f>IF($X70="","",AJ70/$X$10)</f>
        <v>0</v>
      </c>
      <c r="DY70" s="16">
        <f>IF($X70="","",SUM(Tabla152[[#This Row],[PRESENCIA DE COROLA]],Tabla152[[#This Row],[PRESENCIA DE RESTO FLORAL VERDE]],Tabla152[[#This Row],[PRESENCIA DE PEDÚNCULO]])/$X$10)</f>
        <v>0</v>
      </c>
      <c r="DZ70" s="16">
        <f>IF($X70="","",SUM(Tabla152[[#This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71" spans="1:130" x14ac:dyDescent="0.3">
      <c r="A71" s="9">
        <f>IF(W71="","",IF(ROW()=10,1,IF(W71=W70,A70,MAX($A$9:A70)+1)))</f>
        <v>20</v>
      </c>
      <c r="B71" s="9">
        <f>WEEKNUM(Tabla152[[#This Row],[FECHA DE COSECHA]],21)</f>
        <v>36</v>
      </c>
      <c r="C71" s="9"/>
      <c r="D71" s="17">
        <v>46267</v>
      </c>
      <c r="E71" s="17">
        <v>46267</v>
      </c>
      <c r="F71" s="9">
        <v>1</v>
      </c>
      <c r="G71" s="9" t="s">
        <v>77</v>
      </c>
      <c r="H71" s="9" t="s">
        <v>144</v>
      </c>
      <c r="I71" s="9" t="s">
        <v>134</v>
      </c>
      <c r="J71" s="9" t="s">
        <v>78</v>
      </c>
      <c r="K71" s="9" t="s">
        <v>153</v>
      </c>
      <c r="L71" s="9" t="s">
        <v>131</v>
      </c>
      <c r="M71" s="9" t="s">
        <v>239</v>
      </c>
      <c r="N71" s="9" t="s">
        <v>151</v>
      </c>
      <c r="O71" s="9" t="s">
        <v>244</v>
      </c>
      <c r="P71" s="9" t="s">
        <v>152</v>
      </c>
      <c r="Q71" s="9"/>
      <c r="R71" s="9">
        <v>8</v>
      </c>
      <c r="S71" s="9">
        <v>74547547</v>
      </c>
      <c r="T71" t="s">
        <v>232</v>
      </c>
      <c r="U71" s="9" t="s">
        <v>147</v>
      </c>
      <c r="V71" s="9"/>
      <c r="W71" s="19" t="s">
        <v>172</v>
      </c>
      <c r="X71" s="9">
        <v>61</v>
      </c>
      <c r="Y71" s="9">
        <v>2</v>
      </c>
      <c r="Z71" s="9">
        <v>15</v>
      </c>
      <c r="AA71" s="9" t="str">
        <f>IF(Tabla152[[#This Row],[NOTA]]=15,"CUMPLE","NO CUMPLE")</f>
        <v>CUMPLE</v>
      </c>
      <c r="AB71" s="9" t="str">
        <f>IF(COUNTIF($A$10:A71,A71)=1,IF(COUNTIFS($A:$A,A71,$AA:$AA,"NO CUMPLE")&gt;0,"NO CUMPLE","CUMPLE"),"")</f>
        <v/>
      </c>
      <c r="AC71" s="9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18"/>
      <c r="BX71" s="18">
        <f>IF($X71="","",AE71/$X$10)</f>
        <v>0</v>
      </c>
      <c r="BY71" s="18">
        <f>IF($X71="","",AF71/$X$10)</f>
        <v>0</v>
      </c>
      <c r="BZ71" s="18">
        <f>IF($X71="","",AG71/$X$10)</f>
        <v>0</v>
      </c>
      <c r="CA71" s="18">
        <f>IF($X71="","",AH71/$X$10)</f>
        <v>0</v>
      </c>
      <c r="CB71" s="18">
        <f t="shared" si="2"/>
        <v>0</v>
      </c>
      <c r="CC71" s="18">
        <f>IF($X71="","",AJ71/$X$10)</f>
        <v>0</v>
      </c>
      <c r="CD71" s="18">
        <f>IF($X71="","",AK71/$X$10)</f>
        <v>0</v>
      </c>
      <c r="CE71" s="18">
        <f>IF($X71="","",AL71/$X$10)</f>
        <v>0</v>
      </c>
      <c r="CF71" s="18">
        <f>IF($X71="","",AM71/$X$10)</f>
        <v>0</v>
      </c>
      <c r="CG71" s="18">
        <f>IF($X71="","",AN71/$X$10)</f>
        <v>0</v>
      </c>
      <c r="CH71" s="18">
        <f>IF($X71="","",AO71/$X$10)</f>
        <v>0</v>
      </c>
      <c r="CI71" s="18">
        <f>IF($X71="","",AP71/$X$10)</f>
        <v>0</v>
      </c>
      <c r="CJ71" s="18">
        <f>IF($X71="","",AQ71/$X$10)</f>
        <v>0</v>
      </c>
      <c r="CK71" s="18">
        <f>IF($X71="","",AR71/$X$10)</f>
        <v>0</v>
      </c>
      <c r="CL71" s="18">
        <f>IF($X71="","",AS71/$X$10)</f>
        <v>0</v>
      </c>
      <c r="CM71" s="18">
        <f>IF($X71="","",AT71/$X$10)</f>
        <v>0</v>
      </c>
      <c r="CN71" s="18">
        <f>IF($X71="","",AU71/$X$10)</f>
        <v>0</v>
      </c>
      <c r="CO71" s="18">
        <f>IF($X71="","",AV71/$X$10)</f>
        <v>0</v>
      </c>
      <c r="CP71" s="18">
        <f>IF($X71="","",AW71/$X$10)</f>
        <v>0</v>
      </c>
      <c r="CQ71" s="18">
        <f>IF($X71="","",AX71/$X$10)</f>
        <v>0</v>
      </c>
      <c r="CR71" s="18">
        <f>IF($X71="","",AY71/$X$10)</f>
        <v>0</v>
      </c>
      <c r="CS71" s="18">
        <f>IF($X71="","",AZ71/$X$10)</f>
        <v>0</v>
      </c>
      <c r="CT71" s="18">
        <f>IF($X71="","",BA71/$X$10)</f>
        <v>0</v>
      </c>
      <c r="CU71" s="18">
        <f>IF($X71="","",BB71/$X$10)</f>
        <v>0</v>
      </c>
      <c r="CV71" s="18">
        <f>IF($X71="","",BC71/$X$10)</f>
        <v>0</v>
      </c>
      <c r="CW71" s="18">
        <f>IF($X71="","",BD71/$X$10)</f>
        <v>0</v>
      </c>
      <c r="CX71" s="18">
        <f>IF($X71="","",BE71/$X$10)</f>
        <v>0</v>
      </c>
      <c r="CY71" s="18">
        <f>IF($X71="","",BF71/$X$10)</f>
        <v>0</v>
      </c>
      <c r="CZ71" s="18">
        <f>IF($X71="","",BG71/$X$10)</f>
        <v>0</v>
      </c>
      <c r="DA71" s="18">
        <f>IF($X71="","",BH71/$X$10)</f>
        <v>0</v>
      </c>
      <c r="DB71" s="18">
        <f>IF($X71="","",BI71/$X$10)</f>
        <v>0</v>
      </c>
      <c r="DC71" s="18">
        <f>IF($X71="","",BJ71/$X$10)</f>
        <v>0</v>
      </c>
      <c r="DD71" s="18">
        <f>IF($X71="","",BK71/$X$10)</f>
        <v>0</v>
      </c>
      <c r="DE71" s="18">
        <f>IF($X71="","",BL71/$X$10)</f>
        <v>0</v>
      </c>
      <c r="DF71" s="18">
        <f>IF($X71="","",BM71/$X$10)</f>
        <v>0</v>
      </c>
      <c r="DG71" s="18">
        <f t="shared" si="3"/>
        <v>0</v>
      </c>
      <c r="DH71" s="18">
        <f>IF($X71="","",BO71/$X$10)</f>
        <v>0</v>
      </c>
      <c r="DI71" s="18">
        <f>IF($X71="","",BP71/$X$10)</f>
        <v>0</v>
      </c>
      <c r="DJ71" s="18">
        <f>IF($X71="","",BQ71/$X$10)</f>
        <v>0</v>
      </c>
      <c r="DK71" s="18">
        <f>IF($X71="","",BR71/$X$10)</f>
        <v>0</v>
      </c>
      <c r="DL71" s="18">
        <f>IF($X71="","",BS71/$X$10)</f>
        <v>0</v>
      </c>
      <c r="DM71" s="18">
        <f>IF($X71="","",BT71/$X$10)</f>
        <v>0</v>
      </c>
      <c r="DN71" s="18">
        <f t="shared" si="6"/>
        <v>0</v>
      </c>
      <c r="DO71" s="16">
        <f>IF($X71="","",SUM(Tabla152[[#This Row],[PODRIDO]],Tabla152[[#This Row],[HONGO]],Tabla152[[#This Row],[PICADO DE AVE CON PUDRICIÓN]],Tabla152[[#This Row],[FUMAGINA]])/$X$10)</f>
        <v>0</v>
      </c>
      <c r="DP71" s="16">
        <f>IF($X71="","",SUM(Tabla152[[#This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71" s="16">
        <f>IF($X71="","",SUM(Tabla152[[#This Row],[BLANDO]:[COLAPSADO]])/$X$10)</f>
        <v>0</v>
      </c>
      <c r="DR71" s="16">
        <f>IF($X71="","",SUM(Tabla152[[#This Row],[DESHIDRATADO LEVE]:[DESHIDRATADO INMADURO]])/$X$10)</f>
        <v>0</v>
      </c>
      <c r="DS71" s="18">
        <f t="shared" si="1"/>
        <v>0</v>
      </c>
      <c r="DT71" s="16">
        <f>IF($X71="","",SUM(Tabla152[[#This Row],[PRESENCIA DE LARVA]],Tabla152[[#This Row],[CHANCHITO BLANCO]])/$X$10)</f>
        <v>0</v>
      </c>
      <c r="DU71" s="18">
        <f>IF($X71="","",SUM(Tabla152[[#This Row],[ROJO GRADO 2 A MÁS]],Tabla152[[#This Row],[IMMADURO VERDE]],Tabla152[[#This Row],[DESORDEN POR MADURACIÓN]],Tabla152[[#This Row],[ARO PEDICELAR VERDE EXTREMO]])/$X$10)</f>
        <v>0</v>
      </c>
      <c r="DV71" s="16">
        <f>IF($X71="","",SUM(Tabla152[[#This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71" s="16">
        <f>IF($X71="","",BU71/$X$10)</f>
        <v>0</v>
      </c>
      <c r="DX71" s="16">
        <f>IF($X71="","",AJ71/$X$10)</f>
        <v>0</v>
      </c>
      <c r="DY71" s="16">
        <f>IF($X71="","",SUM(Tabla152[[#This Row],[PRESENCIA DE COROLA]],Tabla152[[#This Row],[PRESENCIA DE RESTO FLORAL VERDE]],Tabla152[[#This Row],[PRESENCIA DE PEDÚNCULO]])/$X$10)</f>
        <v>0</v>
      </c>
      <c r="DZ71" s="16">
        <f>IF($X71="","",SUM(Tabla152[[#This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72" spans="1:130" x14ac:dyDescent="0.3">
      <c r="A72" s="9">
        <f>IF(W72="","",IF(ROW()=10,1,IF(W72=W71,A71,MAX($A$9:A71)+1)))</f>
        <v>20</v>
      </c>
      <c r="B72" s="9">
        <f>WEEKNUM(Tabla152[[#This Row],[FECHA DE COSECHA]],21)</f>
        <v>36</v>
      </c>
      <c r="C72" s="9"/>
      <c r="D72" s="17">
        <v>46267</v>
      </c>
      <c r="E72" s="17">
        <v>46267</v>
      </c>
      <c r="F72" s="9">
        <v>1</v>
      </c>
      <c r="G72" s="9" t="s">
        <v>77</v>
      </c>
      <c r="H72" s="9" t="s">
        <v>144</v>
      </c>
      <c r="I72" s="9" t="s">
        <v>134</v>
      </c>
      <c r="J72" s="9" t="s">
        <v>78</v>
      </c>
      <c r="K72" s="9" t="s">
        <v>153</v>
      </c>
      <c r="L72" s="9" t="s">
        <v>131</v>
      </c>
      <c r="M72" s="9" t="s">
        <v>239</v>
      </c>
      <c r="N72" s="9" t="s">
        <v>151</v>
      </c>
      <c r="O72" s="9" t="s">
        <v>244</v>
      </c>
      <c r="P72" s="9" t="s">
        <v>152</v>
      </c>
      <c r="Q72" s="9"/>
      <c r="R72" s="9">
        <v>8</v>
      </c>
      <c r="S72" s="9">
        <v>74547547</v>
      </c>
      <c r="T72" t="s">
        <v>232</v>
      </c>
      <c r="U72" s="9" t="s">
        <v>147</v>
      </c>
      <c r="V72" s="9"/>
      <c r="W72" s="19" t="s">
        <v>172</v>
      </c>
      <c r="X72" s="9">
        <v>61</v>
      </c>
      <c r="Y72" s="9">
        <v>3</v>
      </c>
      <c r="Z72" s="9">
        <v>15</v>
      </c>
      <c r="AA72" s="9" t="str">
        <f>IF(Tabla152[[#This Row],[NOTA]]=15,"CUMPLE","NO CUMPLE")</f>
        <v>CUMPLE</v>
      </c>
      <c r="AB72" s="9" t="str">
        <f>IF(COUNTIF($A$10:A72,A72)=1,IF(COUNTIFS($A:$A,A72,$AA:$AA,"NO CUMPLE")&gt;0,"NO CUMPLE","CUMPLE"),"")</f>
        <v/>
      </c>
      <c r="AC72" s="9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18"/>
      <c r="BX72" s="18">
        <f>IF($X72="","",AE72/$X$10)</f>
        <v>0</v>
      </c>
      <c r="BY72" s="18">
        <f>IF($X72="","",AF72/$X$10)</f>
        <v>0</v>
      </c>
      <c r="BZ72" s="18">
        <f>IF($X72="","",AG72/$X$10)</f>
        <v>0</v>
      </c>
      <c r="CA72" s="18">
        <f>IF($X72="","",AH72/$X$10)</f>
        <v>0</v>
      </c>
      <c r="CB72" s="18">
        <f t="shared" si="2"/>
        <v>0</v>
      </c>
      <c r="CC72" s="18">
        <f>IF($X72="","",AJ72/$X$10)</f>
        <v>0</v>
      </c>
      <c r="CD72" s="18">
        <f>IF($X72="","",AK72/$X$10)</f>
        <v>0</v>
      </c>
      <c r="CE72" s="18">
        <f>IF($X72="","",AL72/$X$10)</f>
        <v>0</v>
      </c>
      <c r="CF72" s="18">
        <f>IF($X72="","",AM72/$X$10)</f>
        <v>0</v>
      </c>
      <c r="CG72" s="18">
        <f>IF($X72="","",AN72/$X$10)</f>
        <v>0</v>
      </c>
      <c r="CH72" s="18">
        <f>IF($X72="","",AO72/$X$10)</f>
        <v>0</v>
      </c>
      <c r="CI72" s="18">
        <f>IF($X72="","",AP72/$X$10)</f>
        <v>0</v>
      </c>
      <c r="CJ72" s="18">
        <f>IF($X72="","",AQ72/$X$10)</f>
        <v>0</v>
      </c>
      <c r="CK72" s="18">
        <f>IF($X72="","",AR72/$X$10)</f>
        <v>0</v>
      </c>
      <c r="CL72" s="18">
        <f>IF($X72="","",AS72/$X$10)</f>
        <v>0</v>
      </c>
      <c r="CM72" s="18">
        <f>IF($X72="","",AT72/$X$10)</f>
        <v>0</v>
      </c>
      <c r="CN72" s="18">
        <f>IF($X72="","",AU72/$X$10)</f>
        <v>0</v>
      </c>
      <c r="CO72" s="18">
        <f>IF($X72="","",AV72/$X$10)</f>
        <v>0</v>
      </c>
      <c r="CP72" s="18">
        <f>IF($X72="","",AW72/$X$10)</f>
        <v>0</v>
      </c>
      <c r="CQ72" s="18">
        <f>IF($X72="","",AX72/$X$10)</f>
        <v>0</v>
      </c>
      <c r="CR72" s="18">
        <f>IF($X72="","",AY72/$X$10)</f>
        <v>0</v>
      </c>
      <c r="CS72" s="18">
        <f>IF($X72="","",AZ72/$X$10)</f>
        <v>0</v>
      </c>
      <c r="CT72" s="18">
        <f>IF($X72="","",BA72/$X$10)</f>
        <v>0</v>
      </c>
      <c r="CU72" s="18">
        <f>IF($X72="","",BB72/$X$10)</f>
        <v>0</v>
      </c>
      <c r="CV72" s="18">
        <f>IF($X72="","",BC72/$X$10)</f>
        <v>0</v>
      </c>
      <c r="CW72" s="18">
        <f>IF($X72="","",BD72/$X$10)</f>
        <v>0</v>
      </c>
      <c r="CX72" s="18">
        <f>IF($X72="","",BE72/$X$10)</f>
        <v>0</v>
      </c>
      <c r="CY72" s="18">
        <f>IF($X72="","",BF72/$X$10)</f>
        <v>0</v>
      </c>
      <c r="CZ72" s="18">
        <f>IF($X72="","",BG72/$X$10)</f>
        <v>0</v>
      </c>
      <c r="DA72" s="18">
        <f>IF($X72="","",BH72/$X$10)</f>
        <v>0</v>
      </c>
      <c r="DB72" s="18">
        <f>IF($X72="","",BI72/$X$10)</f>
        <v>0</v>
      </c>
      <c r="DC72" s="18">
        <f>IF($X72="","",BJ72/$X$10)</f>
        <v>0</v>
      </c>
      <c r="DD72" s="18">
        <f>IF($X72="","",BK72/$X$10)</f>
        <v>0</v>
      </c>
      <c r="DE72" s="18">
        <f>IF($X72="","",BL72/$X$10)</f>
        <v>0</v>
      </c>
      <c r="DF72" s="18">
        <f>IF($X72="","",BM72/$X$10)</f>
        <v>0</v>
      </c>
      <c r="DG72" s="18">
        <f t="shared" si="3"/>
        <v>0</v>
      </c>
      <c r="DH72" s="18">
        <f>IF($X72="","",BO72/$X$10)</f>
        <v>0</v>
      </c>
      <c r="DI72" s="18">
        <f>IF($X72="","",BP72/$X$10)</f>
        <v>0</v>
      </c>
      <c r="DJ72" s="18">
        <f>IF($X72="","",BQ72/$X$10)</f>
        <v>0</v>
      </c>
      <c r="DK72" s="18">
        <f>IF($X72="","",BR72/$X$10)</f>
        <v>0</v>
      </c>
      <c r="DL72" s="18">
        <f>IF($X72="","",BS72/$X$10)</f>
        <v>0</v>
      </c>
      <c r="DM72" s="18">
        <f>IF($X72="","",BT72/$X$10)</f>
        <v>0</v>
      </c>
      <c r="DN72" s="18">
        <f t="shared" si="6"/>
        <v>0</v>
      </c>
      <c r="DO72" s="16">
        <f>IF($X72="","",SUM(Tabla152[[#This Row],[PODRIDO]],Tabla152[[#This Row],[HONGO]],Tabla152[[#This Row],[PICADO DE AVE CON PUDRICIÓN]],Tabla152[[#This Row],[FUMAGINA]])/$X$10)</f>
        <v>0</v>
      </c>
      <c r="DP72" s="16">
        <f>IF($X72="","",SUM(Tabla152[[#This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72" s="16">
        <f>IF($X72="","",SUM(Tabla152[[#This Row],[BLANDO]:[COLAPSADO]])/$X$10)</f>
        <v>0</v>
      </c>
      <c r="DR72" s="16">
        <f>IF($X72="","",SUM(Tabla152[[#This Row],[DESHIDRATADO LEVE]:[DESHIDRATADO INMADURO]])/$X$10)</f>
        <v>0</v>
      </c>
      <c r="DS72" s="18">
        <f t="shared" si="1"/>
        <v>0</v>
      </c>
      <c r="DT72" s="16">
        <f>IF($X72="","",SUM(Tabla152[[#This Row],[PRESENCIA DE LARVA]],Tabla152[[#This Row],[CHANCHITO BLANCO]])/$X$10)</f>
        <v>0</v>
      </c>
      <c r="DU72" s="18">
        <f>IF($X72="","",SUM(Tabla152[[#This Row],[ROJO GRADO 2 A MÁS]],Tabla152[[#This Row],[IMMADURO VERDE]],Tabla152[[#This Row],[DESORDEN POR MADURACIÓN]],Tabla152[[#This Row],[ARO PEDICELAR VERDE EXTREMO]])/$X$10)</f>
        <v>0</v>
      </c>
      <c r="DV72" s="16">
        <f>IF($X72="","",SUM(Tabla152[[#This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72" s="16">
        <f>IF($X72="","",BU72/$X$10)</f>
        <v>0</v>
      </c>
      <c r="DX72" s="16">
        <f>IF($X72="","",AJ72/$X$10)</f>
        <v>0</v>
      </c>
      <c r="DY72" s="16">
        <f>IF($X72="","",SUM(Tabla152[[#This Row],[PRESENCIA DE COROLA]],Tabla152[[#This Row],[PRESENCIA DE RESTO FLORAL VERDE]],Tabla152[[#This Row],[PRESENCIA DE PEDÚNCULO]])/$X$10)</f>
        <v>0</v>
      </c>
      <c r="DZ72" s="16">
        <f>IF($X72="","",SUM(Tabla152[[#This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73" spans="1:130" x14ac:dyDescent="0.3">
      <c r="A73" s="9">
        <f>IF(W73="","",IF(ROW()=10,1,IF(W73=W72,A72,MAX($A$9:A72)+1)))</f>
        <v>21</v>
      </c>
      <c r="B73" s="9">
        <f>WEEKNUM(Tabla152[[#This Row],[FECHA DE COSECHA]],21)</f>
        <v>36</v>
      </c>
      <c r="C73" s="9"/>
      <c r="D73" s="17">
        <v>46267</v>
      </c>
      <c r="E73" s="17">
        <v>46267</v>
      </c>
      <c r="F73" s="9">
        <v>1</v>
      </c>
      <c r="G73" s="9" t="s">
        <v>77</v>
      </c>
      <c r="H73" s="9" t="s">
        <v>144</v>
      </c>
      <c r="I73" s="9" t="s">
        <v>134</v>
      </c>
      <c r="J73" s="9" t="s">
        <v>78</v>
      </c>
      <c r="K73" s="9" t="s">
        <v>153</v>
      </c>
      <c r="L73" s="9" t="s">
        <v>131</v>
      </c>
      <c r="M73" s="9" t="s">
        <v>239</v>
      </c>
      <c r="N73" s="9" t="s">
        <v>151</v>
      </c>
      <c r="O73" s="9" t="s">
        <v>244</v>
      </c>
      <c r="P73" s="9" t="s">
        <v>152</v>
      </c>
      <c r="Q73" s="9"/>
      <c r="R73" s="9">
        <v>8</v>
      </c>
      <c r="S73" s="9">
        <v>74547547</v>
      </c>
      <c r="T73" t="s">
        <v>232</v>
      </c>
      <c r="U73" s="9" t="s">
        <v>147</v>
      </c>
      <c r="V73" s="9"/>
      <c r="W73" s="19" t="s">
        <v>173</v>
      </c>
      <c r="X73" s="9">
        <v>61</v>
      </c>
      <c r="Y73" s="9">
        <v>1</v>
      </c>
      <c r="Z73" s="9">
        <v>15</v>
      </c>
      <c r="AA73" s="9" t="str">
        <f>IF(Tabla152[[#This Row],[NOTA]]=15,"CUMPLE","NO CUMPLE")</f>
        <v>CUMPLE</v>
      </c>
      <c r="AB73" s="9" t="str">
        <f>IF(COUNTIF($A$10:A73,A73)=1,IF(COUNTIFS($A:$A,A73,$AA:$AA,"NO CUMPLE")&gt;0,"NO CUMPLE","CUMPLE"),"")</f>
        <v>CUMPLE</v>
      </c>
      <c r="AC73" s="9" t="s">
        <v>140</v>
      </c>
      <c r="AD73" s="8"/>
      <c r="AE73" s="8">
        <v>1</v>
      </c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18"/>
      <c r="BX73" s="18">
        <f>IF($X73="","",AE73/$X$10)</f>
        <v>1.5873015873015872E-2</v>
      </c>
      <c r="BY73" s="18">
        <f>IF($X73="","",AF73/$X$10)</f>
        <v>0</v>
      </c>
      <c r="BZ73" s="18">
        <f>IF($X73="","",AG73/$X$10)</f>
        <v>0</v>
      </c>
      <c r="CA73" s="18">
        <f>IF($X73="","",AH73/$X$10)</f>
        <v>0</v>
      </c>
      <c r="CB73" s="18">
        <f t="shared" si="2"/>
        <v>0</v>
      </c>
      <c r="CC73" s="18">
        <f>IF($X73="","",AJ73/$X$10)</f>
        <v>0</v>
      </c>
      <c r="CD73" s="18">
        <f>IF($X73="","",AK73/$X$10)</f>
        <v>0</v>
      </c>
      <c r="CE73" s="18">
        <f>IF($X73="","",AL73/$X$10)</f>
        <v>0</v>
      </c>
      <c r="CF73" s="18">
        <f>IF($X73="","",AM73/$X$10)</f>
        <v>0</v>
      </c>
      <c r="CG73" s="18">
        <f>IF($X73="","",AN73/$X$10)</f>
        <v>0</v>
      </c>
      <c r="CH73" s="18">
        <f>IF($X73="","",AO73/$X$10)</f>
        <v>0</v>
      </c>
      <c r="CI73" s="18">
        <f>IF($X73="","",AP73/$X$10)</f>
        <v>0</v>
      </c>
      <c r="CJ73" s="18">
        <f>IF($X73="","",AQ73/$X$10)</f>
        <v>0</v>
      </c>
      <c r="CK73" s="18">
        <f>IF($X73="","",AR73/$X$10)</f>
        <v>0</v>
      </c>
      <c r="CL73" s="18">
        <f>IF($X73="","",AS73/$X$10)</f>
        <v>0</v>
      </c>
      <c r="CM73" s="18">
        <f>IF($X73="","",AT73/$X$10)</f>
        <v>0</v>
      </c>
      <c r="CN73" s="18">
        <f>IF($X73="","",AU73/$X$10)</f>
        <v>0</v>
      </c>
      <c r="CO73" s="18">
        <f>IF($X73="","",AV73/$X$10)</f>
        <v>0</v>
      </c>
      <c r="CP73" s="18">
        <f>IF($X73="","",AW73/$X$10)</f>
        <v>0</v>
      </c>
      <c r="CQ73" s="18">
        <f>IF($X73="","",AX73/$X$10)</f>
        <v>0</v>
      </c>
      <c r="CR73" s="18">
        <f>IF($X73="","",AY73/$X$10)</f>
        <v>0</v>
      </c>
      <c r="CS73" s="18">
        <f>IF($X73="","",AZ73/$X$10)</f>
        <v>0</v>
      </c>
      <c r="CT73" s="18">
        <f>IF($X73="","",BA73/$X$10)</f>
        <v>0</v>
      </c>
      <c r="CU73" s="18">
        <f>IF($X73="","",BB73/$X$10)</f>
        <v>0</v>
      </c>
      <c r="CV73" s="18">
        <f>IF($X73="","",BC73/$X$10)</f>
        <v>0</v>
      </c>
      <c r="CW73" s="18">
        <f>IF($X73="","",BD73/$X$10)</f>
        <v>0</v>
      </c>
      <c r="CX73" s="18">
        <f>IF($X73="","",BE73/$X$10)</f>
        <v>0</v>
      </c>
      <c r="CY73" s="18">
        <f>IF($X73="","",BF73/$X$10)</f>
        <v>0</v>
      </c>
      <c r="CZ73" s="18">
        <f>IF($X73="","",BG73/$X$10)</f>
        <v>0</v>
      </c>
      <c r="DA73" s="18">
        <f>IF($X73="","",BH73/$X$10)</f>
        <v>0</v>
      </c>
      <c r="DB73" s="18">
        <f>IF($X73="","",BI73/$X$10)</f>
        <v>0</v>
      </c>
      <c r="DC73" s="18">
        <f>IF($X73="","",BJ73/$X$10)</f>
        <v>0</v>
      </c>
      <c r="DD73" s="18">
        <f>IF($X73="","",BK73/$X$10)</f>
        <v>0</v>
      </c>
      <c r="DE73" s="18">
        <f>IF($X73="","",BL73/$X$10)</f>
        <v>0</v>
      </c>
      <c r="DF73" s="18">
        <f>IF($X73="","",BM73/$X$10)</f>
        <v>0</v>
      </c>
      <c r="DG73" s="18">
        <f t="shared" si="3"/>
        <v>0</v>
      </c>
      <c r="DH73" s="18">
        <f>IF($X73="","",BO73/$X$10)</f>
        <v>0</v>
      </c>
      <c r="DI73" s="18">
        <f>IF($X73="","",BP73/$X$10)</f>
        <v>0</v>
      </c>
      <c r="DJ73" s="18">
        <f>IF($X73="","",BQ73/$X$10)</f>
        <v>0</v>
      </c>
      <c r="DK73" s="18">
        <f>IF($X73="","",BR73/$X$10)</f>
        <v>0</v>
      </c>
      <c r="DL73" s="18">
        <f>IF($X73="","",BS73/$X$10)</f>
        <v>0</v>
      </c>
      <c r="DM73" s="18">
        <f>IF($X73="","",BT73/$X$10)</f>
        <v>0</v>
      </c>
      <c r="DN73" s="18">
        <f t="shared" si="6"/>
        <v>0</v>
      </c>
      <c r="DO73" s="16">
        <f>IF($X73="","",SUM(Tabla152[[#This Row],[PODRIDO]],Tabla152[[#This Row],[HONGO]],Tabla152[[#This Row],[PICADO DE AVE CON PUDRICIÓN]],Tabla152[[#This Row],[FUMAGINA]])/$X$10)</f>
        <v>0</v>
      </c>
      <c r="DP73" s="16">
        <f>IF($X73="","",SUM(Tabla152[[#This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73" s="16">
        <f>IF($X73="","",SUM(Tabla152[[#This Row],[BLANDO]:[COLAPSADO]])/$X$10)</f>
        <v>0</v>
      </c>
      <c r="DR73" s="16">
        <f>IF($X73="","",SUM(Tabla152[[#This Row],[DESHIDRATADO LEVE]:[DESHIDRATADO INMADURO]])/$X$10)</f>
        <v>0</v>
      </c>
      <c r="DS73" s="18">
        <f t="shared" si="1"/>
        <v>0</v>
      </c>
      <c r="DT73" s="16">
        <f>IF($X73="","",SUM(Tabla152[[#This Row],[PRESENCIA DE LARVA]],Tabla152[[#This Row],[CHANCHITO BLANCO]])/$X$10)</f>
        <v>0</v>
      </c>
      <c r="DU73" s="18">
        <f>IF($X73="","",SUM(Tabla152[[#This Row],[ROJO GRADO 2 A MÁS]],Tabla152[[#This Row],[IMMADURO VERDE]],Tabla152[[#This Row],[DESORDEN POR MADURACIÓN]],Tabla152[[#This Row],[ARO PEDICELAR VERDE EXTREMO]])/$X$10)</f>
        <v>0</v>
      </c>
      <c r="DV73" s="16">
        <f>IF($X73="","",SUM(Tabla152[[#This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73" s="16">
        <f>IF($X73="","",BU73/$X$10)</f>
        <v>0</v>
      </c>
      <c r="DX73" s="16">
        <f>IF($X73="","",AJ73/$X$10)</f>
        <v>0</v>
      </c>
      <c r="DY73" s="16">
        <f>IF($X73="","",SUM(Tabla152[[#This Row],[PRESENCIA DE COROLA]],Tabla152[[#This Row],[PRESENCIA DE RESTO FLORAL VERDE]],Tabla152[[#This Row],[PRESENCIA DE PEDÚNCULO]])/$X$10)</f>
        <v>1.5873015873015872E-2</v>
      </c>
      <c r="DZ73" s="16">
        <f>IF($X73="","",SUM(Tabla152[[#This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74" spans="1:130" x14ac:dyDescent="0.3">
      <c r="A74" s="9">
        <f>IF(W74="","",IF(ROW()=10,1,IF(W74=W73,A73,MAX($A$9:A73)+1)))</f>
        <v>21</v>
      </c>
      <c r="B74" s="9">
        <f>WEEKNUM(Tabla152[[#This Row],[FECHA DE COSECHA]],21)</f>
        <v>36</v>
      </c>
      <c r="C74" s="9"/>
      <c r="D74" s="17">
        <v>46267</v>
      </c>
      <c r="E74" s="17">
        <v>46267</v>
      </c>
      <c r="F74" s="9">
        <v>1</v>
      </c>
      <c r="G74" s="9" t="s">
        <v>77</v>
      </c>
      <c r="H74" s="9" t="s">
        <v>144</v>
      </c>
      <c r="I74" s="9" t="s">
        <v>134</v>
      </c>
      <c r="J74" s="9" t="s">
        <v>78</v>
      </c>
      <c r="K74" s="9" t="s">
        <v>153</v>
      </c>
      <c r="L74" s="9" t="s">
        <v>131</v>
      </c>
      <c r="M74" s="9" t="s">
        <v>239</v>
      </c>
      <c r="N74" s="9" t="s">
        <v>151</v>
      </c>
      <c r="O74" s="9" t="s">
        <v>244</v>
      </c>
      <c r="P74" s="9" t="s">
        <v>152</v>
      </c>
      <c r="Q74" s="9"/>
      <c r="R74" s="9">
        <v>8</v>
      </c>
      <c r="S74" s="9">
        <v>74547547</v>
      </c>
      <c r="T74" t="s">
        <v>232</v>
      </c>
      <c r="U74" s="9" t="s">
        <v>147</v>
      </c>
      <c r="V74" s="9"/>
      <c r="W74" s="19" t="s">
        <v>173</v>
      </c>
      <c r="X74" s="9">
        <v>61</v>
      </c>
      <c r="Y74" s="9">
        <v>2</v>
      </c>
      <c r="Z74" s="9">
        <v>15</v>
      </c>
      <c r="AA74" s="9" t="str">
        <f>IF(Tabla152[[#This Row],[NOTA]]=15,"CUMPLE","NO CUMPLE")</f>
        <v>CUMPLE</v>
      </c>
      <c r="AB74" s="9" t="str">
        <f>IF(COUNTIF($A$10:A74,A74)=1,IF(COUNTIFS($A:$A,A74,$AA:$AA,"NO CUMPLE")&gt;0,"NO CUMPLE","CUMPLE"),"")</f>
        <v/>
      </c>
      <c r="AC74" s="9"/>
      <c r="AD74" s="8"/>
      <c r="AE74" s="8">
        <v>1</v>
      </c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18"/>
      <c r="BX74" s="18">
        <f>IF($X74="","",AE74/$X$10)</f>
        <v>1.5873015873015872E-2</v>
      </c>
      <c r="BY74" s="18">
        <f>IF($X74="","",AF74/$X$10)</f>
        <v>0</v>
      </c>
      <c r="BZ74" s="18">
        <f>IF($X74="","",AG74/$X$10)</f>
        <v>0</v>
      </c>
      <c r="CA74" s="18">
        <f>IF($X74="","",AH74/$X$10)</f>
        <v>0</v>
      </c>
      <c r="CB74" s="18">
        <f t="shared" si="2"/>
        <v>0</v>
      </c>
      <c r="CC74" s="18">
        <f>IF($X74="","",AJ74/$X$10)</f>
        <v>0</v>
      </c>
      <c r="CD74" s="18">
        <f>IF($X74="","",AK74/$X$10)</f>
        <v>0</v>
      </c>
      <c r="CE74" s="18">
        <f>IF($X74="","",AL74/$X$10)</f>
        <v>0</v>
      </c>
      <c r="CF74" s="18">
        <f>IF($X74="","",AM74/$X$10)</f>
        <v>0</v>
      </c>
      <c r="CG74" s="18">
        <f>IF($X74="","",AN74/$X$10)</f>
        <v>0</v>
      </c>
      <c r="CH74" s="18">
        <f>IF($X74="","",AO74/$X$10)</f>
        <v>0</v>
      </c>
      <c r="CI74" s="18">
        <f>IF($X74="","",AP74/$X$10)</f>
        <v>0</v>
      </c>
      <c r="CJ74" s="18">
        <f>IF($X74="","",AQ74/$X$10)</f>
        <v>0</v>
      </c>
      <c r="CK74" s="18">
        <f>IF($X74="","",AR74/$X$10)</f>
        <v>0</v>
      </c>
      <c r="CL74" s="18">
        <f>IF($X74="","",AS74/$X$10)</f>
        <v>0</v>
      </c>
      <c r="CM74" s="18">
        <f>IF($X74="","",AT74/$X$10)</f>
        <v>0</v>
      </c>
      <c r="CN74" s="18">
        <f>IF($X74="","",AU74/$X$10)</f>
        <v>0</v>
      </c>
      <c r="CO74" s="18">
        <f>IF($X74="","",AV74/$X$10)</f>
        <v>0</v>
      </c>
      <c r="CP74" s="18">
        <f>IF($X74="","",AW74/$X$10)</f>
        <v>0</v>
      </c>
      <c r="CQ74" s="18">
        <f>IF($X74="","",AX74/$X$10)</f>
        <v>0</v>
      </c>
      <c r="CR74" s="18">
        <f>IF($X74="","",AY74/$X$10)</f>
        <v>0</v>
      </c>
      <c r="CS74" s="18">
        <f>IF($X74="","",AZ74/$X$10)</f>
        <v>0</v>
      </c>
      <c r="CT74" s="18">
        <f>IF($X74="","",BA74/$X$10)</f>
        <v>0</v>
      </c>
      <c r="CU74" s="18">
        <f>IF($X74="","",BB74/$X$10)</f>
        <v>0</v>
      </c>
      <c r="CV74" s="18">
        <f>IF($X74="","",BC74/$X$10)</f>
        <v>0</v>
      </c>
      <c r="CW74" s="18">
        <f>IF($X74="","",BD74/$X$10)</f>
        <v>0</v>
      </c>
      <c r="CX74" s="18">
        <f>IF($X74="","",BE74/$X$10)</f>
        <v>0</v>
      </c>
      <c r="CY74" s="18">
        <f>IF($X74="","",BF74/$X$10)</f>
        <v>0</v>
      </c>
      <c r="CZ74" s="18">
        <f>IF($X74="","",BG74/$X$10)</f>
        <v>0</v>
      </c>
      <c r="DA74" s="18">
        <f>IF($X74="","",BH74/$X$10)</f>
        <v>0</v>
      </c>
      <c r="DB74" s="18">
        <f>IF($X74="","",BI74/$X$10)</f>
        <v>0</v>
      </c>
      <c r="DC74" s="18">
        <f>IF($X74="","",BJ74/$X$10)</f>
        <v>0</v>
      </c>
      <c r="DD74" s="18">
        <f>IF($X74="","",BK74/$X$10)</f>
        <v>0</v>
      </c>
      <c r="DE74" s="18">
        <f>IF($X74="","",BL74/$X$10)</f>
        <v>0</v>
      </c>
      <c r="DF74" s="18">
        <f>IF($X74="","",BM74/$X$10)</f>
        <v>0</v>
      </c>
      <c r="DG74" s="18">
        <f t="shared" si="3"/>
        <v>0</v>
      </c>
      <c r="DH74" s="18">
        <f>IF($X74="","",BO74/$X$10)</f>
        <v>0</v>
      </c>
      <c r="DI74" s="18">
        <f>IF($X74="","",BP74/$X$10)</f>
        <v>0</v>
      </c>
      <c r="DJ74" s="18">
        <f>IF($X74="","",BQ74/$X$10)</f>
        <v>0</v>
      </c>
      <c r="DK74" s="18">
        <f>IF($X74="","",BR74/$X$10)</f>
        <v>0</v>
      </c>
      <c r="DL74" s="18">
        <f>IF($X74="","",BS74/$X$10)</f>
        <v>0</v>
      </c>
      <c r="DM74" s="18">
        <f>IF($X74="","",BT74/$X$10)</f>
        <v>0</v>
      </c>
      <c r="DN74" s="18">
        <f t="shared" si="6"/>
        <v>0</v>
      </c>
      <c r="DO74" s="16">
        <f>IF($X74="","",SUM(Tabla152[[#This Row],[PODRIDO]],Tabla152[[#This Row],[HONGO]],Tabla152[[#This Row],[PICADO DE AVE CON PUDRICIÓN]],Tabla152[[#This Row],[FUMAGINA]])/$X$10)</f>
        <v>0</v>
      </c>
      <c r="DP74" s="16">
        <f>IF($X74="","",SUM(Tabla152[[#This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74" s="16">
        <f>IF($X74="","",SUM(Tabla152[[#This Row],[BLANDO]:[COLAPSADO]])/$X$10)</f>
        <v>0</v>
      </c>
      <c r="DR74" s="16">
        <f>IF($X74="","",SUM(Tabla152[[#This Row],[DESHIDRATADO LEVE]:[DESHIDRATADO INMADURO]])/$X$10)</f>
        <v>0</v>
      </c>
      <c r="DS74" s="18">
        <f t="shared" ref="DS74:DS137" si="7">IF($X74="","",BC74/$X$10)</f>
        <v>0</v>
      </c>
      <c r="DT74" s="16">
        <f>IF($X74="","",SUM(Tabla152[[#This Row],[PRESENCIA DE LARVA]],Tabla152[[#This Row],[CHANCHITO BLANCO]])/$X$10)</f>
        <v>0</v>
      </c>
      <c r="DU74" s="18">
        <f>IF($X74="","",SUM(Tabla152[[#This Row],[ROJO GRADO 2 A MÁS]],Tabla152[[#This Row],[IMMADURO VERDE]],Tabla152[[#This Row],[DESORDEN POR MADURACIÓN]],Tabla152[[#This Row],[ARO PEDICELAR VERDE EXTREMO]])/$X$10)</f>
        <v>0</v>
      </c>
      <c r="DV74" s="16">
        <f>IF($X74="","",SUM(Tabla152[[#This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74" s="16">
        <f t="shared" ref="DW74:DW137" si="8">IF($X74="","",BU74/$X$10)</f>
        <v>0</v>
      </c>
      <c r="DX74" s="16">
        <f>IF($X74="","",AJ74/$X$10)</f>
        <v>0</v>
      </c>
      <c r="DY74" s="16">
        <f>IF($X74="","",SUM(Tabla152[[#This Row],[PRESENCIA DE COROLA]],Tabla152[[#This Row],[PRESENCIA DE RESTO FLORAL VERDE]],Tabla152[[#This Row],[PRESENCIA DE PEDÚNCULO]])/$X$10)</f>
        <v>1.5873015873015872E-2</v>
      </c>
      <c r="DZ74" s="16">
        <f>IF($X74="","",SUM(Tabla152[[#This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75" spans="1:130" x14ac:dyDescent="0.3">
      <c r="A75" s="9">
        <f>IF(W75="","",IF(ROW()=10,1,IF(W75=W74,A74,MAX($A$9:A74)+1)))</f>
        <v>21</v>
      </c>
      <c r="B75" s="9">
        <f>WEEKNUM(Tabla152[[#This Row],[FECHA DE COSECHA]],21)</f>
        <v>36</v>
      </c>
      <c r="C75" s="9"/>
      <c r="D75" s="17">
        <v>46267</v>
      </c>
      <c r="E75" s="17">
        <v>46267</v>
      </c>
      <c r="F75" s="9">
        <v>1</v>
      </c>
      <c r="G75" s="9" t="s">
        <v>77</v>
      </c>
      <c r="H75" s="9" t="s">
        <v>144</v>
      </c>
      <c r="I75" s="9" t="s">
        <v>134</v>
      </c>
      <c r="J75" s="9" t="s">
        <v>78</v>
      </c>
      <c r="K75" s="9" t="s">
        <v>153</v>
      </c>
      <c r="L75" s="9" t="s">
        <v>131</v>
      </c>
      <c r="M75" s="9" t="s">
        <v>239</v>
      </c>
      <c r="N75" s="9" t="s">
        <v>151</v>
      </c>
      <c r="O75" s="9" t="s">
        <v>244</v>
      </c>
      <c r="P75" s="9" t="s">
        <v>152</v>
      </c>
      <c r="Q75" s="9"/>
      <c r="R75" s="9">
        <v>8</v>
      </c>
      <c r="S75" s="9">
        <v>74547547</v>
      </c>
      <c r="T75" t="s">
        <v>232</v>
      </c>
      <c r="U75" s="9" t="s">
        <v>147</v>
      </c>
      <c r="V75" s="9"/>
      <c r="W75" s="19" t="s">
        <v>173</v>
      </c>
      <c r="X75" s="9">
        <v>61</v>
      </c>
      <c r="Y75" s="9">
        <v>3</v>
      </c>
      <c r="Z75" s="9">
        <v>15</v>
      </c>
      <c r="AA75" s="9" t="str">
        <f>IF(Tabla152[[#This Row],[NOTA]]=15,"CUMPLE","NO CUMPLE")</f>
        <v>CUMPLE</v>
      </c>
      <c r="AB75" s="9" t="str">
        <f>IF(COUNTIF($A$10:A75,A75)=1,IF(COUNTIFS($A:$A,A75,$AA:$AA,"NO CUMPLE")&gt;0,"NO CUMPLE","CUMPLE"),"")</f>
        <v/>
      </c>
      <c r="AC75" s="9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18"/>
      <c r="BX75" s="18">
        <f>IF($X75="","",AE75/$X$10)</f>
        <v>0</v>
      </c>
      <c r="BY75" s="18">
        <f>IF($X75="","",AF75/$X$10)</f>
        <v>0</v>
      </c>
      <c r="BZ75" s="18">
        <f>IF($X75="","",AG75/$X$10)</f>
        <v>0</v>
      </c>
      <c r="CA75" s="18">
        <f>IF($X75="","",AH75/$X$10)</f>
        <v>0</v>
      </c>
      <c r="CB75" s="18">
        <f t="shared" ref="CB75:CB138" si="9">IF($X75="","",AI75/$X$10)</f>
        <v>0</v>
      </c>
      <c r="CC75" s="18">
        <f>IF($X75="","",AJ75/$X$10)</f>
        <v>0</v>
      </c>
      <c r="CD75" s="18">
        <f>IF($X75="","",AK75/$X$10)</f>
        <v>0</v>
      </c>
      <c r="CE75" s="18">
        <f>IF($X75="","",AL75/$X$10)</f>
        <v>0</v>
      </c>
      <c r="CF75" s="18">
        <f>IF($X75="","",AM75/$X$10)</f>
        <v>0</v>
      </c>
      <c r="CG75" s="18">
        <f>IF($X75="","",AN75/$X$10)</f>
        <v>0</v>
      </c>
      <c r="CH75" s="18">
        <f>IF($X75="","",AO75/$X$10)</f>
        <v>0</v>
      </c>
      <c r="CI75" s="18">
        <f>IF($X75="","",AP75/$X$10)</f>
        <v>0</v>
      </c>
      <c r="CJ75" s="18">
        <f>IF($X75="","",AQ75/$X$10)</f>
        <v>0</v>
      </c>
      <c r="CK75" s="18">
        <f>IF($X75="","",AR75/$X$10)</f>
        <v>0</v>
      </c>
      <c r="CL75" s="18">
        <f>IF($X75="","",AS75/$X$10)</f>
        <v>0</v>
      </c>
      <c r="CM75" s="18">
        <f>IF($X75="","",AT75/$X$10)</f>
        <v>0</v>
      </c>
      <c r="CN75" s="18">
        <f>IF($X75="","",AU75/$X$10)</f>
        <v>0</v>
      </c>
      <c r="CO75" s="18">
        <f>IF($X75="","",AV75/$X$10)</f>
        <v>0</v>
      </c>
      <c r="CP75" s="18">
        <f>IF($X75="","",AW75/$X$10)</f>
        <v>0</v>
      </c>
      <c r="CQ75" s="18">
        <f>IF($X75="","",AX75/$X$10)</f>
        <v>0</v>
      </c>
      <c r="CR75" s="18">
        <f>IF($X75="","",AY75/$X$10)</f>
        <v>0</v>
      </c>
      <c r="CS75" s="18">
        <f>IF($X75="","",AZ75/$X$10)</f>
        <v>0</v>
      </c>
      <c r="CT75" s="18">
        <f>IF($X75="","",BA75/$X$10)</f>
        <v>0</v>
      </c>
      <c r="CU75" s="18">
        <f>IF($X75="","",BB75/$X$10)</f>
        <v>0</v>
      </c>
      <c r="CV75" s="18">
        <f>IF($X75="","",BC75/$X$10)</f>
        <v>0</v>
      </c>
      <c r="CW75" s="18">
        <f>IF($X75="","",BD75/$X$10)</f>
        <v>0</v>
      </c>
      <c r="CX75" s="18">
        <f>IF($X75="","",BE75/$X$10)</f>
        <v>0</v>
      </c>
      <c r="CY75" s="18">
        <f>IF($X75="","",BF75/$X$10)</f>
        <v>0</v>
      </c>
      <c r="CZ75" s="18">
        <f>IF($X75="","",BG75/$X$10)</f>
        <v>0</v>
      </c>
      <c r="DA75" s="18">
        <f>IF($X75="","",BH75/$X$10)</f>
        <v>0</v>
      </c>
      <c r="DB75" s="18">
        <f>IF($X75="","",BI75/$X$10)</f>
        <v>0</v>
      </c>
      <c r="DC75" s="18">
        <f>IF($X75="","",BJ75/$X$10)</f>
        <v>0</v>
      </c>
      <c r="DD75" s="18">
        <f>IF($X75="","",BK75/$X$10)</f>
        <v>0</v>
      </c>
      <c r="DE75" s="18">
        <f>IF($X75="","",BL75/$X$10)</f>
        <v>0</v>
      </c>
      <c r="DF75" s="18">
        <f>IF($X75="","",BM75/$X$10)</f>
        <v>0</v>
      </c>
      <c r="DG75" s="18">
        <f t="shared" ref="DG75:DG138" si="10">IF($X75="","",BN75/$X$10)</f>
        <v>0</v>
      </c>
      <c r="DH75" s="18">
        <f>IF($X75="","",BO75/$X$10)</f>
        <v>0</v>
      </c>
      <c r="DI75" s="18">
        <f>IF($X75="","",BP75/$X$10)</f>
        <v>0</v>
      </c>
      <c r="DJ75" s="18">
        <f>IF($X75="","",BQ75/$X$10)</f>
        <v>0</v>
      </c>
      <c r="DK75" s="18">
        <f>IF($X75="","",BR75/$X$10)</f>
        <v>0</v>
      </c>
      <c r="DL75" s="18">
        <f>IF($X75="","",BS75/$X$10)</f>
        <v>0</v>
      </c>
      <c r="DM75" s="18">
        <f>IF($X75="","",BT75/$X$10)</f>
        <v>0</v>
      </c>
      <c r="DN75" s="18">
        <f t="shared" si="6"/>
        <v>0</v>
      </c>
      <c r="DO75" s="16">
        <f>IF($X75="","",SUM(Tabla152[[#This Row],[PODRIDO]],Tabla152[[#This Row],[HONGO]],Tabla152[[#This Row],[PICADO DE AVE CON PUDRICIÓN]],Tabla152[[#This Row],[FUMAGINA]])/$X$10)</f>
        <v>0</v>
      </c>
      <c r="DP75" s="16">
        <f>IF($X75="","",SUM(Tabla152[[#This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75" s="16">
        <f>IF($X75="","",SUM(Tabla152[[#This Row],[BLANDO]:[COLAPSADO]])/$X$10)</f>
        <v>0</v>
      </c>
      <c r="DR75" s="16">
        <f>IF($X75="","",SUM(Tabla152[[#This Row],[DESHIDRATADO LEVE]:[DESHIDRATADO INMADURO]])/$X$10)</f>
        <v>0</v>
      </c>
      <c r="DS75" s="18">
        <f t="shared" si="7"/>
        <v>0</v>
      </c>
      <c r="DT75" s="16">
        <f>IF($X75="","",SUM(Tabla152[[#This Row],[PRESENCIA DE LARVA]],Tabla152[[#This Row],[CHANCHITO BLANCO]])/$X$10)</f>
        <v>0</v>
      </c>
      <c r="DU75" s="18">
        <f>IF($X75="","",SUM(Tabla152[[#This Row],[ROJO GRADO 2 A MÁS]],Tabla152[[#This Row],[IMMADURO VERDE]],Tabla152[[#This Row],[DESORDEN POR MADURACIÓN]],Tabla152[[#This Row],[ARO PEDICELAR VERDE EXTREMO]])/$X$10)</f>
        <v>0</v>
      </c>
      <c r="DV75" s="16">
        <f>IF($X75="","",SUM(Tabla152[[#This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75" s="16">
        <f t="shared" si="8"/>
        <v>0</v>
      </c>
      <c r="DX75" s="16">
        <f>IF($X75="","",AJ75/$X$10)</f>
        <v>0</v>
      </c>
      <c r="DY75" s="16">
        <f>IF($X75="","",SUM(Tabla152[[#This Row],[PRESENCIA DE COROLA]],Tabla152[[#This Row],[PRESENCIA DE RESTO FLORAL VERDE]],Tabla152[[#This Row],[PRESENCIA DE PEDÚNCULO]])/$X$10)</f>
        <v>0</v>
      </c>
      <c r="DZ75" s="16">
        <f>IF($X75="","",SUM(Tabla152[[#This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76" spans="1:130" x14ac:dyDescent="0.3">
      <c r="A76" s="9">
        <f>IF(W76="","",IF(ROW()=10,1,IF(W76=W75,A75,MAX($A$9:A75)+1)))</f>
        <v>22</v>
      </c>
      <c r="B76" s="9">
        <f>WEEKNUM(Tabla152[[#This Row],[FECHA DE COSECHA]],21)</f>
        <v>36</v>
      </c>
      <c r="C76" s="9"/>
      <c r="D76" s="17">
        <v>46267</v>
      </c>
      <c r="E76" s="17">
        <v>46267</v>
      </c>
      <c r="F76" s="9">
        <v>1</v>
      </c>
      <c r="G76" s="9" t="s">
        <v>77</v>
      </c>
      <c r="H76" s="9" t="s">
        <v>144</v>
      </c>
      <c r="I76" s="9" t="s">
        <v>134</v>
      </c>
      <c r="J76" s="9" t="s">
        <v>78</v>
      </c>
      <c r="K76" s="9" t="s">
        <v>153</v>
      </c>
      <c r="L76" s="9" t="s">
        <v>131</v>
      </c>
      <c r="M76" s="9" t="s">
        <v>239</v>
      </c>
      <c r="N76" s="9" t="s">
        <v>151</v>
      </c>
      <c r="O76" s="9" t="s">
        <v>244</v>
      </c>
      <c r="P76" s="9" t="s">
        <v>152</v>
      </c>
      <c r="Q76" s="9"/>
      <c r="R76" s="9">
        <v>8</v>
      </c>
      <c r="S76" s="9">
        <v>74547547</v>
      </c>
      <c r="T76" t="s">
        <v>232</v>
      </c>
      <c r="U76" s="9" t="s">
        <v>147</v>
      </c>
      <c r="V76" s="9"/>
      <c r="W76" s="19" t="s">
        <v>174</v>
      </c>
      <c r="X76" s="9">
        <v>61</v>
      </c>
      <c r="Y76" s="9">
        <v>1</v>
      </c>
      <c r="Z76" s="9">
        <v>15</v>
      </c>
      <c r="AA76" s="9" t="str">
        <f>IF(Tabla152[[#This Row],[NOTA]]=15,"CUMPLE","NO CUMPLE")</f>
        <v>CUMPLE</v>
      </c>
      <c r="AB76" s="9" t="str">
        <f>IF(COUNTIF($A$10:A76,A76)=1,IF(COUNTIFS($A:$A,A76,$AA:$AA,"NO CUMPLE")&gt;0,"NO CUMPLE","CUMPLE"),"")</f>
        <v>CUMPLE</v>
      </c>
      <c r="AC76" s="9" t="s">
        <v>140</v>
      </c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18"/>
      <c r="BX76" s="18">
        <f>IF($X76="","",AE76/$X$10)</f>
        <v>0</v>
      </c>
      <c r="BY76" s="18">
        <f>IF($X76="","",AF76/$X$10)</f>
        <v>0</v>
      </c>
      <c r="BZ76" s="18">
        <f>IF($X76="","",AG76/$X$10)</f>
        <v>0</v>
      </c>
      <c r="CA76" s="18">
        <f>IF($X76="","",AH76/$X$10)</f>
        <v>0</v>
      </c>
      <c r="CB76" s="18">
        <f t="shared" si="9"/>
        <v>0</v>
      </c>
      <c r="CC76" s="18">
        <f>IF($X76="","",AJ76/$X$10)</f>
        <v>0</v>
      </c>
      <c r="CD76" s="18">
        <f>IF($X76="","",AK76/$X$10)</f>
        <v>0</v>
      </c>
      <c r="CE76" s="18">
        <f>IF($X76="","",AL76/$X$10)</f>
        <v>0</v>
      </c>
      <c r="CF76" s="18">
        <f>IF($X76="","",AM76/$X$10)</f>
        <v>0</v>
      </c>
      <c r="CG76" s="18">
        <f>IF($X76="","",AN76/$X$10)</f>
        <v>0</v>
      </c>
      <c r="CH76" s="18">
        <f>IF($X76="","",AO76/$X$10)</f>
        <v>0</v>
      </c>
      <c r="CI76" s="18">
        <f>IF($X76="","",AP76/$X$10)</f>
        <v>0</v>
      </c>
      <c r="CJ76" s="18">
        <f>IF($X76="","",AQ76/$X$10)</f>
        <v>0</v>
      </c>
      <c r="CK76" s="18">
        <f>IF($X76="","",AR76/$X$10)</f>
        <v>0</v>
      </c>
      <c r="CL76" s="18">
        <f>IF($X76="","",AS76/$X$10)</f>
        <v>0</v>
      </c>
      <c r="CM76" s="18">
        <f>IF($X76="","",AT76/$X$10)</f>
        <v>0</v>
      </c>
      <c r="CN76" s="18">
        <f>IF($X76="","",AU76/$X$10)</f>
        <v>0</v>
      </c>
      <c r="CO76" s="18">
        <f>IF($X76="","",AV76/$X$10)</f>
        <v>0</v>
      </c>
      <c r="CP76" s="18">
        <f>IF($X76="","",AW76/$X$10)</f>
        <v>0</v>
      </c>
      <c r="CQ76" s="18">
        <f>IF($X76="","",AX76/$X$10)</f>
        <v>0</v>
      </c>
      <c r="CR76" s="18">
        <f>IF($X76="","",AY76/$X$10)</f>
        <v>0</v>
      </c>
      <c r="CS76" s="18">
        <f>IF($X76="","",AZ76/$X$10)</f>
        <v>0</v>
      </c>
      <c r="CT76" s="18">
        <f>IF($X76="","",BA76/$X$10)</f>
        <v>0</v>
      </c>
      <c r="CU76" s="18">
        <f>IF($X76="","",BB76/$X$10)</f>
        <v>0</v>
      </c>
      <c r="CV76" s="18">
        <f>IF($X76="","",BC76/$X$10)</f>
        <v>0</v>
      </c>
      <c r="CW76" s="18">
        <f>IF($X76="","",BD76/$X$10)</f>
        <v>0</v>
      </c>
      <c r="CX76" s="18">
        <f>IF($X76="","",BE76/$X$10)</f>
        <v>0</v>
      </c>
      <c r="CY76" s="18">
        <f>IF($X76="","",BF76/$X$10)</f>
        <v>0</v>
      </c>
      <c r="CZ76" s="18">
        <f>IF($X76="","",BG76/$X$10)</f>
        <v>0</v>
      </c>
      <c r="DA76" s="18">
        <f>IF($X76="","",BH76/$X$10)</f>
        <v>0</v>
      </c>
      <c r="DB76" s="18">
        <f>IF($X76="","",BI76/$X$10)</f>
        <v>0</v>
      </c>
      <c r="DC76" s="18">
        <f>IF($X76="","",BJ76/$X$10)</f>
        <v>0</v>
      </c>
      <c r="DD76" s="18">
        <f>IF($X76="","",BK76/$X$10)</f>
        <v>0</v>
      </c>
      <c r="DE76" s="18">
        <f>IF($X76="","",BL76/$X$10)</f>
        <v>0</v>
      </c>
      <c r="DF76" s="18">
        <f>IF($X76="","",BM76/$X$10)</f>
        <v>0</v>
      </c>
      <c r="DG76" s="18">
        <f t="shared" si="10"/>
        <v>0</v>
      </c>
      <c r="DH76" s="18">
        <f>IF($X76="","",BO76/$X$10)</f>
        <v>0</v>
      </c>
      <c r="DI76" s="18">
        <f>IF($X76="","",BP76/$X$10)</f>
        <v>0</v>
      </c>
      <c r="DJ76" s="18">
        <f>IF($X76="","",BQ76/$X$10)</f>
        <v>0</v>
      </c>
      <c r="DK76" s="18">
        <f>IF($X76="","",BR76/$X$10)</f>
        <v>0</v>
      </c>
      <c r="DL76" s="18">
        <f>IF($X76="","",BS76/$X$10)</f>
        <v>0</v>
      </c>
      <c r="DM76" s="18">
        <f>IF($X76="","",BT76/$X$10)</f>
        <v>0</v>
      </c>
      <c r="DN76" s="18">
        <f t="shared" si="6"/>
        <v>0</v>
      </c>
      <c r="DO76" s="16">
        <f>IF($X76="","",SUM(Tabla152[[#This Row],[PODRIDO]],Tabla152[[#This Row],[HONGO]],Tabla152[[#This Row],[PICADO DE AVE CON PUDRICIÓN]],Tabla152[[#This Row],[FUMAGINA]])/$X$10)</f>
        <v>0</v>
      </c>
      <c r="DP76" s="16">
        <f>IF($X76="","",SUM(Tabla152[[#This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76" s="16">
        <f>IF($X76="","",SUM(Tabla152[[#This Row],[BLANDO]:[COLAPSADO]])/$X$10)</f>
        <v>0</v>
      </c>
      <c r="DR76" s="16">
        <f>IF($X76="","",SUM(Tabla152[[#This Row],[DESHIDRATADO LEVE]:[DESHIDRATADO INMADURO]])/$X$10)</f>
        <v>0</v>
      </c>
      <c r="DS76" s="18">
        <f t="shared" si="7"/>
        <v>0</v>
      </c>
      <c r="DT76" s="16">
        <f>IF($X76="","",SUM(Tabla152[[#This Row],[PRESENCIA DE LARVA]],Tabla152[[#This Row],[CHANCHITO BLANCO]])/$X$10)</f>
        <v>0</v>
      </c>
      <c r="DU76" s="18">
        <f>IF($X76="","",SUM(Tabla152[[#This Row],[ROJO GRADO 2 A MÁS]],Tabla152[[#This Row],[IMMADURO VERDE]],Tabla152[[#This Row],[DESORDEN POR MADURACIÓN]],Tabla152[[#This Row],[ARO PEDICELAR VERDE EXTREMO]])/$X$10)</f>
        <v>0</v>
      </c>
      <c r="DV76" s="16">
        <f>IF($X76="","",SUM(Tabla152[[#This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76" s="16">
        <f t="shared" si="8"/>
        <v>0</v>
      </c>
      <c r="DX76" s="16">
        <f>IF($X76="","",AJ76/$X$10)</f>
        <v>0</v>
      </c>
      <c r="DY76" s="16">
        <f>IF($X76="","",SUM(Tabla152[[#This Row],[PRESENCIA DE COROLA]],Tabla152[[#This Row],[PRESENCIA DE RESTO FLORAL VERDE]],Tabla152[[#This Row],[PRESENCIA DE PEDÚNCULO]])/$X$10)</f>
        <v>0</v>
      </c>
      <c r="DZ76" s="16">
        <f>IF($X76="","",SUM(Tabla152[[#This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77" spans="1:130" x14ac:dyDescent="0.3">
      <c r="A77" s="9">
        <f>IF(W77="","",IF(ROW()=10,1,IF(W77=W76,A76,MAX($A$9:A76)+1)))</f>
        <v>22</v>
      </c>
      <c r="B77" s="9">
        <f>WEEKNUM(Tabla152[[#This Row],[FECHA DE COSECHA]],21)</f>
        <v>36</v>
      </c>
      <c r="C77" s="9"/>
      <c r="D77" s="17">
        <v>46267</v>
      </c>
      <c r="E77" s="17">
        <v>46267</v>
      </c>
      <c r="F77" s="9">
        <v>1</v>
      </c>
      <c r="G77" s="9" t="s">
        <v>77</v>
      </c>
      <c r="H77" s="9" t="s">
        <v>144</v>
      </c>
      <c r="I77" s="9" t="s">
        <v>134</v>
      </c>
      <c r="J77" s="9" t="s">
        <v>78</v>
      </c>
      <c r="K77" s="9" t="s">
        <v>153</v>
      </c>
      <c r="L77" s="9" t="s">
        <v>131</v>
      </c>
      <c r="M77" s="9" t="s">
        <v>239</v>
      </c>
      <c r="N77" s="9" t="s">
        <v>151</v>
      </c>
      <c r="O77" s="9" t="s">
        <v>244</v>
      </c>
      <c r="P77" s="9" t="s">
        <v>152</v>
      </c>
      <c r="Q77" s="9"/>
      <c r="R77" s="9">
        <v>8</v>
      </c>
      <c r="S77" s="9">
        <v>74547547</v>
      </c>
      <c r="T77" t="s">
        <v>232</v>
      </c>
      <c r="U77" s="9" t="s">
        <v>147</v>
      </c>
      <c r="V77" s="9"/>
      <c r="W77" s="19" t="s">
        <v>174</v>
      </c>
      <c r="X77" s="9">
        <v>61</v>
      </c>
      <c r="Y77" s="9">
        <v>2</v>
      </c>
      <c r="Z77" s="9">
        <v>15</v>
      </c>
      <c r="AA77" s="9" t="str">
        <f>IF(Tabla152[[#This Row],[NOTA]]=15,"CUMPLE","NO CUMPLE")</f>
        <v>CUMPLE</v>
      </c>
      <c r="AB77" s="9" t="str">
        <f>IF(COUNTIF($A$10:A77,A77)=1,IF(COUNTIFS($A:$A,A77,$AA:$AA,"NO CUMPLE")&gt;0,"NO CUMPLE","CUMPLE"),"")</f>
        <v/>
      </c>
      <c r="AC77" s="9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18"/>
      <c r="BX77" s="18">
        <f>IF($X77="","",AE77/$X$10)</f>
        <v>0</v>
      </c>
      <c r="BY77" s="18">
        <f>IF($X77="","",AF77/$X$10)</f>
        <v>0</v>
      </c>
      <c r="BZ77" s="18">
        <f>IF($X77="","",AG77/$X$10)</f>
        <v>0</v>
      </c>
      <c r="CA77" s="18">
        <f>IF($X77="","",AH77/$X$10)</f>
        <v>0</v>
      </c>
      <c r="CB77" s="18">
        <f t="shared" si="9"/>
        <v>0</v>
      </c>
      <c r="CC77" s="18">
        <f>IF($X77="","",AJ77/$X$10)</f>
        <v>0</v>
      </c>
      <c r="CD77" s="18">
        <f>IF($X77="","",AK77/$X$10)</f>
        <v>0</v>
      </c>
      <c r="CE77" s="18">
        <f>IF($X77="","",AL77/$X$10)</f>
        <v>0</v>
      </c>
      <c r="CF77" s="18">
        <f>IF($X77="","",AM77/$X$10)</f>
        <v>0</v>
      </c>
      <c r="CG77" s="18">
        <f>IF($X77="","",AN77/$X$10)</f>
        <v>0</v>
      </c>
      <c r="CH77" s="18">
        <f>IF($X77="","",AO77/$X$10)</f>
        <v>0</v>
      </c>
      <c r="CI77" s="18">
        <f>IF($X77="","",AP77/$X$10)</f>
        <v>0</v>
      </c>
      <c r="CJ77" s="18">
        <f>IF($X77="","",AQ77/$X$10)</f>
        <v>0</v>
      </c>
      <c r="CK77" s="18">
        <f>IF($X77="","",AR77/$X$10)</f>
        <v>0</v>
      </c>
      <c r="CL77" s="18">
        <f>IF($X77="","",AS77/$X$10)</f>
        <v>0</v>
      </c>
      <c r="CM77" s="18">
        <f>IF($X77="","",AT77/$X$10)</f>
        <v>0</v>
      </c>
      <c r="CN77" s="18">
        <f>IF($X77="","",AU77/$X$10)</f>
        <v>0</v>
      </c>
      <c r="CO77" s="18">
        <f>IF($X77="","",AV77/$X$10)</f>
        <v>0</v>
      </c>
      <c r="CP77" s="18">
        <f>IF($X77="","",AW77/$X$10)</f>
        <v>0</v>
      </c>
      <c r="CQ77" s="18">
        <f>IF($X77="","",AX77/$X$10)</f>
        <v>0</v>
      </c>
      <c r="CR77" s="18">
        <f>IF($X77="","",AY77/$X$10)</f>
        <v>0</v>
      </c>
      <c r="CS77" s="18">
        <f>IF($X77="","",AZ77/$X$10)</f>
        <v>0</v>
      </c>
      <c r="CT77" s="18">
        <f>IF($X77="","",BA77/$X$10)</f>
        <v>0</v>
      </c>
      <c r="CU77" s="18">
        <f>IF($X77="","",BB77/$X$10)</f>
        <v>0</v>
      </c>
      <c r="CV77" s="18">
        <f>IF($X77="","",BC77/$X$10)</f>
        <v>0</v>
      </c>
      <c r="CW77" s="18">
        <f>IF($X77="","",BD77/$X$10)</f>
        <v>0</v>
      </c>
      <c r="CX77" s="18">
        <f>IF($X77="","",BE77/$X$10)</f>
        <v>0</v>
      </c>
      <c r="CY77" s="18">
        <f>IF($X77="","",BF77/$X$10)</f>
        <v>0</v>
      </c>
      <c r="CZ77" s="18">
        <f>IF($X77="","",BG77/$X$10)</f>
        <v>0</v>
      </c>
      <c r="DA77" s="18">
        <f>IF($X77="","",BH77/$X$10)</f>
        <v>0</v>
      </c>
      <c r="DB77" s="18">
        <f>IF($X77="","",BI77/$X$10)</f>
        <v>0</v>
      </c>
      <c r="DC77" s="18">
        <f>IF($X77="","",BJ77/$X$10)</f>
        <v>0</v>
      </c>
      <c r="DD77" s="18">
        <f>IF($X77="","",BK77/$X$10)</f>
        <v>0</v>
      </c>
      <c r="DE77" s="18">
        <f>IF($X77="","",BL77/$X$10)</f>
        <v>0</v>
      </c>
      <c r="DF77" s="18">
        <f>IF($X77="","",BM77/$X$10)</f>
        <v>0</v>
      </c>
      <c r="DG77" s="18">
        <f t="shared" si="10"/>
        <v>0</v>
      </c>
      <c r="DH77" s="18">
        <f>IF($X77="","",BO77/$X$10)</f>
        <v>0</v>
      </c>
      <c r="DI77" s="18">
        <f>IF($X77="","",BP77/$X$10)</f>
        <v>0</v>
      </c>
      <c r="DJ77" s="18">
        <f>IF($X77="","",BQ77/$X$10)</f>
        <v>0</v>
      </c>
      <c r="DK77" s="18">
        <f>IF($X77="","",BR77/$X$10)</f>
        <v>0</v>
      </c>
      <c r="DL77" s="18">
        <f>IF($X77="","",BS77/$X$10)</f>
        <v>0</v>
      </c>
      <c r="DM77" s="18">
        <f>IF($X77="","",BT77/$X$10)</f>
        <v>0</v>
      </c>
      <c r="DN77" s="18">
        <f t="shared" si="6"/>
        <v>0</v>
      </c>
      <c r="DO77" s="16">
        <f>IF($X77="","",SUM(Tabla152[[#This Row],[PODRIDO]],Tabla152[[#This Row],[HONGO]],Tabla152[[#This Row],[PICADO DE AVE CON PUDRICIÓN]],Tabla152[[#This Row],[FUMAGINA]])/$X$10)</f>
        <v>0</v>
      </c>
      <c r="DP77" s="16">
        <f>IF($X77="","",SUM(Tabla152[[#This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77" s="16">
        <f>IF($X77="","",SUM(Tabla152[[#This Row],[BLANDO]:[COLAPSADO]])/$X$10)</f>
        <v>0</v>
      </c>
      <c r="DR77" s="16">
        <f>IF($X77="","",SUM(Tabla152[[#This Row],[DESHIDRATADO LEVE]:[DESHIDRATADO INMADURO]])/$X$10)</f>
        <v>0</v>
      </c>
      <c r="DS77" s="18">
        <f t="shared" si="7"/>
        <v>0</v>
      </c>
      <c r="DT77" s="16">
        <f>IF($X77="","",SUM(Tabla152[[#This Row],[PRESENCIA DE LARVA]],Tabla152[[#This Row],[CHANCHITO BLANCO]])/$X$10)</f>
        <v>0</v>
      </c>
      <c r="DU77" s="18">
        <f>IF($X77="","",SUM(Tabla152[[#This Row],[ROJO GRADO 2 A MÁS]],Tabla152[[#This Row],[IMMADURO VERDE]],Tabla152[[#This Row],[DESORDEN POR MADURACIÓN]],Tabla152[[#This Row],[ARO PEDICELAR VERDE EXTREMO]])/$X$10)</f>
        <v>0</v>
      </c>
      <c r="DV77" s="16">
        <f>IF($X77="","",SUM(Tabla152[[#This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77" s="16">
        <f t="shared" si="8"/>
        <v>0</v>
      </c>
      <c r="DX77" s="16">
        <f>IF($X77="","",AJ77/$X$10)</f>
        <v>0</v>
      </c>
      <c r="DY77" s="16">
        <f>IF($X77="","",SUM(Tabla152[[#This Row],[PRESENCIA DE COROLA]],Tabla152[[#This Row],[PRESENCIA DE RESTO FLORAL VERDE]],Tabla152[[#This Row],[PRESENCIA DE PEDÚNCULO]])/$X$10)</f>
        <v>0</v>
      </c>
      <c r="DZ77" s="16">
        <f>IF($X77="","",SUM(Tabla152[[#This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78" spans="1:130" x14ac:dyDescent="0.3">
      <c r="A78" s="9">
        <f>IF(W78="","",IF(ROW()=10,1,IF(W78=W77,A77,MAX($A$9:A77)+1)))</f>
        <v>22</v>
      </c>
      <c r="B78" s="9">
        <f>WEEKNUM(Tabla152[[#This Row],[FECHA DE COSECHA]],21)</f>
        <v>36</v>
      </c>
      <c r="C78" s="9"/>
      <c r="D78" s="17">
        <v>46267</v>
      </c>
      <c r="E78" s="17">
        <v>46267</v>
      </c>
      <c r="F78" s="9">
        <v>1</v>
      </c>
      <c r="G78" s="9" t="s">
        <v>77</v>
      </c>
      <c r="H78" s="9" t="s">
        <v>144</v>
      </c>
      <c r="I78" s="9" t="s">
        <v>134</v>
      </c>
      <c r="J78" s="9" t="s">
        <v>78</v>
      </c>
      <c r="K78" s="9" t="s">
        <v>153</v>
      </c>
      <c r="L78" s="9" t="s">
        <v>131</v>
      </c>
      <c r="M78" s="9" t="s">
        <v>239</v>
      </c>
      <c r="N78" s="9" t="s">
        <v>151</v>
      </c>
      <c r="O78" s="9" t="s">
        <v>244</v>
      </c>
      <c r="P78" s="9" t="s">
        <v>152</v>
      </c>
      <c r="Q78" s="9"/>
      <c r="R78" s="9">
        <v>8</v>
      </c>
      <c r="S78" s="9">
        <v>74547547</v>
      </c>
      <c r="T78" t="s">
        <v>232</v>
      </c>
      <c r="U78" s="9" t="s">
        <v>147</v>
      </c>
      <c r="V78" s="9"/>
      <c r="W78" s="19" t="s">
        <v>174</v>
      </c>
      <c r="X78" s="9">
        <v>61</v>
      </c>
      <c r="Y78" s="9">
        <v>3</v>
      </c>
      <c r="Z78" s="9">
        <v>15</v>
      </c>
      <c r="AA78" s="9" t="str">
        <f>IF(Tabla152[[#This Row],[NOTA]]=15,"CUMPLE","NO CUMPLE")</f>
        <v>CUMPLE</v>
      </c>
      <c r="AB78" s="9" t="str">
        <f>IF(COUNTIF($A$10:A78,A78)=1,IF(COUNTIFS($A:$A,A78,$AA:$AA,"NO CUMPLE")&gt;0,"NO CUMPLE","CUMPLE"),"")</f>
        <v/>
      </c>
      <c r="AC78" s="9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18"/>
      <c r="BX78" s="18">
        <f>IF($X78="","",AE78/$X$10)</f>
        <v>0</v>
      </c>
      <c r="BY78" s="18">
        <f>IF($X78="","",AF78/$X$10)</f>
        <v>0</v>
      </c>
      <c r="BZ78" s="18">
        <f>IF($X78="","",AG78/$X$10)</f>
        <v>0</v>
      </c>
      <c r="CA78" s="18">
        <f>IF($X78="","",AH78/$X$10)</f>
        <v>0</v>
      </c>
      <c r="CB78" s="18">
        <f t="shared" si="9"/>
        <v>0</v>
      </c>
      <c r="CC78" s="18">
        <f>IF($X78="","",AJ78/$X$10)</f>
        <v>0</v>
      </c>
      <c r="CD78" s="18">
        <f>IF($X78="","",AK78/$X$10)</f>
        <v>0</v>
      </c>
      <c r="CE78" s="18">
        <f>IF($X78="","",AL78/$X$10)</f>
        <v>0</v>
      </c>
      <c r="CF78" s="18">
        <f>IF($X78="","",AM78/$X$10)</f>
        <v>0</v>
      </c>
      <c r="CG78" s="18">
        <f>IF($X78="","",AN78/$X$10)</f>
        <v>0</v>
      </c>
      <c r="CH78" s="18">
        <f>IF($X78="","",AO78/$X$10)</f>
        <v>0</v>
      </c>
      <c r="CI78" s="18">
        <f>IF($X78="","",AP78/$X$10)</f>
        <v>0</v>
      </c>
      <c r="CJ78" s="18">
        <f>IF($X78="","",AQ78/$X$10)</f>
        <v>0</v>
      </c>
      <c r="CK78" s="18">
        <f>IF($X78="","",AR78/$X$10)</f>
        <v>0</v>
      </c>
      <c r="CL78" s="18">
        <f>IF($X78="","",AS78/$X$10)</f>
        <v>0</v>
      </c>
      <c r="CM78" s="18">
        <f>IF($X78="","",AT78/$X$10)</f>
        <v>0</v>
      </c>
      <c r="CN78" s="18">
        <f>IF($X78="","",AU78/$X$10)</f>
        <v>0</v>
      </c>
      <c r="CO78" s="18">
        <f>IF($X78="","",AV78/$X$10)</f>
        <v>0</v>
      </c>
      <c r="CP78" s="18">
        <f>IF($X78="","",AW78/$X$10)</f>
        <v>0</v>
      </c>
      <c r="CQ78" s="18">
        <f>IF($X78="","",AX78/$X$10)</f>
        <v>0</v>
      </c>
      <c r="CR78" s="18">
        <f>IF($X78="","",AY78/$X$10)</f>
        <v>0</v>
      </c>
      <c r="CS78" s="18">
        <f>IF($X78="","",AZ78/$X$10)</f>
        <v>0</v>
      </c>
      <c r="CT78" s="18">
        <f>IF($X78="","",BA78/$X$10)</f>
        <v>0</v>
      </c>
      <c r="CU78" s="18">
        <f>IF($X78="","",BB78/$X$10)</f>
        <v>0</v>
      </c>
      <c r="CV78" s="18">
        <f>IF($X78="","",BC78/$X$10)</f>
        <v>0</v>
      </c>
      <c r="CW78" s="18">
        <f>IF($X78="","",BD78/$X$10)</f>
        <v>0</v>
      </c>
      <c r="CX78" s="18">
        <f>IF($X78="","",BE78/$X$10)</f>
        <v>0</v>
      </c>
      <c r="CY78" s="18">
        <f>IF($X78="","",BF78/$X$10)</f>
        <v>0</v>
      </c>
      <c r="CZ78" s="18">
        <f>IF($X78="","",BG78/$X$10)</f>
        <v>0</v>
      </c>
      <c r="DA78" s="18">
        <f>IF($X78="","",BH78/$X$10)</f>
        <v>0</v>
      </c>
      <c r="DB78" s="18">
        <f>IF($X78="","",BI78/$X$10)</f>
        <v>0</v>
      </c>
      <c r="DC78" s="18">
        <f>IF($X78="","",BJ78/$X$10)</f>
        <v>0</v>
      </c>
      <c r="DD78" s="18">
        <f>IF($X78="","",BK78/$X$10)</f>
        <v>0</v>
      </c>
      <c r="DE78" s="18">
        <f>IF($X78="","",BL78/$X$10)</f>
        <v>0</v>
      </c>
      <c r="DF78" s="18">
        <f>IF($X78="","",BM78/$X$10)</f>
        <v>0</v>
      </c>
      <c r="DG78" s="18">
        <f t="shared" si="10"/>
        <v>0</v>
      </c>
      <c r="DH78" s="18">
        <f>IF($X78="","",BO78/$X$10)</f>
        <v>0</v>
      </c>
      <c r="DI78" s="18">
        <f>IF($X78="","",BP78/$X$10)</f>
        <v>0</v>
      </c>
      <c r="DJ78" s="18">
        <f>IF($X78="","",BQ78/$X$10)</f>
        <v>0</v>
      </c>
      <c r="DK78" s="18">
        <f>IF($X78="","",BR78/$X$10)</f>
        <v>0</v>
      </c>
      <c r="DL78" s="18">
        <f>IF($X78="","",BS78/$X$10)</f>
        <v>0</v>
      </c>
      <c r="DM78" s="18">
        <f>IF($X78="","",BT78/$X$10)</f>
        <v>0</v>
      </c>
      <c r="DN78" s="18">
        <f t="shared" ref="DN78:DN111" si="11">IF($X78="","",BU78/$X$10)</f>
        <v>0</v>
      </c>
      <c r="DO78" s="16">
        <f>IF($X78="","",SUM(Tabla152[[#This Row],[PODRIDO]],Tabla152[[#This Row],[HONGO]],Tabla152[[#This Row],[PICADO DE AVE CON PUDRICIÓN]],Tabla152[[#This Row],[FUMAGINA]])/$X$10)</f>
        <v>0</v>
      </c>
      <c r="DP78" s="16">
        <f>IF($X78="","",SUM(Tabla152[[#This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78" s="16">
        <f>IF($X78="","",SUM(Tabla152[[#This Row],[BLANDO]:[COLAPSADO]])/$X$10)</f>
        <v>0</v>
      </c>
      <c r="DR78" s="16">
        <f>IF($X78="","",SUM(Tabla152[[#This Row],[DESHIDRATADO LEVE]:[DESHIDRATADO INMADURO]])/$X$10)</f>
        <v>0</v>
      </c>
      <c r="DS78" s="18">
        <f t="shared" si="7"/>
        <v>0</v>
      </c>
      <c r="DT78" s="16">
        <f>IF($X78="","",SUM(Tabla152[[#This Row],[PRESENCIA DE LARVA]],Tabla152[[#This Row],[CHANCHITO BLANCO]])/$X$10)</f>
        <v>0</v>
      </c>
      <c r="DU78" s="18">
        <f>IF($X78="","",SUM(Tabla152[[#This Row],[ROJO GRADO 2 A MÁS]],Tabla152[[#This Row],[IMMADURO VERDE]],Tabla152[[#This Row],[DESORDEN POR MADURACIÓN]],Tabla152[[#This Row],[ARO PEDICELAR VERDE EXTREMO]])/$X$10)</f>
        <v>0</v>
      </c>
      <c r="DV78" s="16">
        <f>IF($X78="","",SUM(Tabla152[[#This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78" s="16">
        <f t="shared" si="8"/>
        <v>0</v>
      </c>
      <c r="DX78" s="16">
        <f>IF($X78="","",AJ78/$X$10)</f>
        <v>0</v>
      </c>
      <c r="DY78" s="16">
        <f>IF($X78="","",SUM(Tabla152[[#This Row],[PRESENCIA DE COROLA]],Tabla152[[#This Row],[PRESENCIA DE RESTO FLORAL VERDE]],Tabla152[[#This Row],[PRESENCIA DE PEDÚNCULO]])/$X$10)</f>
        <v>0</v>
      </c>
      <c r="DZ78" s="16">
        <f>IF($X78="","",SUM(Tabla152[[#This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79" spans="1:130" x14ac:dyDescent="0.3">
      <c r="A79" s="9">
        <f>IF(W79="","",IF(ROW()=10,1,IF(W79=W78,A78,MAX($A$9:A78)+1)))</f>
        <v>23</v>
      </c>
      <c r="B79" s="9">
        <f>WEEKNUM(Tabla152[[#This Row],[FECHA DE COSECHA]],21)</f>
        <v>36</v>
      </c>
      <c r="C79" s="9"/>
      <c r="D79" s="17">
        <v>46267</v>
      </c>
      <c r="E79" s="17">
        <v>46267</v>
      </c>
      <c r="F79" s="9">
        <v>1</v>
      </c>
      <c r="G79" s="9" t="s">
        <v>77</v>
      </c>
      <c r="H79" s="9" t="s">
        <v>144</v>
      </c>
      <c r="I79" s="9" t="s">
        <v>134</v>
      </c>
      <c r="J79" s="9" t="s">
        <v>78</v>
      </c>
      <c r="K79" s="9" t="s">
        <v>153</v>
      </c>
      <c r="L79" s="9" t="s">
        <v>131</v>
      </c>
      <c r="M79" s="9" t="s">
        <v>239</v>
      </c>
      <c r="N79" s="9" t="s">
        <v>151</v>
      </c>
      <c r="O79" s="9" t="s">
        <v>244</v>
      </c>
      <c r="P79" s="9" t="s">
        <v>152</v>
      </c>
      <c r="Q79" s="9"/>
      <c r="R79" s="9">
        <v>8</v>
      </c>
      <c r="S79" s="9">
        <v>74547547</v>
      </c>
      <c r="T79" t="s">
        <v>232</v>
      </c>
      <c r="U79" s="9" t="s">
        <v>147</v>
      </c>
      <c r="V79" s="9"/>
      <c r="W79" s="19" t="s">
        <v>175</v>
      </c>
      <c r="X79" s="9">
        <v>61</v>
      </c>
      <c r="Y79" s="9">
        <v>1</v>
      </c>
      <c r="Z79" s="9">
        <v>5</v>
      </c>
      <c r="AA79" s="9" t="str">
        <f>IF(Tabla152[[#This Row],[NOTA]]=15,"CUMPLE","NO CUMPLE")</f>
        <v>NO CUMPLE</v>
      </c>
      <c r="AB79" s="9" t="str">
        <f>IF(COUNTIF($A$10:A79,A79)=1,IF(COUNTIFS($A:$A,A79,$AA:$AA,"NO CUMPLE")&gt;0,"NO CUMPLE","CUMPLE"),"")</f>
        <v>NO CUMPLE</v>
      </c>
      <c r="AC79" s="9" t="s">
        <v>140</v>
      </c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7"/>
      <c r="AR79" s="7"/>
      <c r="AS79" s="7">
        <v>2</v>
      </c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18"/>
      <c r="BX79" s="18">
        <f>IF($X79="","",AE79/$X$10)</f>
        <v>0</v>
      </c>
      <c r="BY79" s="18">
        <f>IF($X79="","",AF79/$X$10)</f>
        <v>0</v>
      </c>
      <c r="BZ79" s="18">
        <f>IF($X79="","",AG79/$X$10)</f>
        <v>0</v>
      </c>
      <c r="CA79" s="18">
        <f>IF($X79="","",AH79/$X$10)</f>
        <v>0</v>
      </c>
      <c r="CB79" s="18">
        <f t="shared" si="9"/>
        <v>0</v>
      </c>
      <c r="CC79" s="18">
        <f>IF($X79="","",AJ79/$X$10)</f>
        <v>0</v>
      </c>
      <c r="CD79" s="18">
        <f>IF($X79="","",AK79/$X$10)</f>
        <v>0</v>
      </c>
      <c r="CE79" s="18">
        <f>IF($X79="","",AL79/$X$10)</f>
        <v>0</v>
      </c>
      <c r="CF79" s="18">
        <f>IF($X79="","",AM79/$X$10)</f>
        <v>0</v>
      </c>
      <c r="CG79" s="18">
        <f>IF($X79="","",AN79/$X$10)</f>
        <v>0</v>
      </c>
      <c r="CH79" s="18">
        <f>IF($X79="","",AO79/$X$10)</f>
        <v>0</v>
      </c>
      <c r="CI79" s="18">
        <f>IF($X79="","",AP79/$X$10)</f>
        <v>0</v>
      </c>
      <c r="CJ79" s="18">
        <f>IF($X79="","",AQ79/$X$10)</f>
        <v>0</v>
      </c>
      <c r="CK79" s="18">
        <f>IF($X79="","",AR79/$X$10)</f>
        <v>0</v>
      </c>
      <c r="CL79" s="18">
        <f>IF($X79="","",AS79/$X$10)</f>
        <v>3.1746031746031744E-2</v>
      </c>
      <c r="CM79" s="18">
        <f>IF($X79="","",AT79/$X$10)</f>
        <v>0</v>
      </c>
      <c r="CN79" s="18">
        <f>IF($X79="","",AU79/$X$10)</f>
        <v>0</v>
      </c>
      <c r="CO79" s="18">
        <f>IF($X79="","",AV79/$X$10)</f>
        <v>0</v>
      </c>
      <c r="CP79" s="18">
        <f>IF($X79="","",AW79/$X$10)</f>
        <v>0</v>
      </c>
      <c r="CQ79" s="18">
        <f>IF($X79="","",AX79/$X$10)</f>
        <v>0</v>
      </c>
      <c r="CR79" s="18">
        <f>IF($X79="","",AY79/$X$10)</f>
        <v>0</v>
      </c>
      <c r="CS79" s="18">
        <f>IF($X79="","",AZ79/$X$10)</f>
        <v>0</v>
      </c>
      <c r="CT79" s="18">
        <f>IF($X79="","",BA79/$X$10)</f>
        <v>0</v>
      </c>
      <c r="CU79" s="18">
        <f>IF($X79="","",BB79/$X$10)</f>
        <v>0</v>
      </c>
      <c r="CV79" s="18">
        <f>IF($X79="","",BC79/$X$10)</f>
        <v>0</v>
      </c>
      <c r="CW79" s="18">
        <f>IF($X79="","",BD79/$X$10)</f>
        <v>0</v>
      </c>
      <c r="CX79" s="18">
        <f>IF($X79="","",BE79/$X$10)</f>
        <v>0</v>
      </c>
      <c r="CY79" s="18">
        <f>IF($X79="","",BF79/$X$10)</f>
        <v>0</v>
      </c>
      <c r="CZ79" s="18">
        <f>IF($X79="","",BG79/$X$10)</f>
        <v>0</v>
      </c>
      <c r="DA79" s="18">
        <f>IF($X79="","",BH79/$X$10)</f>
        <v>0</v>
      </c>
      <c r="DB79" s="18">
        <f>IF($X79="","",BI79/$X$10)</f>
        <v>0</v>
      </c>
      <c r="DC79" s="18">
        <f>IF($X79="","",BJ79/$X$10)</f>
        <v>0</v>
      </c>
      <c r="DD79" s="18">
        <f>IF($X79="","",BK79/$X$10)</f>
        <v>0</v>
      </c>
      <c r="DE79" s="18">
        <f>IF($X79="","",BL79/$X$10)</f>
        <v>0</v>
      </c>
      <c r="DF79" s="18">
        <f>IF($X79="","",BM79/$X$10)</f>
        <v>0</v>
      </c>
      <c r="DG79" s="18">
        <f t="shared" si="10"/>
        <v>0</v>
      </c>
      <c r="DH79" s="18">
        <f>IF($X79="","",BO79/$X$10)</f>
        <v>0</v>
      </c>
      <c r="DI79" s="18">
        <f>IF($X79="","",BP79/$X$10)</f>
        <v>0</v>
      </c>
      <c r="DJ79" s="18">
        <f>IF($X79="","",BQ79/$X$10)</f>
        <v>0</v>
      </c>
      <c r="DK79" s="18">
        <f>IF($X79="","",BR79/$X$10)</f>
        <v>0</v>
      </c>
      <c r="DL79" s="18">
        <f>IF($X79="","",BS79/$X$10)</f>
        <v>0</v>
      </c>
      <c r="DM79" s="18">
        <f>IF($X79="","",BT79/$X$10)</f>
        <v>0</v>
      </c>
      <c r="DN79" s="18">
        <f t="shared" si="11"/>
        <v>0</v>
      </c>
      <c r="DO79" s="16">
        <f>IF($X79="","",SUM(Tabla152[[#This Row],[PODRIDO]],Tabla152[[#This Row],[HONGO]],Tabla152[[#This Row],[PICADO DE AVE CON PUDRICIÓN]],Tabla152[[#This Row],[FUMAGINA]])/$X$10)</f>
        <v>0</v>
      </c>
      <c r="DP79" s="16">
        <f>IF($X79="","",SUM(Tabla152[[#This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79" s="16">
        <f>IF($X79="","",SUM(Tabla152[[#This Row],[BLANDO]:[COLAPSADO]])/$X$10)</f>
        <v>0</v>
      </c>
      <c r="DR79" s="16">
        <f>IF($X79="","",SUM(Tabla152[[#This Row],[DESHIDRATADO LEVE]:[DESHIDRATADO INMADURO]])/$X$10)</f>
        <v>3.1746031746031744E-2</v>
      </c>
      <c r="DS79" s="18">
        <f t="shared" si="7"/>
        <v>0</v>
      </c>
      <c r="DT79" s="16">
        <f>IF($X79="","",SUM(Tabla152[[#This Row],[PRESENCIA DE LARVA]],Tabla152[[#This Row],[CHANCHITO BLANCO]])/$X$10)</f>
        <v>0</v>
      </c>
      <c r="DU79" s="18">
        <f>IF($X79="","",SUM(Tabla152[[#This Row],[ROJO GRADO 2 A MÁS]],Tabla152[[#This Row],[IMMADURO VERDE]],Tabla152[[#This Row],[DESORDEN POR MADURACIÓN]],Tabla152[[#This Row],[ARO PEDICELAR VERDE EXTREMO]])/$X$10)</f>
        <v>0</v>
      </c>
      <c r="DV79" s="16">
        <f>IF($X79="","",SUM(Tabla152[[#This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79" s="16">
        <f t="shared" si="8"/>
        <v>0</v>
      </c>
      <c r="DX79" s="16">
        <f>IF($X79="","",AJ79/$X$10)</f>
        <v>0</v>
      </c>
      <c r="DY79" s="16">
        <f>IF($X79="","",SUM(Tabla152[[#This Row],[PRESENCIA DE COROLA]],Tabla152[[#This Row],[PRESENCIA DE RESTO FLORAL VERDE]],Tabla152[[#This Row],[PRESENCIA DE PEDÚNCULO]])/$X$10)</f>
        <v>0</v>
      </c>
      <c r="DZ79" s="16">
        <f>IF($X79="","",SUM(Tabla152[[#This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80" spans="1:130" x14ac:dyDescent="0.3">
      <c r="A80" s="9">
        <f>IF(W80="","",IF(ROW()=10,1,IF(W80=W79,A79,MAX($A$9:A79)+1)))</f>
        <v>23</v>
      </c>
      <c r="B80" s="9">
        <f>WEEKNUM(Tabla152[[#This Row],[FECHA DE COSECHA]],21)</f>
        <v>36</v>
      </c>
      <c r="C80" s="9"/>
      <c r="D80" s="17">
        <v>46267</v>
      </c>
      <c r="E80" s="17">
        <v>46267</v>
      </c>
      <c r="F80" s="9">
        <v>1</v>
      </c>
      <c r="G80" s="9" t="s">
        <v>77</v>
      </c>
      <c r="H80" s="9" t="s">
        <v>144</v>
      </c>
      <c r="I80" s="9" t="s">
        <v>134</v>
      </c>
      <c r="J80" s="9" t="s">
        <v>78</v>
      </c>
      <c r="K80" s="9" t="s">
        <v>153</v>
      </c>
      <c r="L80" s="9" t="s">
        <v>131</v>
      </c>
      <c r="M80" s="9" t="s">
        <v>239</v>
      </c>
      <c r="N80" s="9" t="s">
        <v>151</v>
      </c>
      <c r="O80" s="9" t="s">
        <v>244</v>
      </c>
      <c r="P80" s="9" t="s">
        <v>152</v>
      </c>
      <c r="Q80" s="9"/>
      <c r="R80" s="9">
        <v>8</v>
      </c>
      <c r="S80" s="9">
        <v>74547547</v>
      </c>
      <c r="T80" t="s">
        <v>232</v>
      </c>
      <c r="U80" s="9" t="s">
        <v>147</v>
      </c>
      <c r="V80" s="9"/>
      <c r="W80" s="19" t="s">
        <v>175</v>
      </c>
      <c r="X80" s="9">
        <v>61</v>
      </c>
      <c r="Y80" s="9">
        <v>2</v>
      </c>
      <c r="Z80" s="9">
        <v>5</v>
      </c>
      <c r="AA80" s="9" t="str">
        <f>IF(Tabla152[[#This Row],[NOTA]]=15,"CUMPLE","NO CUMPLE")</f>
        <v>NO CUMPLE</v>
      </c>
      <c r="AB80" s="9" t="str">
        <f>IF(COUNTIF($A$10:A80,A80)=1,IF(COUNTIFS($A:$A,A80,$AA:$AA,"NO CUMPLE")&gt;0,"NO CUMPLE","CUMPLE"),"")</f>
        <v/>
      </c>
      <c r="AC80" s="9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7"/>
      <c r="AR80" s="7"/>
      <c r="AS80" s="7">
        <v>1</v>
      </c>
      <c r="AT80" s="7">
        <v>1</v>
      </c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18"/>
      <c r="BX80" s="18">
        <f>IF($X80="","",AE80/$X$10)</f>
        <v>0</v>
      </c>
      <c r="BY80" s="18">
        <f>IF($X80="","",AF80/$X$10)</f>
        <v>0</v>
      </c>
      <c r="BZ80" s="18">
        <f>IF($X80="","",AG80/$X$10)</f>
        <v>0</v>
      </c>
      <c r="CA80" s="18">
        <f>IF($X80="","",AH80/$X$10)</f>
        <v>0</v>
      </c>
      <c r="CB80" s="18">
        <f t="shared" si="9"/>
        <v>0</v>
      </c>
      <c r="CC80" s="18">
        <f>IF($X80="","",AJ80/$X$10)</f>
        <v>0</v>
      </c>
      <c r="CD80" s="18">
        <f>IF($X80="","",AK80/$X$10)</f>
        <v>0</v>
      </c>
      <c r="CE80" s="18">
        <f>IF($X80="","",AL80/$X$10)</f>
        <v>0</v>
      </c>
      <c r="CF80" s="18">
        <f>IF($X80="","",AM80/$X$10)</f>
        <v>0</v>
      </c>
      <c r="CG80" s="18">
        <f>IF($X80="","",AN80/$X$10)</f>
        <v>0</v>
      </c>
      <c r="CH80" s="18">
        <f>IF($X80="","",AO80/$X$10)</f>
        <v>0</v>
      </c>
      <c r="CI80" s="18">
        <f>IF($X80="","",AP80/$X$10)</f>
        <v>0</v>
      </c>
      <c r="CJ80" s="18">
        <f>IF($X80="","",AQ80/$X$10)</f>
        <v>0</v>
      </c>
      <c r="CK80" s="18">
        <f>IF($X80="","",AR80/$X$10)</f>
        <v>0</v>
      </c>
      <c r="CL80" s="18">
        <f>IF($X80="","",AS80/$X$10)</f>
        <v>1.5873015873015872E-2</v>
      </c>
      <c r="CM80" s="18">
        <f>IF($X80="","",AT80/$X$10)</f>
        <v>1.5873015873015872E-2</v>
      </c>
      <c r="CN80" s="18">
        <f>IF($X80="","",AU80/$X$10)</f>
        <v>0</v>
      </c>
      <c r="CO80" s="18">
        <f>IF($X80="","",AV80/$X$10)</f>
        <v>0</v>
      </c>
      <c r="CP80" s="18">
        <f>IF($X80="","",AW80/$X$10)</f>
        <v>0</v>
      </c>
      <c r="CQ80" s="18">
        <f>IF($X80="","",AX80/$X$10)</f>
        <v>0</v>
      </c>
      <c r="CR80" s="18">
        <f>IF($X80="","",AY80/$X$10)</f>
        <v>0</v>
      </c>
      <c r="CS80" s="18">
        <f>IF($X80="","",AZ80/$X$10)</f>
        <v>0</v>
      </c>
      <c r="CT80" s="18">
        <f>IF($X80="","",BA80/$X$10)</f>
        <v>0</v>
      </c>
      <c r="CU80" s="18">
        <f>IF($X80="","",BB80/$X$10)</f>
        <v>0</v>
      </c>
      <c r="CV80" s="18">
        <f>IF($X80="","",BC80/$X$10)</f>
        <v>0</v>
      </c>
      <c r="CW80" s="18">
        <f>IF($X80="","",BD80/$X$10)</f>
        <v>0</v>
      </c>
      <c r="CX80" s="18">
        <f>IF($X80="","",BE80/$X$10)</f>
        <v>0</v>
      </c>
      <c r="CY80" s="18">
        <f>IF($X80="","",BF80/$X$10)</f>
        <v>0</v>
      </c>
      <c r="CZ80" s="18">
        <f>IF($X80="","",BG80/$X$10)</f>
        <v>0</v>
      </c>
      <c r="DA80" s="18">
        <f>IF($X80="","",BH80/$X$10)</f>
        <v>0</v>
      </c>
      <c r="DB80" s="18">
        <f>IF($X80="","",BI80/$X$10)</f>
        <v>0</v>
      </c>
      <c r="DC80" s="18">
        <f>IF($X80="","",BJ80/$X$10)</f>
        <v>0</v>
      </c>
      <c r="DD80" s="18">
        <f>IF($X80="","",BK80/$X$10)</f>
        <v>0</v>
      </c>
      <c r="DE80" s="18">
        <f>IF($X80="","",BL80/$X$10)</f>
        <v>0</v>
      </c>
      <c r="DF80" s="18">
        <f>IF($X80="","",BM80/$X$10)</f>
        <v>0</v>
      </c>
      <c r="DG80" s="18">
        <f t="shared" si="10"/>
        <v>0</v>
      </c>
      <c r="DH80" s="18">
        <f>IF($X80="","",BO80/$X$10)</f>
        <v>0</v>
      </c>
      <c r="DI80" s="18">
        <f>IF($X80="","",BP80/$X$10)</f>
        <v>0</v>
      </c>
      <c r="DJ80" s="18">
        <f>IF($X80="","",BQ80/$X$10)</f>
        <v>0</v>
      </c>
      <c r="DK80" s="18">
        <f>IF($X80="","",BR80/$X$10)</f>
        <v>0</v>
      </c>
      <c r="DL80" s="18">
        <f>IF($X80="","",BS80/$X$10)</f>
        <v>0</v>
      </c>
      <c r="DM80" s="18">
        <f>IF($X80="","",BT80/$X$10)</f>
        <v>0</v>
      </c>
      <c r="DN80" s="18">
        <f t="shared" si="11"/>
        <v>0</v>
      </c>
      <c r="DO80" s="16">
        <f>IF($X80="","",SUM(Tabla152[[#This Row],[PODRIDO]],Tabla152[[#This Row],[HONGO]],Tabla152[[#This Row],[PICADO DE AVE CON PUDRICIÓN]],Tabla152[[#This Row],[FUMAGINA]])/$X$10)</f>
        <v>0</v>
      </c>
      <c r="DP80" s="16">
        <f>IF($X80="","",SUM(Tabla152[[#This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1.5873015873015872E-2</v>
      </c>
      <c r="DQ80" s="16">
        <f>IF($X80="","",SUM(Tabla152[[#This Row],[BLANDO]:[COLAPSADO]])/$X$10)</f>
        <v>0</v>
      </c>
      <c r="DR80" s="16">
        <f>IF($X80="","",SUM(Tabla152[[#This Row],[DESHIDRATADO LEVE]:[DESHIDRATADO INMADURO]])/$X$10)</f>
        <v>1.5873015873015872E-2</v>
      </c>
      <c r="DS80" s="18">
        <f t="shared" si="7"/>
        <v>0</v>
      </c>
      <c r="DT80" s="16">
        <f>IF($X80="","",SUM(Tabla152[[#This Row],[PRESENCIA DE LARVA]],Tabla152[[#This Row],[CHANCHITO BLANCO]])/$X$10)</f>
        <v>0</v>
      </c>
      <c r="DU80" s="18">
        <f>IF($X80="","",SUM(Tabla152[[#This Row],[ROJO GRADO 2 A MÁS]],Tabla152[[#This Row],[IMMADURO VERDE]],Tabla152[[#This Row],[DESORDEN POR MADURACIÓN]],Tabla152[[#This Row],[ARO PEDICELAR VERDE EXTREMO]])/$X$10)</f>
        <v>0</v>
      </c>
      <c r="DV80" s="16">
        <f>IF($X80="","",SUM(Tabla152[[#This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80" s="16">
        <f t="shared" si="8"/>
        <v>0</v>
      </c>
      <c r="DX80" s="16">
        <f>IF($X80="","",AJ80/$X$10)</f>
        <v>0</v>
      </c>
      <c r="DY80" s="16">
        <f>IF($X80="","",SUM(Tabla152[[#This Row],[PRESENCIA DE COROLA]],Tabla152[[#This Row],[PRESENCIA DE RESTO FLORAL VERDE]],Tabla152[[#This Row],[PRESENCIA DE PEDÚNCULO]])/$X$10)</f>
        <v>0</v>
      </c>
      <c r="DZ80" s="16">
        <f>IF($X80="","",SUM(Tabla152[[#This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81" spans="1:130" x14ac:dyDescent="0.3">
      <c r="A81" s="9">
        <f>IF(W81="","",IF(ROW()=10,1,IF(W81=W80,A80,MAX($A$9:A80)+1)))</f>
        <v>23</v>
      </c>
      <c r="B81" s="9">
        <f>WEEKNUM(Tabla152[[#This Row],[FECHA DE COSECHA]],21)</f>
        <v>36</v>
      </c>
      <c r="C81" s="9"/>
      <c r="D81" s="17">
        <v>46267</v>
      </c>
      <c r="E81" s="17">
        <v>46267</v>
      </c>
      <c r="F81" s="9">
        <v>1</v>
      </c>
      <c r="G81" s="9" t="s">
        <v>77</v>
      </c>
      <c r="H81" s="9" t="s">
        <v>144</v>
      </c>
      <c r="I81" s="9" t="s">
        <v>134</v>
      </c>
      <c r="J81" s="9" t="s">
        <v>78</v>
      </c>
      <c r="K81" s="9" t="s">
        <v>153</v>
      </c>
      <c r="L81" s="9" t="s">
        <v>131</v>
      </c>
      <c r="M81" s="9" t="s">
        <v>239</v>
      </c>
      <c r="N81" s="9" t="s">
        <v>151</v>
      </c>
      <c r="O81" s="9" t="s">
        <v>244</v>
      </c>
      <c r="P81" s="9" t="s">
        <v>152</v>
      </c>
      <c r="Q81" s="9"/>
      <c r="R81" s="9">
        <v>8</v>
      </c>
      <c r="S81" s="9">
        <v>74547547</v>
      </c>
      <c r="T81" t="s">
        <v>232</v>
      </c>
      <c r="U81" s="9" t="s">
        <v>147</v>
      </c>
      <c r="V81" s="9"/>
      <c r="W81" s="19" t="s">
        <v>175</v>
      </c>
      <c r="X81" s="9">
        <v>61</v>
      </c>
      <c r="Y81" s="9">
        <v>3</v>
      </c>
      <c r="Z81" s="9">
        <v>5</v>
      </c>
      <c r="AA81" s="9" t="str">
        <f>IF(Tabla152[[#This Row],[NOTA]]=15,"CUMPLE","NO CUMPLE")</f>
        <v>NO CUMPLE</v>
      </c>
      <c r="AB81" s="9" t="str">
        <f>IF(COUNTIF($A$10:A81,A81)=1,IF(COUNTIFS($A:$A,A81,$AA:$AA,"NO CUMPLE")&gt;0,"NO CUMPLE","CUMPLE"),"")</f>
        <v/>
      </c>
      <c r="AC81" s="9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18"/>
      <c r="BX81" s="18">
        <f>IF($X81="","",AE81/$X$10)</f>
        <v>0</v>
      </c>
      <c r="BY81" s="18">
        <f>IF($X81="","",AF81/$X$10)</f>
        <v>0</v>
      </c>
      <c r="BZ81" s="18">
        <f>IF($X81="","",AG81/$X$10)</f>
        <v>0</v>
      </c>
      <c r="CA81" s="18">
        <f>IF($X81="","",AH81/$X$10)</f>
        <v>0</v>
      </c>
      <c r="CB81" s="18">
        <f t="shared" si="9"/>
        <v>0</v>
      </c>
      <c r="CC81" s="18">
        <f>IF($X81="","",AJ81/$X$10)</f>
        <v>0</v>
      </c>
      <c r="CD81" s="18">
        <f>IF($X81="","",AK81/$X$10)</f>
        <v>0</v>
      </c>
      <c r="CE81" s="18">
        <f>IF($X81="","",AL81/$X$10)</f>
        <v>0</v>
      </c>
      <c r="CF81" s="18">
        <f>IF($X81="","",AM81/$X$10)</f>
        <v>0</v>
      </c>
      <c r="CG81" s="18">
        <f>IF($X81="","",AN81/$X$10)</f>
        <v>0</v>
      </c>
      <c r="CH81" s="18">
        <f>IF($X81="","",AO81/$X$10)</f>
        <v>0</v>
      </c>
      <c r="CI81" s="18">
        <f>IF($X81="","",AP81/$X$10)</f>
        <v>0</v>
      </c>
      <c r="CJ81" s="18">
        <f>IF($X81="","",AQ81/$X$10)</f>
        <v>0</v>
      </c>
      <c r="CK81" s="18">
        <f>IF($X81="","",AR81/$X$10)</f>
        <v>0</v>
      </c>
      <c r="CL81" s="18">
        <f>IF($X81="","",AS81/$X$10)</f>
        <v>0</v>
      </c>
      <c r="CM81" s="18">
        <f>IF($X81="","",AT81/$X$10)</f>
        <v>0</v>
      </c>
      <c r="CN81" s="18">
        <f>IF($X81="","",AU81/$X$10)</f>
        <v>0</v>
      </c>
      <c r="CO81" s="18">
        <f>IF($X81="","",AV81/$X$10)</f>
        <v>0</v>
      </c>
      <c r="CP81" s="18">
        <f>IF($X81="","",AW81/$X$10)</f>
        <v>0</v>
      </c>
      <c r="CQ81" s="18">
        <f>IF($X81="","",AX81/$X$10)</f>
        <v>0</v>
      </c>
      <c r="CR81" s="18">
        <f>IF($X81="","",AY81/$X$10)</f>
        <v>0</v>
      </c>
      <c r="CS81" s="18">
        <f>IF($X81="","",AZ81/$X$10)</f>
        <v>0</v>
      </c>
      <c r="CT81" s="18">
        <f>IF($X81="","",BA81/$X$10)</f>
        <v>0</v>
      </c>
      <c r="CU81" s="18">
        <f>IF($X81="","",BB81/$X$10)</f>
        <v>0</v>
      </c>
      <c r="CV81" s="18">
        <f>IF($X81="","",BC81/$X$10)</f>
        <v>0</v>
      </c>
      <c r="CW81" s="18">
        <f>IF($X81="","",BD81/$X$10)</f>
        <v>0</v>
      </c>
      <c r="CX81" s="18">
        <f>IF($X81="","",BE81/$X$10)</f>
        <v>0</v>
      </c>
      <c r="CY81" s="18">
        <f>IF($X81="","",BF81/$X$10)</f>
        <v>0</v>
      </c>
      <c r="CZ81" s="18">
        <f>IF($X81="","",BG81/$X$10)</f>
        <v>0</v>
      </c>
      <c r="DA81" s="18">
        <f>IF($X81="","",BH81/$X$10)</f>
        <v>0</v>
      </c>
      <c r="DB81" s="18">
        <f>IF($X81="","",BI81/$X$10)</f>
        <v>0</v>
      </c>
      <c r="DC81" s="18">
        <f>IF($X81="","",BJ81/$X$10)</f>
        <v>0</v>
      </c>
      <c r="DD81" s="18">
        <f>IF($X81="","",BK81/$X$10)</f>
        <v>0</v>
      </c>
      <c r="DE81" s="18">
        <f>IF($X81="","",BL81/$X$10)</f>
        <v>0</v>
      </c>
      <c r="DF81" s="18">
        <f>IF($X81="","",BM81/$X$10)</f>
        <v>0</v>
      </c>
      <c r="DG81" s="18">
        <f t="shared" si="10"/>
        <v>0</v>
      </c>
      <c r="DH81" s="18">
        <f>IF($X81="","",BO81/$X$10)</f>
        <v>0</v>
      </c>
      <c r="DI81" s="18">
        <f>IF($X81="","",BP81/$X$10)</f>
        <v>0</v>
      </c>
      <c r="DJ81" s="18">
        <f>IF($X81="","",BQ81/$X$10)</f>
        <v>0</v>
      </c>
      <c r="DK81" s="18">
        <f>IF($X81="","",BR81/$X$10)</f>
        <v>0</v>
      </c>
      <c r="DL81" s="18">
        <f>IF($X81="","",BS81/$X$10)</f>
        <v>0</v>
      </c>
      <c r="DM81" s="18">
        <f>IF($X81="","",BT81/$X$10)</f>
        <v>0</v>
      </c>
      <c r="DN81" s="18">
        <f t="shared" si="11"/>
        <v>0</v>
      </c>
      <c r="DO81" s="16">
        <f>IF($X81="","",SUM(Tabla152[[#This Row],[PODRIDO]],Tabla152[[#This Row],[HONGO]],Tabla152[[#This Row],[PICADO DE AVE CON PUDRICIÓN]],Tabla152[[#This Row],[FUMAGINA]])/$X$10)</f>
        <v>0</v>
      </c>
      <c r="DP81" s="16">
        <f>IF($X81="","",SUM(Tabla152[[#This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81" s="16">
        <f>IF($X81="","",SUM(Tabla152[[#This Row],[BLANDO]:[COLAPSADO]])/$X$10)</f>
        <v>0</v>
      </c>
      <c r="DR81" s="16">
        <f>IF($X81="","",SUM(Tabla152[[#This Row],[DESHIDRATADO LEVE]:[DESHIDRATADO INMADURO]])/$X$10)</f>
        <v>0</v>
      </c>
      <c r="DS81" s="18">
        <f t="shared" si="7"/>
        <v>0</v>
      </c>
      <c r="DT81" s="16">
        <f>IF($X81="","",SUM(Tabla152[[#This Row],[PRESENCIA DE LARVA]],Tabla152[[#This Row],[CHANCHITO BLANCO]])/$X$10)</f>
        <v>0</v>
      </c>
      <c r="DU81" s="18">
        <f>IF($X81="","",SUM(Tabla152[[#This Row],[ROJO GRADO 2 A MÁS]],Tabla152[[#This Row],[IMMADURO VERDE]],Tabla152[[#This Row],[DESORDEN POR MADURACIÓN]],Tabla152[[#This Row],[ARO PEDICELAR VERDE EXTREMO]])/$X$10)</f>
        <v>0</v>
      </c>
      <c r="DV81" s="16">
        <f>IF($X81="","",SUM(Tabla152[[#This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81" s="16">
        <f t="shared" si="8"/>
        <v>0</v>
      </c>
      <c r="DX81" s="16">
        <f>IF($X81="","",AJ81/$X$10)</f>
        <v>0</v>
      </c>
      <c r="DY81" s="16">
        <f>IF($X81="","",SUM(Tabla152[[#This Row],[PRESENCIA DE COROLA]],Tabla152[[#This Row],[PRESENCIA DE RESTO FLORAL VERDE]],Tabla152[[#This Row],[PRESENCIA DE PEDÚNCULO]])/$X$10)</f>
        <v>0</v>
      </c>
      <c r="DZ81" s="16">
        <f>IF($X81="","",SUM(Tabla152[[#This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82" spans="1:130" x14ac:dyDescent="0.3">
      <c r="A82" s="9">
        <f>IF(W82="","",IF(ROW()=10,1,IF(W82=W81,A81,MAX($A$9:A81)+1)))</f>
        <v>24</v>
      </c>
      <c r="B82" s="9">
        <f>WEEKNUM(Tabla152[[#This Row],[FECHA DE COSECHA]],21)</f>
        <v>36</v>
      </c>
      <c r="C82" s="9"/>
      <c r="D82" s="17">
        <v>46267</v>
      </c>
      <c r="E82" s="17">
        <v>46267</v>
      </c>
      <c r="F82" s="9">
        <v>1</v>
      </c>
      <c r="G82" s="9" t="s">
        <v>77</v>
      </c>
      <c r="H82" s="9" t="s">
        <v>144</v>
      </c>
      <c r="I82" s="9" t="s">
        <v>134</v>
      </c>
      <c r="J82" s="9" t="s">
        <v>78</v>
      </c>
      <c r="K82" s="9" t="s">
        <v>153</v>
      </c>
      <c r="L82" s="9" t="s">
        <v>131</v>
      </c>
      <c r="M82" s="9" t="s">
        <v>239</v>
      </c>
      <c r="N82" s="9" t="s">
        <v>151</v>
      </c>
      <c r="O82" s="9" t="s">
        <v>244</v>
      </c>
      <c r="P82" s="9" t="s">
        <v>152</v>
      </c>
      <c r="Q82" s="9"/>
      <c r="R82" s="9">
        <v>8</v>
      </c>
      <c r="S82" s="9">
        <v>74547547</v>
      </c>
      <c r="T82" t="s">
        <v>232</v>
      </c>
      <c r="U82" s="9" t="s">
        <v>147</v>
      </c>
      <c r="V82" s="9"/>
      <c r="W82" s="19" t="s">
        <v>176</v>
      </c>
      <c r="X82" s="9">
        <v>61</v>
      </c>
      <c r="Y82" s="9">
        <v>1</v>
      </c>
      <c r="Z82" s="9">
        <v>15</v>
      </c>
      <c r="AA82" s="9" t="str">
        <f>IF(Tabla152[[#This Row],[NOTA]]=15,"CUMPLE","NO CUMPLE")</f>
        <v>CUMPLE</v>
      </c>
      <c r="AB82" s="9" t="str">
        <f>IF(COUNTIF($A$10:A82,A82)=1,IF(COUNTIFS($A:$A,A82,$AA:$AA,"NO CUMPLE")&gt;0,"NO CUMPLE","CUMPLE"),"")</f>
        <v>CUMPLE</v>
      </c>
      <c r="AC82" s="9" t="s">
        <v>140</v>
      </c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18"/>
      <c r="BX82" s="18">
        <f>IF($X82="","",AE82/$X$10)</f>
        <v>0</v>
      </c>
      <c r="BY82" s="18">
        <f>IF($X82="","",AF82/$X$10)</f>
        <v>0</v>
      </c>
      <c r="BZ82" s="18">
        <f>IF($X82="","",AG82/$X$10)</f>
        <v>0</v>
      </c>
      <c r="CA82" s="18">
        <f>IF($X82="","",AH82/$X$10)</f>
        <v>0</v>
      </c>
      <c r="CB82" s="18">
        <f t="shared" si="9"/>
        <v>0</v>
      </c>
      <c r="CC82" s="18">
        <f>IF($X82="","",AJ82/$X$10)</f>
        <v>0</v>
      </c>
      <c r="CD82" s="18">
        <f>IF($X82="","",AK82/$X$10)</f>
        <v>0</v>
      </c>
      <c r="CE82" s="18">
        <f>IF($X82="","",AL82/$X$10)</f>
        <v>0</v>
      </c>
      <c r="CF82" s="18">
        <f>IF($X82="","",AM82/$X$10)</f>
        <v>0</v>
      </c>
      <c r="CG82" s="18">
        <f>IF($X82="","",AN82/$X$10)</f>
        <v>0</v>
      </c>
      <c r="CH82" s="18">
        <f>IF($X82="","",AO82/$X$10)</f>
        <v>0</v>
      </c>
      <c r="CI82" s="18">
        <f>IF($X82="","",AP82/$X$10)</f>
        <v>0</v>
      </c>
      <c r="CJ82" s="18">
        <f>IF($X82="","",AQ82/$X$10)</f>
        <v>0</v>
      </c>
      <c r="CK82" s="18">
        <f>IF($X82="","",AR82/$X$10)</f>
        <v>0</v>
      </c>
      <c r="CL82" s="18">
        <f>IF($X82="","",AS82/$X$10)</f>
        <v>0</v>
      </c>
      <c r="CM82" s="18">
        <f>IF($X82="","",AT82/$X$10)</f>
        <v>0</v>
      </c>
      <c r="CN82" s="18">
        <f>IF($X82="","",AU82/$X$10)</f>
        <v>0</v>
      </c>
      <c r="CO82" s="18">
        <f>IF($X82="","",AV82/$X$10)</f>
        <v>0</v>
      </c>
      <c r="CP82" s="18">
        <f>IF($X82="","",AW82/$X$10)</f>
        <v>0</v>
      </c>
      <c r="CQ82" s="18">
        <f>IF($X82="","",AX82/$X$10)</f>
        <v>0</v>
      </c>
      <c r="CR82" s="18">
        <f>IF($X82="","",AY82/$X$10)</f>
        <v>0</v>
      </c>
      <c r="CS82" s="18">
        <f>IF($X82="","",AZ82/$X$10)</f>
        <v>0</v>
      </c>
      <c r="CT82" s="18">
        <f>IF($X82="","",BA82/$X$10)</f>
        <v>0</v>
      </c>
      <c r="CU82" s="18">
        <f>IF($X82="","",BB82/$X$10)</f>
        <v>0</v>
      </c>
      <c r="CV82" s="18">
        <f>IF($X82="","",BC82/$X$10)</f>
        <v>0</v>
      </c>
      <c r="CW82" s="18">
        <f>IF($X82="","",BD82/$X$10)</f>
        <v>0</v>
      </c>
      <c r="CX82" s="18">
        <f>IF($X82="","",BE82/$X$10)</f>
        <v>0</v>
      </c>
      <c r="CY82" s="18">
        <f>IF($X82="","",BF82/$X$10)</f>
        <v>0</v>
      </c>
      <c r="CZ82" s="18">
        <f>IF($X82="","",BG82/$X$10)</f>
        <v>0</v>
      </c>
      <c r="DA82" s="18">
        <f>IF($X82="","",BH82/$X$10)</f>
        <v>0</v>
      </c>
      <c r="DB82" s="18">
        <f>IF($X82="","",BI82/$X$10)</f>
        <v>0</v>
      </c>
      <c r="DC82" s="18">
        <f>IF($X82="","",BJ82/$X$10)</f>
        <v>0</v>
      </c>
      <c r="DD82" s="18">
        <f>IF($X82="","",BK82/$X$10)</f>
        <v>0</v>
      </c>
      <c r="DE82" s="18">
        <f>IF($X82="","",BL82/$X$10)</f>
        <v>0</v>
      </c>
      <c r="DF82" s="18">
        <f>IF($X82="","",BM82/$X$10)</f>
        <v>0</v>
      </c>
      <c r="DG82" s="18">
        <f t="shared" si="10"/>
        <v>0</v>
      </c>
      <c r="DH82" s="18">
        <f>IF($X82="","",BO82/$X$10)</f>
        <v>0</v>
      </c>
      <c r="DI82" s="18">
        <f>IF($X82="","",BP82/$X$10)</f>
        <v>0</v>
      </c>
      <c r="DJ82" s="18">
        <f>IF($X82="","",BQ82/$X$10)</f>
        <v>0</v>
      </c>
      <c r="DK82" s="18">
        <f>IF($X82="","",BR82/$X$10)</f>
        <v>0</v>
      </c>
      <c r="DL82" s="18">
        <f>IF($X82="","",BS82/$X$10)</f>
        <v>0</v>
      </c>
      <c r="DM82" s="18">
        <f>IF($X82="","",BT82/$X$10)</f>
        <v>0</v>
      </c>
      <c r="DN82" s="18">
        <f t="shared" si="11"/>
        <v>0</v>
      </c>
      <c r="DO82" s="16">
        <f>IF($X82="","",SUM(Tabla152[[#This Row],[PODRIDO]],Tabla152[[#This Row],[HONGO]],Tabla152[[#This Row],[PICADO DE AVE CON PUDRICIÓN]],Tabla152[[#This Row],[FUMAGINA]])/$X$10)</f>
        <v>0</v>
      </c>
      <c r="DP82" s="16">
        <f>IF($X82="","",SUM(Tabla152[[#This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82" s="16">
        <f>IF($X82="","",SUM(Tabla152[[#This Row],[BLANDO]:[COLAPSADO]])/$X$10)</f>
        <v>0</v>
      </c>
      <c r="DR82" s="16">
        <f>IF($X82="","",SUM(Tabla152[[#This Row],[DESHIDRATADO LEVE]:[DESHIDRATADO INMADURO]])/$X$10)</f>
        <v>0</v>
      </c>
      <c r="DS82" s="18">
        <f t="shared" si="7"/>
        <v>0</v>
      </c>
      <c r="DT82" s="16">
        <f>IF($X82="","",SUM(Tabla152[[#This Row],[PRESENCIA DE LARVA]],Tabla152[[#This Row],[CHANCHITO BLANCO]])/$X$10)</f>
        <v>0</v>
      </c>
      <c r="DU82" s="18">
        <f>IF($X82="","",SUM(Tabla152[[#This Row],[ROJO GRADO 2 A MÁS]],Tabla152[[#This Row],[IMMADURO VERDE]],Tabla152[[#This Row],[DESORDEN POR MADURACIÓN]],Tabla152[[#This Row],[ARO PEDICELAR VERDE EXTREMO]])/$X$10)</f>
        <v>0</v>
      </c>
      <c r="DV82" s="16">
        <f>IF($X82="","",SUM(Tabla152[[#This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82" s="16">
        <f t="shared" si="8"/>
        <v>0</v>
      </c>
      <c r="DX82" s="16">
        <f>IF($X82="","",AJ82/$X$10)</f>
        <v>0</v>
      </c>
      <c r="DY82" s="16">
        <f>IF($X82="","",SUM(Tabla152[[#This Row],[PRESENCIA DE COROLA]],Tabla152[[#This Row],[PRESENCIA DE RESTO FLORAL VERDE]],Tabla152[[#This Row],[PRESENCIA DE PEDÚNCULO]])/$X$10)</f>
        <v>0</v>
      </c>
      <c r="DZ82" s="16">
        <f>IF($X82="","",SUM(Tabla152[[#This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83" spans="1:130" x14ac:dyDescent="0.3">
      <c r="A83" s="9">
        <f>IF(W83="","",IF(ROW()=10,1,IF(W83=W82,A82,MAX($A$9:A82)+1)))</f>
        <v>24</v>
      </c>
      <c r="B83" s="9">
        <f>WEEKNUM(Tabla152[[#This Row],[FECHA DE COSECHA]],21)</f>
        <v>36</v>
      </c>
      <c r="C83" s="9"/>
      <c r="D83" s="17">
        <v>46267</v>
      </c>
      <c r="E83" s="17">
        <v>46267</v>
      </c>
      <c r="F83" s="9">
        <v>1</v>
      </c>
      <c r="G83" s="9" t="s">
        <v>77</v>
      </c>
      <c r="H83" s="9" t="s">
        <v>144</v>
      </c>
      <c r="I83" s="9" t="s">
        <v>134</v>
      </c>
      <c r="J83" s="9" t="s">
        <v>78</v>
      </c>
      <c r="K83" s="9" t="s">
        <v>153</v>
      </c>
      <c r="L83" s="9" t="s">
        <v>131</v>
      </c>
      <c r="M83" s="9" t="s">
        <v>239</v>
      </c>
      <c r="N83" s="9" t="s">
        <v>151</v>
      </c>
      <c r="O83" s="9" t="s">
        <v>244</v>
      </c>
      <c r="P83" s="9" t="s">
        <v>152</v>
      </c>
      <c r="Q83" s="9"/>
      <c r="R83" s="9">
        <v>8</v>
      </c>
      <c r="S83" s="9">
        <v>74547547</v>
      </c>
      <c r="T83" t="s">
        <v>232</v>
      </c>
      <c r="U83" s="9" t="s">
        <v>147</v>
      </c>
      <c r="V83" s="9"/>
      <c r="W83" s="19" t="s">
        <v>176</v>
      </c>
      <c r="X83" s="9">
        <v>61</v>
      </c>
      <c r="Y83" s="9">
        <v>2</v>
      </c>
      <c r="Z83" s="9">
        <v>15</v>
      </c>
      <c r="AA83" s="9" t="str">
        <f>IF(Tabla152[[#This Row],[NOTA]]=15,"CUMPLE","NO CUMPLE")</f>
        <v>CUMPLE</v>
      </c>
      <c r="AB83" s="9" t="str">
        <f>IF(COUNTIF($A$10:A83,A83)=1,IF(COUNTIFS($A:$A,A83,$AA:$AA,"NO CUMPLE")&gt;0,"NO CUMPLE","CUMPLE"),"")</f>
        <v/>
      </c>
      <c r="AC83" s="9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18"/>
      <c r="BX83" s="18">
        <f>IF($X83="","",AE83/$X$10)</f>
        <v>0</v>
      </c>
      <c r="BY83" s="18">
        <f>IF($X83="","",AF83/$X$10)</f>
        <v>0</v>
      </c>
      <c r="BZ83" s="18">
        <f>IF($X83="","",AG83/$X$10)</f>
        <v>0</v>
      </c>
      <c r="CA83" s="18">
        <f>IF($X83="","",AH83/$X$10)</f>
        <v>0</v>
      </c>
      <c r="CB83" s="18">
        <f t="shared" si="9"/>
        <v>0</v>
      </c>
      <c r="CC83" s="18">
        <f>IF($X83="","",AJ83/$X$10)</f>
        <v>0</v>
      </c>
      <c r="CD83" s="18">
        <f>IF($X83="","",AK83/$X$10)</f>
        <v>0</v>
      </c>
      <c r="CE83" s="18">
        <f>IF($X83="","",AL83/$X$10)</f>
        <v>0</v>
      </c>
      <c r="CF83" s="18">
        <f>IF($X83="","",AM83/$X$10)</f>
        <v>0</v>
      </c>
      <c r="CG83" s="18">
        <f>IF($X83="","",AN83/$X$10)</f>
        <v>0</v>
      </c>
      <c r="CH83" s="18">
        <f>IF($X83="","",AO83/$X$10)</f>
        <v>0</v>
      </c>
      <c r="CI83" s="18">
        <f>IF($X83="","",AP83/$X$10)</f>
        <v>0</v>
      </c>
      <c r="CJ83" s="18">
        <f>IF($X83="","",AQ83/$X$10)</f>
        <v>0</v>
      </c>
      <c r="CK83" s="18">
        <f>IF($X83="","",AR83/$X$10)</f>
        <v>0</v>
      </c>
      <c r="CL83" s="18">
        <f>IF($X83="","",AS83/$X$10)</f>
        <v>0</v>
      </c>
      <c r="CM83" s="18">
        <f>IF($X83="","",AT83/$X$10)</f>
        <v>0</v>
      </c>
      <c r="CN83" s="18">
        <f>IF($X83="","",AU83/$X$10)</f>
        <v>0</v>
      </c>
      <c r="CO83" s="18">
        <f>IF($X83="","",AV83/$X$10)</f>
        <v>0</v>
      </c>
      <c r="CP83" s="18">
        <f>IF($X83="","",AW83/$X$10)</f>
        <v>0</v>
      </c>
      <c r="CQ83" s="18">
        <f>IF($X83="","",AX83/$X$10)</f>
        <v>0</v>
      </c>
      <c r="CR83" s="18">
        <f>IF($X83="","",AY83/$X$10)</f>
        <v>0</v>
      </c>
      <c r="CS83" s="18">
        <f>IF($X83="","",AZ83/$X$10)</f>
        <v>0</v>
      </c>
      <c r="CT83" s="18">
        <f>IF($X83="","",BA83/$X$10)</f>
        <v>0</v>
      </c>
      <c r="CU83" s="18">
        <f>IF($X83="","",BB83/$X$10)</f>
        <v>0</v>
      </c>
      <c r="CV83" s="18">
        <f>IF($X83="","",BC83/$X$10)</f>
        <v>0</v>
      </c>
      <c r="CW83" s="18">
        <f>IF($X83="","",BD83/$X$10)</f>
        <v>0</v>
      </c>
      <c r="CX83" s="18">
        <f>IF($X83="","",BE83/$X$10)</f>
        <v>0</v>
      </c>
      <c r="CY83" s="18">
        <f>IF($X83="","",BF83/$X$10)</f>
        <v>0</v>
      </c>
      <c r="CZ83" s="18">
        <f>IF($X83="","",BG83/$X$10)</f>
        <v>0</v>
      </c>
      <c r="DA83" s="18">
        <f>IF($X83="","",BH83/$X$10)</f>
        <v>0</v>
      </c>
      <c r="DB83" s="18">
        <f>IF($X83="","",BI83/$X$10)</f>
        <v>0</v>
      </c>
      <c r="DC83" s="18">
        <f>IF($X83="","",BJ83/$X$10)</f>
        <v>0</v>
      </c>
      <c r="DD83" s="18">
        <f>IF($X83="","",BK83/$X$10)</f>
        <v>0</v>
      </c>
      <c r="DE83" s="18">
        <f>IF($X83="","",BL83/$X$10)</f>
        <v>0</v>
      </c>
      <c r="DF83" s="18">
        <f>IF($X83="","",BM83/$X$10)</f>
        <v>0</v>
      </c>
      <c r="DG83" s="18">
        <f t="shared" si="10"/>
        <v>0</v>
      </c>
      <c r="DH83" s="18">
        <f>IF($X83="","",BO83/$X$10)</f>
        <v>0</v>
      </c>
      <c r="DI83" s="18">
        <f>IF($X83="","",BP83/$X$10)</f>
        <v>0</v>
      </c>
      <c r="DJ83" s="18">
        <f>IF($X83="","",BQ83/$X$10)</f>
        <v>0</v>
      </c>
      <c r="DK83" s="18">
        <f>IF($X83="","",BR83/$X$10)</f>
        <v>0</v>
      </c>
      <c r="DL83" s="18">
        <f>IF($X83="","",BS83/$X$10)</f>
        <v>0</v>
      </c>
      <c r="DM83" s="18">
        <f>IF($X83="","",BT83/$X$10)</f>
        <v>0</v>
      </c>
      <c r="DN83" s="18">
        <f t="shared" si="11"/>
        <v>0</v>
      </c>
      <c r="DO83" s="16">
        <f>IF($X83="","",SUM(Tabla152[[#This Row],[PODRIDO]],Tabla152[[#This Row],[HONGO]],Tabla152[[#This Row],[PICADO DE AVE CON PUDRICIÓN]],Tabla152[[#This Row],[FUMAGINA]])/$X$10)</f>
        <v>0</v>
      </c>
      <c r="DP83" s="16">
        <f>IF($X83="","",SUM(Tabla152[[#This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83" s="16">
        <f>IF($X83="","",SUM(Tabla152[[#This Row],[BLANDO]:[COLAPSADO]])/$X$10)</f>
        <v>0</v>
      </c>
      <c r="DR83" s="16">
        <f>IF($X83="","",SUM(Tabla152[[#This Row],[DESHIDRATADO LEVE]:[DESHIDRATADO INMADURO]])/$X$10)</f>
        <v>0</v>
      </c>
      <c r="DS83" s="18">
        <f t="shared" si="7"/>
        <v>0</v>
      </c>
      <c r="DT83" s="16">
        <f>IF($X83="","",SUM(Tabla152[[#This Row],[PRESENCIA DE LARVA]],Tabla152[[#This Row],[CHANCHITO BLANCO]])/$X$10)</f>
        <v>0</v>
      </c>
      <c r="DU83" s="18">
        <f>IF($X83="","",SUM(Tabla152[[#This Row],[ROJO GRADO 2 A MÁS]],Tabla152[[#This Row],[IMMADURO VERDE]],Tabla152[[#This Row],[DESORDEN POR MADURACIÓN]],Tabla152[[#This Row],[ARO PEDICELAR VERDE EXTREMO]])/$X$10)</f>
        <v>0</v>
      </c>
      <c r="DV83" s="16">
        <f>IF($X83="","",SUM(Tabla152[[#This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83" s="16">
        <f t="shared" si="8"/>
        <v>0</v>
      </c>
      <c r="DX83" s="16">
        <f>IF($X83="","",AJ83/$X$10)</f>
        <v>0</v>
      </c>
      <c r="DY83" s="16">
        <f>IF($X83="","",SUM(Tabla152[[#This Row],[PRESENCIA DE COROLA]],Tabla152[[#This Row],[PRESENCIA DE RESTO FLORAL VERDE]],Tabla152[[#This Row],[PRESENCIA DE PEDÚNCULO]])/$X$10)</f>
        <v>0</v>
      </c>
      <c r="DZ83" s="16">
        <f>IF($X83="","",SUM(Tabla152[[#This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84" spans="1:130" x14ac:dyDescent="0.3">
      <c r="A84" s="9">
        <f>IF(W84="","",IF(ROW()=10,1,IF(W84=W83,A83,MAX($A$9:A83)+1)))</f>
        <v>24</v>
      </c>
      <c r="B84" s="9">
        <f>WEEKNUM(Tabla152[[#This Row],[FECHA DE COSECHA]],21)</f>
        <v>36</v>
      </c>
      <c r="C84" s="9"/>
      <c r="D84" s="17">
        <v>46267</v>
      </c>
      <c r="E84" s="17">
        <v>46267</v>
      </c>
      <c r="F84" s="9">
        <v>1</v>
      </c>
      <c r="G84" s="9" t="s">
        <v>77</v>
      </c>
      <c r="H84" s="9" t="s">
        <v>144</v>
      </c>
      <c r="I84" s="9" t="s">
        <v>134</v>
      </c>
      <c r="J84" s="9" t="s">
        <v>78</v>
      </c>
      <c r="K84" s="9" t="s">
        <v>153</v>
      </c>
      <c r="L84" s="9" t="s">
        <v>131</v>
      </c>
      <c r="M84" s="9" t="s">
        <v>239</v>
      </c>
      <c r="N84" s="9" t="s">
        <v>151</v>
      </c>
      <c r="O84" s="9" t="s">
        <v>244</v>
      </c>
      <c r="P84" s="9" t="s">
        <v>152</v>
      </c>
      <c r="Q84" s="9"/>
      <c r="R84" s="9">
        <v>8</v>
      </c>
      <c r="S84" s="9">
        <v>74547547</v>
      </c>
      <c r="T84" t="s">
        <v>232</v>
      </c>
      <c r="U84" s="9" t="s">
        <v>147</v>
      </c>
      <c r="V84" s="9"/>
      <c r="W84" s="19" t="s">
        <v>176</v>
      </c>
      <c r="X84" s="9">
        <v>61</v>
      </c>
      <c r="Y84" s="9">
        <v>3</v>
      </c>
      <c r="Z84" s="9">
        <v>15</v>
      </c>
      <c r="AA84" s="9" t="str">
        <f>IF(Tabla152[[#This Row],[NOTA]]=15,"CUMPLE","NO CUMPLE")</f>
        <v>CUMPLE</v>
      </c>
      <c r="AB84" s="9" t="str">
        <f>IF(COUNTIF($A$10:A84,A84)=1,IF(COUNTIFS($A:$A,A84,$AA:$AA,"NO CUMPLE")&gt;0,"NO CUMPLE","CUMPLE"),"")</f>
        <v/>
      </c>
      <c r="AC84" s="9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18"/>
      <c r="BX84" s="18">
        <f>IF($X84="","",AE84/$X$10)</f>
        <v>0</v>
      </c>
      <c r="BY84" s="18">
        <f>IF($X84="","",AF84/$X$10)</f>
        <v>0</v>
      </c>
      <c r="BZ84" s="18">
        <f>IF($X84="","",AG84/$X$10)</f>
        <v>0</v>
      </c>
      <c r="CA84" s="18">
        <f>IF($X84="","",AH84/$X$10)</f>
        <v>0</v>
      </c>
      <c r="CB84" s="18">
        <f t="shared" si="9"/>
        <v>0</v>
      </c>
      <c r="CC84" s="18">
        <f>IF($X84="","",AJ84/$X$10)</f>
        <v>0</v>
      </c>
      <c r="CD84" s="18">
        <f>IF($X84="","",AK84/$X$10)</f>
        <v>0</v>
      </c>
      <c r="CE84" s="18">
        <f>IF($X84="","",AL84/$X$10)</f>
        <v>0</v>
      </c>
      <c r="CF84" s="18">
        <f>IF($X84="","",AM84/$X$10)</f>
        <v>0</v>
      </c>
      <c r="CG84" s="18">
        <f>IF($X84="","",AN84/$X$10)</f>
        <v>0</v>
      </c>
      <c r="CH84" s="18">
        <f>IF($X84="","",AO84/$X$10)</f>
        <v>0</v>
      </c>
      <c r="CI84" s="18">
        <f>IF($X84="","",AP84/$X$10)</f>
        <v>0</v>
      </c>
      <c r="CJ84" s="18">
        <f>IF($X84="","",AQ84/$X$10)</f>
        <v>0</v>
      </c>
      <c r="CK84" s="18">
        <f>IF($X84="","",AR84/$X$10)</f>
        <v>0</v>
      </c>
      <c r="CL84" s="18">
        <f>IF($X84="","",AS84/$X$10)</f>
        <v>0</v>
      </c>
      <c r="CM84" s="18">
        <f>IF($X84="","",AT84/$X$10)</f>
        <v>0</v>
      </c>
      <c r="CN84" s="18">
        <f>IF($X84="","",AU84/$X$10)</f>
        <v>0</v>
      </c>
      <c r="CO84" s="18">
        <f>IF($X84="","",AV84/$X$10)</f>
        <v>0</v>
      </c>
      <c r="CP84" s="18">
        <f>IF($X84="","",AW84/$X$10)</f>
        <v>0</v>
      </c>
      <c r="CQ84" s="18">
        <f>IF($X84="","",AX84/$X$10)</f>
        <v>0</v>
      </c>
      <c r="CR84" s="18">
        <f>IF($X84="","",AY84/$X$10)</f>
        <v>0</v>
      </c>
      <c r="CS84" s="18">
        <f>IF($X84="","",AZ84/$X$10)</f>
        <v>0</v>
      </c>
      <c r="CT84" s="18">
        <f>IF($X84="","",BA84/$X$10)</f>
        <v>0</v>
      </c>
      <c r="CU84" s="18">
        <f>IF($X84="","",BB84/$X$10)</f>
        <v>0</v>
      </c>
      <c r="CV84" s="18">
        <f>IF($X84="","",BC84/$X$10)</f>
        <v>0</v>
      </c>
      <c r="CW84" s="18">
        <f>IF($X84="","",BD84/$X$10)</f>
        <v>0</v>
      </c>
      <c r="CX84" s="18">
        <f>IF($X84="","",BE84/$X$10)</f>
        <v>0</v>
      </c>
      <c r="CY84" s="18">
        <f>IF($X84="","",BF84/$X$10)</f>
        <v>0</v>
      </c>
      <c r="CZ84" s="18">
        <f>IF($X84="","",BG84/$X$10)</f>
        <v>0</v>
      </c>
      <c r="DA84" s="18">
        <f>IF($X84="","",BH84/$X$10)</f>
        <v>0</v>
      </c>
      <c r="DB84" s="18">
        <f>IF($X84="","",BI84/$X$10)</f>
        <v>0</v>
      </c>
      <c r="DC84" s="18">
        <f>IF($X84="","",BJ84/$X$10)</f>
        <v>0</v>
      </c>
      <c r="DD84" s="18">
        <f>IF($X84="","",BK84/$X$10)</f>
        <v>0</v>
      </c>
      <c r="DE84" s="18">
        <f>IF($X84="","",BL84/$X$10)</f>
        <v>0</v>
      </c>
      <c r="DF84" s="18">
        <f>IF($X84="","",BM84/$X$10)</f>
        <v>0</v>
      </c>
      <c r="DG84" s="18">
        <f t="shared" si="10"/>
        <v>0</v>
      </c>
      <c r="DH84" s="18">
        <f>IF($X84="","",BO84/$X$10)</f>
        <v>0</v>
      </c>
      <c r="DI84" s="18">
        <f>IF($X84="","",BP84/$X$10)</f>
        <v>0</v>
      </c>
      <c r="DJ84" s="18">
        <f>IF($X84="","",BQ84/$X$10)</f>
        <v>0</v>
      </c>
      <c r="DK84" s="18">
        <f>IF($X84="","",BR84/$X$10)</f>
        <v>0</v>
      </c>
      <c r="DL84" s="18">
        <f>IF($X84="","",BS84/$X$10)</f>
        <v>0</v>
      </c>
      <c r="DM84" s="18">
        <f>IF($X84="","",BT84/$X$10)</f>
        <v>0</v>
      </c>
      <c r="DN84" s="18">
        <f t="shared" si="11"/>
        <v>0</v>
      </c>
      <c r="DO84" s="16">
        <f>IF($X84="","",SUM(Tabla152[[#This Row],[PODRIDO]],Tabla152[[#This Row],[HONGO]],Tabla152[[#This Row],[PICADO DE AVE CON PUDRICIÓN]],Tabla152[[#This Row],[FUMAGINA]])/$X$10)</f>
        <v>0</v>
      </c>
      <c r="DP84" s="16">
        <f>IF($X84="","",SUM(Tabla152[[#This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84" s="16">
        <f>IF($X84="","",SUM(Tabla152[[#This Row],[BLANDO]:[COLAPSADO]])/$X$10)</f>
        <v>0</v>
      </c>
      <c r="DR84" s="16">
        <f>IF($X84="","",SUM(Tabla152[[#This Row],[DESHIDRATADO LEVE]:[DESHIDRATADO INMADURO]])/$X$10)</f>
        <v>0</v>
      </c>
      <c r="DS84" s="18">
        <f t="shared" si="7"/>
        <v>0</v>
      </c>
      <c r="DT84" s="16">
        <f>IF($X84="","",SUM(Tabla152[[#This Row],[PRESENCIA DE LARVA]],Tabla152[[#This Row],[CHANCHITO BLANCO]])/$X$10)</f>
        <v>0</v>
      </c>
      <c r="DU84" s="18">
        <f>IF($X84="","",SUM(Tabla152[[#This Row],[ROJO GRADO 2 A MÁS]],Tabla152[[#This Row],[IMMADURO VERDE]],Tabla152[[#This Row],[DESORDEN POR MADURACIÓN]],Tabla152[[#This Row],[ARO PEDICELAR VERDE EXTREMO]])/$X$10)</f>
        <v>0</v>
      </c>
      <c r="DV84" s="16">
        <f>IF($X84="","",SUM(Tabla152[[#This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84" s="16">
        <f t="shared" si="8"/>
        <v>0</v>
      </c>
      <c r="DX84" s="16">
        <f>IF($X84="","",AJ84/$X$10)</f>
        <v>0</v>
      </c>
      <c r="DY84" s="16">
        <f>IF($X84="","",SUM(Tabla152[[#This Row],[PRESENCIA DE COROLA]],Tabla152[[#This Row],[PRESENCIA DE RESTO FLORAL VERDE]],Tabla152[[#This Row],[PRESENCIA DE PEDÚNCULO]])/$X$10)</f>
        <v>0</v>
      </c>
      <c r="DZ84" s="16">
        <f>IF($X84="","",SUM(Tabla152[[#This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85" spans="1:130" x14ac:dyDescent="0.3">
      <c r="A85" s="9">
        <f>IF(W85="","",IF(ROW()=10,1,IF(W85=W84,A84,MAX($A$9:A84)+1)))</f>
        <v>25</v>
      </c>
      <c r="B85" s="9">
        <f>WEEKNUM(Tabla152[[#This Row],[FECHA DE COSECHA]],21)</f>
        <v>36</v>
      </c>
      <c r="C85" s="9"/>
      <c r="D85" s="17">
        <v>46267</v>
      </c>
      <c r="E85" s="17">
        <v>46267</v>
      </c>
      <c r="F85" s="9">
        <v>1</v>
      </c>
      <c r="G85" s="9" t="s">
        <v>77</v>
      </c>
      <c r="H85" s="9" t="s">
        <v>144</v>
      </c>
      <c r="I85" s="9" t="s">
        <v>134</v>
      </c>
      <c r="J85" s="9" t="s">
        <v>78</v>
      </c>
      <c r="K85" s="9" t="s">
        <v>153</v>
      </c>
      <c r="L85" s="9" t="s">
        <v>131</v>
      </c>
      <c r="M85" s="9" t="s">
        <v>239</v>
      </c>
      <c r="N85" s="9" t="s">
        <v>151</v>
      </c>
      <c r="O85" s="9" t="s">
        <v>244</v>
      </c>
      <c r="P85" s="9" t="s">
        <v>152</v>
      </c>
      <c r="Q85" s="9"/>
      <c r="R85" s="9">
        <v>8</v>
      </c>
      <c r="S85" s="9">
        <v>74547547</v>
      </c>
      <c r="T85" t="s">
        <v>232</v>
      </c>
      <c r="U85" s="9" t="s">
        <v>147</v>
      </c>
      <c r="V85" s="9"/>
      <c r="W85" s="19" t="s">
        <v>177</v>
      </c>
      <c r="X85" s="9">
        <v>61</v>
      </c>
      <c r="Y85" s="9">
        <v>1</v>
      </c>
      <c r="Z85" s="9">
        <v>5</v>
      </c>
      <c r="AA85" s="9" t="str">
        <f>IF(Tabla152[[#This Row],[NOTA]]=15,"CUMPLE","NO CUMPLE")</f>
        <v>NO CUMPLE</v>
      </c>
      <c r="AB85" s="9" t="str">
        <f>IF(COUNTIF($A$10:A85,A85)=1,IF(COUNTIFS($A:$A,A85,$AA:$AA,"NO CUMPLE")&gt;0,"NO CUMPLE","CUMPLE"),"")</f>
        <v>NO CUMPLE</v>
      </c>
      <c r="AC85" s="9" t="s">
        <v>140</v>
      </c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7"/>
      <c r="AR85" s="7"/>
      <c r="AS85" s="7">
        <v>2</v>
      </c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18"/>
      <c r="BX85" s="18">
        <f>IF($X85="","",AE85/$X$10)</f>
        <v>0</v>
      </c>
      <c r="BY85" s="18">
        <f>IF($X85="","",AF85/$X$10)</f>
        <v>0</v>
      </c>
      <c r="BZ85" s="18">
        <f>IF($X85="","",AG85/$X$10)</f>
        <v>0</v>
      </c>
      <c r="CA85" s="18">
        <f>IF($X85="","",AH85/$X$10)</f>
        <v>0</v>
      </c>
      <c r="CB85" s="18">
        <f t="shared" si="9"/>
        <v>0</v>
      </c>
      <c r="CC85" s="18">
        <f>IF($X85="","",AJ85/$X$10)</f>
        <v>0</v>
      </c>
      <c r="CD85" s="18">
        <f>IF($X85="","",AK85/$X$10)</f>
        <v>0</v>
      </c>
      <c r="CE85" s="18">
        <f>IF($X85="","",AL85/$X$10)</f>
        <v>0</v>
      </c>
      <c r="CF85" s="18">
        <f>IF($X85="","",AM85/$X$10)</f>
        <v>0</v>
      </c>
      <c r="CG85" s="18">
        <f>IF($X85="","",AN85/$X$10)</f>
        <v>0</v>
      </c>
      <c r="CH85" s="18">
        <f>IF($X85="","",AO85/$X$10)</f>
        <v>0</v>
      </c>
      <c r="CI85" s="18">
        <f>IF($X85="","",AP85/$X$10)</f>
        <v>0</v>
      </c>
      <c r="CJ85" s="18">
        <f>IF($X85="","",AQ85/$X$10)</f>
        <v>0</v>
      </c>
      <c r="CK85" s="18">
        <f>IF($X85="","",AR85/$X$10)</f>
        <v>0</v>
      </c>
      <c r="CL85" s="18">
        <f>IF($X85="","",AS85/$X$10)</f>
        <v>3.1746031746031744E-2</v>
      </c>
      <c r="CM85" s="18">
        <f>IF($X85="","",AT85/$X$10)</f>
        <v>0</v>
      </c>
      <c r="CN85" s="18">
        <f>IF($X85="","",AU85/$X$10)</f>
        <v>0</v>
      </c>
      <c r="CO85" s="18">
        <f>IF($X85="","",AV85/$X$10)</f>
        <v>0</v>
      </c>
      <c r="CP85" s="18">
        <f>IF($X85="","",AW85/$X$10)</f>
        <v>0</v>
      </c>
      <c r="CQ85" s="18">
        <f>IF($X85="","",AX85/$X$10)</f>
        <v>0</v>
      </c>
      <c r="CR85" s="18">
        <f>IF($X85="","",AY85/$X$10)</f>
        <v>0</v>
      </c>
      <c r="CS85" s="18">
        <f>IF($X85="","",AZ85/$X$10)</f>
        <v>0</v>
      </c>
      <c r="CT85" s="18">
        <f>IF($X85="","",BA85/$X$10)</f>
        <v>0</v>
      </c>
      <c r="CU85" s="18">
        <f>IF($X85="","",BB85/$X$10)</f>
        <v>0</v>
      </c>
      <c r="CV85" s="18">
        <f>IF($X85="","",BC85/$X$10)</f>
        <v>0</v>
      </c>
      <c r="CW85" s="18">
        <f>IF($X85="","",BD85/$X$10)</f>
        <v>0</v>
      </c>
      <c r="CX85" s="18">
        <f>IF($X85="","",BE85/$X$10)</f>
        <v>0</v>
      </c>
      <c r="CY85" s="18">
        <f>IF($X85="","",BF85/$X$10)</f>
        <v>0</v>
      </c>
      <c r="CZ85" s="18">
        <f>IF($X85="","",BG85/$X$10)</f>
        <v>0</v>
      </c>
      <c r="DA85" s="18">
        <f>IF($X85="","",BH85/$X$10)</f>
        <v>0</v>
      </c>
      <c r="DB85" s="18">
        <f>IF($X85="","",BI85/$X$10)</f>
        <v>0</v>
      </c>
      <c r="DC85" s="18">
        <f>IF($X85="","",BJ85/$X$10)</f>
        <v>0</v>
      </c>
      <c r="DD85" s="18">
        <f>IF($X85="","",BK85/$X$10)</f>
        <v>0</v>
      </c>
      <c r="DE85" s="18">
        <f>IF($X85="","",BL85/$X$10)</f>
        <v>0</v>
      </c>
      <c r="DF85" s="18">
        <f>IF($X85="","",BM85/$X$10)</f>
        <v>0</v>
      </c>
      <c r="DG85" s="18">
        <f t="shared" si="10"/>
        <v>0</v>
      </c>
      <c r="DH85" s="18">
        <f>IF($X85="","",BO85/$X$10)</f>
        <v>0</v>
      </c>
      <c r="DI85" s="18">
        <f>IF($X85="","",BP85/$X$10)</f>
        <v>0</v>
      </c>
      <c r="DJ85" s="18">
        <f>IF($X85="","",BQ85/$X$10)</f>
        <v>0</v>
      </c>
      <c r="DK85" s="18">
        <f>IF($X85="","",BR85/$X$10)</f>
        <v>0</v>
      </c>
      <c r="DL85" s="18">
        <f>IF($X85="","",BS85/$X$10)</f>
        <v>0</v>
      </c>
      <c r="DM85" s="18">
        <f>IF($X85="","",BT85/$X$10)</f>
        <v>0</v>
      </c>
      <c r="DN85" s="18">
        <f t="shared" si="11"/>
        <v>0</v>
      </c>
      <c r="DO85" s="16">
        <f>IF($X85="","",SUM(Tabla152[[#This Row],[PODRIDO]],Tabla152[[#This Row],[HONGO]],Tabla152[[#This Row],[PICADO DE AVE CON PUDRICIÓN]],Tabla152[[#This Row],[FUMAGINA]])/$X$10)</f>
        <v>0</v>
      </c>
      <c r="DP85" s="16">
        <f>IF($X85="","",SUM(Tabla152[[#This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85" s="16">
        <f>IF($X85="","",SUM(Tabla152[[#This Row],[BLANDO]:[COLAPSADO]])/$X$10)</f>
        <v>0</v>
      </c>
      <c r="DR85" s="16">
        <f>IF($X85="","",SUM(Tabla152[[#This Row],[DESHIDRATADO LEVE]:[DESHIDRATADO INMADURO]])/$X$10)</f>
        <v>3.1746031746031744E-2</v>
      </c>
      <c r="DS85" s="18">
        <f t="shared" si="7"/>
        <v>0</v>
      </c>
      <c r="DT85" s="16">
        <f>IF($X85="","",SUM(Tabla152[[#This Row],[PRESENCIA DE LARVA]],Tabla152[[#This Row],[CHANCHITO BLANCO]])/$X$10)</f>
        <v>0</v>
      </c>
      <c r="DU85" s="18">
        <f>IF($X85="","",SUM(Tabla152[[#This Row],[ROJO GRADO 2 A MÁS]],Tabla152[[#This Row],[IMMADURO VERDE]],Tabla152[[#This Row],[DESORDEN POR MADURACIÓN]],Tabla152[[#This Row],[ARO PEDICELAR VERDE EXTREMO]])/$X$10)</f>
        <v>0</v>
      </c>
      <c r="DV85" s="16">
        <f>IF($X85="","",SUM(Tabla152[[#This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85" s="16">
        <f t="shared" si="8"/>
        <v>0</v>
      </c>
      <c r="DX85" s="16">
        <f>IF($X85="","",AJ85/$X$10)</f>
        <v>0</v>
      </c>
      <c r="DY85" s="16">
        <f>IF($X85="","",SUM(Tabla152[[#This Row],[PRESENCIA DE COROLA]],Tabla152[[#This Row],[PRESENCIA DE RESTO FLORAL VERDE]],Tabla152[[#This Row],[PRESENCIA DE PEDÚNCULO]])/$X$10)</f>
        <v>0</v>
      </c>
      <c r="DZ85" s="16">
        <f>IF($X85="","",SUM(Tabla152[[#This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86" spans="1:130" x14ac:dyDescent="0.3">
      <c r="A86" s="9">
        <f>IF(W86="","",IF(ROW()=10,1,IF(W86=W85,A85,MAX($A$9:A85)+1)))</f>
        <v>25</v>
      </c>
      <c r="B86" s="9">
        <f>WEEKNUM(Tabla152[[#This Row],[FECHA DE COSECHA]],21)</f>
        <v>36</v>
      </c>
      <c r="C86" s="9"/>
      <c r="D86" s="17">
        <v>46267</v>
      </c>
      <c r="E86" s="17">
        <v>46267</v>
      </c>
      <c r="F86" s="9">
        <v>1</v>
      </c>
      <c r="G86" s="9" t="s">
        <v>77</v>
      </c>
      <c r="H86" s="9" t="s">
        <v>144</v>
      </c>
      <c r="I86" s="9" t="s">
        <v>134</v>
      </c>
      <c r="J86" s="9" t="s">
        <v>78</v>
      </c>
      <c r="K86" s="9" t="s">
        <v>153</v>
      </c>
      <c r="L86" s="9" t="s">
        <v>131</v>
      </c>
      <c r="M86" s="9" t="s">
        <v>239</v>
      </c>
      <c r="N86" s="9" t="s">
        <v>151</v>
      </c>
      <c r="O86" s="9" t="s">
        <v>244</v>
      </c>
      <c r="P86" s="9" t="s">
        <v>152</v>
      </c>
      <c r="Q86" s="9"/>
      <c r="R86" s="9">
        <v>8</v>
      </c>
      <c r="S86" s="9">
        <v>74547547</v>
      </c>
      <c r="T86" t="s">
        <v>232</v>
      </c>
      <c r="U86" s="9" t="s">
        <v>147</v>
      </c>
      <c r="V86" s="9"/>
      <c r="W86" s="19" t="s">
        <v>177</v>
      </c>
      <c r="X86" s="9">
        <v>61</v>
      </c>
      <c r="Y86" s="9">
        <v>2</v>
      </c>
      <c r="Z86" s="9">
        <v>5</v>
      </c>
      <c r="AA86" s="9" t="str">
        <f>IF(Tabla152[[#This Row],[NOTA]]=15,"CUMPLE","NO CUMPLE")</f>
        <v>NO CUMPLE</v>
      </c>
      <c r="AB86" s="9" t="str">
        <f>IF(COUNTIF($A$10:A86,A86)=1,IF(COUNTIFS($A:$A,A86,$AA:$AA,"NO CUMPLE")&gt;0,"NO CUMPLE","CUMPLE"),"")</f>
        <v/>
      </c>
      <c r="AC86" s="9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7"/>
      <c r="AR86" s="7"/>
      <c r="AS86" s="7">
        <v>2</v>
      </c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18"/>
      <c r="BX86" s="18">
        <f>IF($X86="","",AE86/$X$10)</f>
        <v>0</v>
      </c>
      <c r="BY86" s="18">
        <f>IF($X86="","",AF86/$X$10)</f>
        <v>0</v>
      </c>
      <c r="BZ86" s="18">
        <f>IF($X86="","",AG86/$X$10)</f>
        <v>0</v>
      </c>
      <c r="CA86" s="18">
        <f>IF($X86="","",AH86/$X$10)</f>
        <v>0</v>
      </c>
      <c r="CB86" s="18">
        <f t="shared" si="9"/>
        <v>0</v>
      </c>
      <c r="CC86" s="18">
        <f>IF($X86="","",AJ86/$X$10)</f>
        <v>0</v>
      </c>
      <c r="CD86" s="18">
        <f>IF($X86="","",AK86/$X$10)</f>
        <v>0</v>
      </c>
      <c r="CE86" s="18">
        <f>IF($X86="","",AL86/$X$10)</f>
        <v>0</v>
      </c>
      <c r="CF86" s="18">
        <f>IF($X86="","",AM86/$X$10)</f>
        <v>0</v>
      </c>
      <c r="CG86" s="18">
        <f>IF($X86="","",AN86/$X$10)</f>
        <v>0</v>
      </c>
      <c r="CH86" s="18">
        <f>IF($X86="","",AO86/$X$10)</f>
        <v>0</v>
      </c>
      <c r="CI86" s="18">
        <f>IF($X86="","",AP86/$X$10)</f>
        <v>0</v>
      </c>
      <c r="CJ86" s="18">
        <f>IF($X86="","",AQ86/$X$10)</f>
        <v>0</v>
      </c>
      <c r="CK86" s="18">
        <f>IF($X86="","",AR86/$X$10)</f>
        <v>0</v>
      </c>
      <c r="CL86" s="18">
        <f>IF($X86="","",AS86/$X$10)</f>
        <v>3.1746031746031744E-2</v>
      </c>
      <c r="CM86" s="18">
        <f>IF($X86="","",AT86/$X$10)</f>
        <v>0</v>
      </c>
      <c r="CN86" s="18">
        <f>IF($X86="","",AU86/$X$10)</f>
        <v>0</v>
      </c>
      <c r="CO86" s="18">
        <f>IF($X86="","",AV86/$X$10)</f>
        <v>0</v>
      </c>
      <c r="CP86" s="18">
        <f>IF($X86="","",AW86/$X$10)</f>
        <v>0</v>
      </c>
      <c r="CQ86" s="18">
        <f>IF($X86="","",AX86/$X$10)</f>
        <v>0</v>
      </c>
      <c r="CR86" s="18">
        <f>IF($X86="","",AY86/$X$10)</f>
        <v>0</v>
      </c>
      <c r="CS86" s="18">
        <f>IF($X86="","",AZ86/$X$10)</f>
        <v>0</v>
      </c>
      <c r="CT86" s="18">
        <f>IF($X86="","",BA86/$X$10)</f>
        <v>0</v>
      </c>
      <c r="CU86" s="18">
        <f>IF($X86="","",BB86/$X$10)</f>
        <v>0</v>
      </c>
      <c r="CV86" s="18">
        <f>IF($X86="","",BC86/$X$10)</f>
        <v>0</v>
      </c>
      <c r="CW86" s="18">
        <f>IF($X86="","",BD86/$X$10)</f>
        <v>0</v>
      </c>
      <c r="CX86" s="18">
        <f>IF($X86="","",BE86/$X$10)</f>
        <v>0</v>
      </c>
      <c r="CY86" s="18">
        <f>IF($X86="","",BF86/$X$10)</f>
        <v>0</v>
      </c>
      <c r="CZ86" s="18">
        <f>IF($X86="","",BG86/$X$10)</f>
        <v>0</v>
      </c>
      <c r="DA86" s="18">
        <f>IF($X86="","",BH86/$X$10)</f>
        <v>0</v>
      </c>
      <c r="DB86" s="18">
        <f>IF($X86="","",BI86/$X$10)</f>
        <v>0</v>
      </c>
      <c r="DC86" s="18">
        <f>IF($X86="","",BJ86/$X$10)</f>
        <v>0</v>
      </c>
      <c r="DD86" s="18">
        <f>IF($X86="","",BK86/$X$10)</f>
        <v>0</v>
      </c>
      <c r="DE86" s="18">
        <f>IF($X86="","",BL86/$X$10)</f>
        <v>0</v>
      </c>
      <c r="DF86" s="18">
        <f>IF($X86="","",BM86/$X$10)</f>
        <v>0</v>
      </c>
      <c r="DG86" s="18">
        <f t="shared" si="10"/>
        <v>0</v>
      </c>
      <c r="DH86" s="18">
        <f>IF($X86="","",BO86/$X$10)</f>
        <v>0</v>
      </c>
      <c r="DI86" s="18">
        <f>IF($X86="","",BP86/$X$10)</f>
        <v>0</v>
      </c>
      <c r="DJ86" s="18">
        <f>IF($X86="","",BQ86/$X$10)</f>
        <v>0</v>
      </c>
      <c r="DK86" s="18">
        <f>IF($X86="","",BR86/$X$10)</f>
        <v>0</v>
      </c>
      <c r="DL86" s="18">
        <f>IF($X86="","",BS86/$X$10)</f>
        <v>0</v>
      </c>
      <c r="DM86" s="18">
        <f>IF($X86="","",BT86/$X$10)</f>
        <v>0</v>
      </c>
      <c r="DN86" s="18">
        <f t="shared" si="11"/>
        <v>0</v>
      </c>
      <c r="DO86" s="16">
        <f>IF($X86="","",SUM(Tabla152[[#This Row],[PODRIDO]],Tabla152[[#This Row],[HONGO]],Tabla152[[#This Row],[PICADO DE AVE CON PUDRICIÓN]],Tabla152[[#This Row],[FUMAGINA]])/$X$10)</f>
        <v>0</v>
      </c>
      <c r="DP86" s="16">
        <f>IF($X86="","",SUM(Tabla152[[#This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86" s="16">
        <f>IF($X86="","",SUM(Tabla152[[#This Row],[BLANDO]:[COLAPSADO]])/$X$10)</f>
        <v>0</v>
      </c>
      <c r="DR86" s="16">
        <f>IF($X86="","",SUM(Tabla152[[#This Row],[DESHIDRATADO LEVE]:[DESHIDRATADO INMADURO]])/$X$10)</f>
        <v>3.1746031746031744E-2</v>
      </c>
      <c r="DS86" s="18">
        <f t="shared" si="7"/>
        <v>0</v>
      </c>
      <c r="DT86" s="16">
        <f>IF($X86="","",SUM(Tabla152[[#This Row],[PRESENCIA DE LARVA]],Tabla152[[#This Row],[CHANCHITO BLANCO]])/$X$10)</f>
        <v>0</v>
      </c>
      <c r="DU86" s="18">
        <f>IF($X86="","",SUM(Tabla152[[#This Row],[ROJO GRADO 2 A MÁS]],Tabla152[[#This Row],[IMMADURO VERDE]],Tabla152[[#This Row],[DESORDEN POR MADURACIÓN]],Tabla152[[#This Row],[ARO PEDICELAR VERDE EXTREMO]])/$X$10)</f>
        <v>0</v>
      </c>
      <c r="DV86" s="16">
        <f>IF($X86="","",SUM(Tabla152[[#This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86" s="16">
        <f t="shared" si="8"/>
        <v>0</v>
      </c>
      <c r="DX86" s="16">
        <f>IF($X86="","",AJ86/$X$10)</f>
        <v>0</v>
      </c>
      <c r="DY86" s="16">
        <f>IF($X86="","",SUM(Tabla152[[#This Row],[PRESENCIA DE COROLA]],Tabla152[[#This Row],[PRESENCIA DE RESTO FLORAL VERDE]],Tabla152[[#This Row],[PRESENCIA DE PEDÚNCULO]])/$X$10)</f>
        <v>0</v>
      </c>
      <c r="DZ86" s="16">
        <f>IF($X86="","",SUM(Tabla152[[#This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87" spans="1:130" x14ac:dyDescent="0.3">
      <c r="A87" s="9">
        <f>IF(W87="","",IF(ROW()=10,1,IF(W87=W86,A86,MAX($A$9:A86)+1)))</f>
        <v>25</v>
      </c>
      <c r="B87" s="9">
        <f>WEEKNUM(Tabla152[[#This Row],[FECHA DE COSECHA]],21)</f>
        <v>36</v>
      </c>
      <c r="C87" s="9"/>
      <c r="D87" s="17">
        <v>46267</v>
      </c>
      <c r="E87" s="17">
        <v>46267</v>
      </c>
      <c r="F87" s="9">
        <v>1</v>
      </c>
      <c r="G87" s="9" t="s">
        <v>77</v>
      </c>
      <c r="H87" s="9" t="s">
        <v>144</v>
      </c>
      <c r="I87" s="9" t="s">
        <v>134</v>
      </c>
      <c r="J87" s="9" t="s">
        <v>78</v>
      </c>
      <c r="K87" s="9" t="s">
        <v>153</v>
      </c>
      <c r="L87" s="9" t="s">
        <v>131</v>
      </c>
      <c r="M87" s="9" t="s">
        <v>239</v>
      </c>
      <c r="N87" s="9" t="s">
        <v>151</v>
      </c>
      <c r="O87" s="9" t="s">
        <v>244</v>
      </c>
      <c r="P87" s="9" t="s">
        <v>152</v>
      </c>
      <c r="Q87" s="9"/>
      <c r="R87" s="9">
        <v>8</v>
      </c>
      <c r="S87" s="9">
        <v>74547547</v>
      </c>
      <c r="T87" t="s">
        <v>232</v>
      </c>
      <c r="U87" s="9" t="s">
        <v>147</v>
      </c>
      <c r="V87" s="9"/>
      <c r="W87" s="19" t="s">
        <v>177</v>
      </c>
      <c r="X87" s="9">
        <v>61</v>
      </c>
      <c r="Y87" s="9">
        <v>3</v>
      </c>
      <c r="Z87" s="9">
        <v>5</v>
      </c>
      <c r="AA87" s="9" t="str">
        <f>IF(Tabla152[[#This Row],[NOTA]]=15,"CUMPLE","NO CUMPLE")</f>
        <v>NO CUMPLE</v>
      </c>
      <c r="AB87" s="9" t="str">
        <f>IF(COUNTIF($A$10:A87,A87)=1,IF(COUNTIFS($A:$A,A87,$AA:$AA,"NO CUMPLE")&gt;0,"NO CUMPLE","CUMPLE"),"")</f>
        <v/>
      </c>
      <c r="AC87" s="9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7"/>
      <c r="AR87" s="7"/>
      <c r="AS87" s="7">
        <v>2</v>
      </c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18"/>
      <c r="BX87" s="18">
        <f>IF($X87="","",AE87/$X$10)</f>
        <v>0</v>
      </c>
      <c r="BY87" s="18">
        <f>IF($X87="","",AF87/$X$10)</f>
        <v>0</v>
      </c>
      <c r="BZ87" s="18">
        <f>IF($X87="","",AG87/$X$10)</f>
        <v>0</v>
      </c>
      <c r="CA87" s="18">
        <f>IF($X87="","",AH87/$X$10)</f>
        <v>0</v>
      </c>
      <c r="CB87" s="18">
        <f t="shared" si="9"/>
        <v>0</v>
      </c>
      <c r="CC87" s="18">
        <f>IF($X87="","",AJ87/$X$10)</f>
        <v>0</v>
      </c>
      <c r="CD87" s="18">
        <f>IF($X87="","",AK87/$X$10)</f>
        <v>0</v>
      </c>
      <c r="CE87" s="18">
        <f>IF($X87="","",AL87/$X$10)</f>
        <v>0</v>
      </c>
      <c r="CF87" s="18">
        <f>IF($X87="","",AM87/$X$10)</f>
        <v>0</v>
      </c>
      <c r="CG87" s="18">
        <f>IF($X87="","",AN87/$X$10)</f>
        <v>0</v>
      </c>
      <c r="CH87" s="18">
        <f>IF($X87="","",AO87/$X$10)</f>
        <v>0</v>
      </c>
      <c r="CI87" s="18">
        <f>IF($X87="","",AP87/$X$10)</f>
        <v>0</v>
      </c>
      <c r="CJ87" s="18">
        <f>IF($X87="","",AQ87/$X$10)</f>
        <v>0</v>
      </c>
      <c r="CK87" s="18">
        <f>IF($X87="","",AR87/$X$10)</f>
        <v>0</v>
      </c>
      <c r="CL87" s="18">
        <f>IF($X87="","",AS87/$X$10)</f>
        <v>3.1746031746031744E-2</v>
      </c>
      <c r="CM87" s="18">
        <f>IF($X87="","",AT87/$X$10)</f>
        <v>0</v>
      </c>
      <c r="CN87" s="18">
        <f>IF($X87="","",AU87/$X$10)</f>
        <v>0</v>
      </c>
      <c r="CO87" s="18">
        <f>IF($X87="","",AV87/$X$10)</f>
        <v>0</v>
      </c>
      <c r="CP87" s="18">
        <f>IF($X87="","",AW87/$X$10)</f>
        <v>0</v>
      </c>
      <c r="CQ87" s="18">
        <f>IF($X87="","",AX87/$X$10)</f>
        <v>0</v>
      </c>
      <c r="CR87" s="18">
        <f>IF($X87="","",AY87/$X$10)</f>
        <v>0</v>
      </c>
      <c r="CS87" s="18">
        <f>IF($X87="","",AZ87/$X$10)</f>
        <v>0</v>
      </c>
      <c r="CT87" s="18">
        <f>IF($X87="","",BA87/$X$10)</f>
        <v>0</v>
      </c>
      <c r="CU87" s="18">
        <f>IF($X87="","",BB87/$X$10)</f>
        <v>0</v>
      </c>
      <c r="CV87" s="18">
        <f>IF($X87="","",BC87/$X$10)</f>
        <v>0</v>
      </c>
      <c r="CW87" s="18">
        <f>IF($X87="","",BD87/$X$10)</f>
        <v>0</v>
      </c>
      <c r="CX87" s="18">
        <f>IF($X87="","",BE87/$X$10)</f>
        <v>0</v>
      </c>
      <c r="CY87" s="18">
        <f>IF($X87="","",BF87/$X$10)</f>
        <v>0</v>
      </c>
      <c r="CZ87" s="18">
        <f>IF($X87="","",BG87/$X$10)</f>
        <v>0</v>
      </c>
      <c r="DA87" s="18">
        <f>IF($X87="","",BH87/$X$10)</f>
        <v>0</v>
      </c>
      <c r="DB87" s="18">
        <f>IF($X87="","",BI87/$X$10)</f>
        <v>0</v>
      </c>
      <c r="DC87" s="18">
        <f>IF($X87="","",BJ87/$X$10)</f>
        <v>0</v>
      </c>
      <c r="DD87" s="18">
        <f>IF($X87="","",BK87/$X$10)</f>
        <v>0</v>
      </c>
      <c r="DE87" s="18">
        <f>IF($X87="","",BL87/$X$10)</f>
        <v>0</v>
      </c>
      <c r="DF87" s="18">
        <f>IF($X87="","",BM87/$X$10)</f>
        <v>0</v>
      </c>
      <c r="DG87" s="18">
        <f t="shared" si="10"/>
        <v>0</v>
      </c>
      <c r="DH87" s="18">
        <f>IF($X87="","",BO87/$X$10)</f>
        <v>0</v>
      </c>
      <c r="DI87" s="18">
        <f>IF($X87="","",BP87/$X$10)</f>
        <v>0</v>
      </c>
      <c r="DJ87" s="18">
        <f>IF($X87="","",BQ87/$X$10)</f>
        <v>0</v>
      </c>
      <c r="DK87" s="18">
        <f>IF($X87="","",BR87/$X$10)</f>
        <v>0</v>
      </c>
      <c r="DL87" s="18">
        <f>IF($X87="","",BS87/$X$10)</f>
        <v>0</v>
      </c>
      <c r="DM87" s="18">
        <f>IF($X87="","",BT87/$X$10)</f>
        <v>0</v>
      </c>
      <c r="DN87" s="18">
        <f t="shared" si="11"/>
        <v>0</v>
      </c>
      <c r="DO87" s="16">
        <f>IF($X87="","",SUM(Tabla152[[#This Row],[PODRIDO]],Tabla152[[#This Row],[HONGO]],Tabla152[[#This Row],[PICADO DE AVE CON PUDRICIÓN]],Tabla152[[#This Row],[FUMAGINA]])/$X$10)</f>
        <v>0</v>
      </c>
      <c r="DP87" s="16">
        <f>IF($X87="","",SUM(Tabla152[[#This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87" s="16">
        <f>IF($X87="","",SUM(Tabla152[[#This Row],[BLANDO]:[COLAPSADO]])/$X$10)</f>
        <v>0</v>
      </c>
      <c r="DR87" s="16">
        <f>IF($X87="","",SUM(Tabla152[[#This Row],[DESHIDRATADO LEVE]:[DESHIDRATADO INMADURO]])/$X$10)</f>
        <v>3.1746031746031744E-2</v>
      </c>
      <c r="DS87" s="18">
        <f t="shared" si="7"/>
        <v>0</v>
      </c>
      <c r="DT87" s="16">
        <f>IF($X87="","",SUM(Tabla152[[#This Row],[PRESENCIA DE LARVA]],Tabla152[[#This Row],[CHANCHITO BLANCO]])/$X$10)</f>
        <v>0</v>
      </c>
      <c r="DU87" s="18">
        <f>IF($X87="","",SUM(Tabla152[[#This Row],[ROJO GRADO 2 A MÁS]],Tabla152[[#This Row],[IMMADURO VERDE]],Tabla152[[#This Row],[DESORDEN POR MADURACIÓN]],Tabla152[[#This Row],[ARO PEDICELAR VERDE EXTREMO]])/$X$10)</f>
        <v>0</v>
      </c>
      <c r="DV87" s="16">
        <f>IF($X87="","",SUM(Tabla152[[#This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87" s="16">
        <f t="shared" si="8"/>
        <v>0</v>
      </c>
      <c r="DX87" s="16">
        <f>IF($X87="","",AJ87/$X$10)</f>
        <v>0</v>
      </c>
      <c r="DY87" s="16">
        <f>IF($X87="","",SUM(Tabla152[[#This Row],[PRESENCIA DE COROLA]],Tabla152[[#This Row],[PRESENCIA DE RESTO FLORAL VERDE]],Tabla152[[#This Row],[PRESENCIA DE PEDÚNCULO]])/$X$10)</f>
        <v>0</v>
      </c>
      <c r="DZ87" s="16">
        <f>IF($X87="","",SUM(Tabla152[[#This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88" spans="1:130" x14ac:dyDescent="0.3">
      <c r="A88" s="9">
        <f>IF(W88="","",IF(ROW()=10,1,IF(W88=W87,A87,MAX($A$9:A87)+1)))</f>
        <v>26</v>
      </c>
      <c r="B88" s="9">
        <f>WEEKNUM(Tabla152[[#This Row],[FECHA DE COSECHA]],21)</f>
        <v>36</v>
      </c>
      <c r="C88" s="9"/>
      <c r="D88" s="17">
        <v>46267</v>
      </c>
      <c r="E88" s="17">
        <v>46267</v>
      </c>
      <c r="F88" s="9">
        <v>1</v>
      </c>
      <c r="G88" s="9" t="s">
        <v>77</v>
      </c>
      <c r="H88" s="9" t="s">
        <v>144</v>
      </c>
      <c r="I88" s="9" t="s">
        <v>134</v>
      </c>
      <c r="J88" s="9" t="s">
        <v>78</v>
      </c>
      <c r="K88" s="9" t="s">
        <v>153</v>
      </c>
      <c r="L88" s="9" t="s">
        <v>131</v>
      </c>
      <c r="M88" s="9" t="s">
        <v>239</v>
      </c>
      <c r="N88" s="9" t="s">
        <v>151</v>
      </c>
      <c r="O88" s="9" t="s">
        <v>244</v>
      </c>
      <c r="P88" s="9" t="s">
        <v>152</v>
      </c>
      <c r="Q88" s="9"/>
      <c r="R88" s="9">
        <v>8</v>
      </c>
      <c r="S88" s="9">
        <v>74547547</v>
      </c>
      <c r="T88" t="s">
        <v>232</v>
      </c>
      <c r="U88" s="9" t="s">
        <v>147</v>
      </c>
      <c r="V88" s="9"/>
      <c r="W88" s="19" t="s">
        <v>178</v>
      </c>
      <c r="X88" s="9">
        <v>61</v>
      </c>
      <c r="Y88" s="9">
        <v>1</v>
      </c>
      <c r="Z88" s="9">
        <v>5</v>
      </c>
      <c r="AA88" s="9" t="str">
        <f>IF(Tabla152[[#This Row],[NOTA]]=15,"CUMPLE","NO CUMPLE")</f>
        <v>NO CUMPLE</v>
      </c>
      <c r="AB88" s="9" t="str">
        <f>IF(COUNTIF($A$10:A88,A88)=1,IF(COUNTIFS($A:$A,A88,$AA:$AA,"NO CUMPLE")&gt;0,"NO CUMPLE","CUMPLE"),"")</f>
        <v>NO CUMPLE</v>
      </c>
      <c r="AC88" s="9" t="s">
        <v>140</v>
      </c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7"/>
      <c r="AR88" s="7"/>
      <c r="AS88" s="7">
        <v>2</v>
      </c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18"/>
      <c r="BX88" s="18">
        <f>IF($X88="","",AE88/$X$10)</f>
        <v>0</v>
      </c>
      <c r="BY88" s="18">
        <f>IF($X88="","",AF88/$X$10)</f>
        <v>0</v>
      </c>
      <c r="BZ88" s="18">
        <f>IF($X88="","",AG88/$X$10)</f>
        <v>0</v>
      </c>
      <c r="CA88" s="18">
        <f>IF($X88="","",AH88/$X$10)</f>
        <v>0</v>
      </c>
      <c r="CB88" s="18">
        <f t="shared" si="9"/>
        <v>0</v>
      </c>
      <c r="CC88" s="18">
        <f>IF($X88="","",AJ88/$X$10)</f>
        <v>0</v>
      </c>
      <c r="CD88" s="18">
        <f>IF($X88="","",AK88/$X$10)</f>
        <v>0</v>
      </c>
      <c r="CE88" s="18">
        <f>IF($X88="","",AL88/$X$10)</f>
        <v>0</v>
      </c>
      <c r="CF88" s="18">
        <f>IF($X88="","",AM88/$X$10)</f>
        <v>0</v>
      </c>
      <c r="CG88" s="18">
        <f>IF($X88="","",AN88/$X$10)</f>
        <v>0</v>
      </c>
      <c r="CH88" s="18">
        <f>IF($X88="","",AO88/$X$10)</f>
        <v>0</v>
      </c>
      <c r="CI88" s="18">
        <f>IF($X88="","",AP88/$X$10)</f>
        <v>0</v>
      </c>
      <c r="CJ88" s="18">
        <f>IF($X88="","",AQ88/$X$10)</f>
        <v>0</v>
      </c>
      <c r="CK88" s="18">
        <f>IF($X88="","",AR88/$X$10)</f>
        <v>0</v>
      </c>
      <c r="CL88" s="18">
        <f>IF($X88="","",AS88/$X$10)</f>
        <v>3.1746031746031744E-2</v>
      </c>
      <c r="CM88" s="18">
        <f>IF($X88="","",AT88/$X$10)</f>
        <v>0</v>
      </c>
      <c r="CN88" s="18">
        <f>IF($X88="","",AU88/$X$10)</f>
        <v>0</v>
      </c>
      <c r="CO88" s="18">
        <f>IF($X88="","",AV88/$X$10)</f>
        <v>0</v>
      </c>
      <c r="CP88" s="18">
        <f>IF($X88="","",AW88/$X$10)</f>
        <v>0</v>
      </c>
      <c r="CQ88" s="18">
        <f>IF($X88="","",AX88/$X$10)</f>
        <v>0</v>
      </c>
      <c r="CR88" s="18">
        <f>IF($X88="","",AY88/$X$10)</f>
        <v>0</v>
      </c>
      <c r="CS88" s="18">
        <f>IF($X88="","",AZ88/$X$10)</f>
        <v>0</v>
      </c>
      <c r="CT88" s="18">
        <f>IF($X88="","",BA88/$X$10)</f>
        <v>0</v>
      </c>
      <c r="CU88" s="18">
        <f>IF($X88="","",BB88/$X$10)</f>
        <v>0</v>
      </c>
      <c r="CV88" s="18">
        <f>IF($X88="","",BC88/$X$10)</f>
        <v>0</v>
      </c>
      <c r="CW88" s="18">
        <f>IF($X88="","",BD88/$X$10)</f>
        <v>0</v>
      </c>
      <c r="CX88" s="18">
        <f>IF($X88="","",BE88/$X$10)</f>
        <v>0</v>
      </c>
      <c r="CY88" s="18">
        <f>IF($X88="","",BF88/$X$10)</f>
        <v>0</v>
      </c>
      <c r="CZ88" s="18">
        <f>IF($X88="","",BG88/$X$10)</f>
        <v>0</v>
      </c>
      <c r="DA88" s="18">
        <f>IF($X88="","",BH88/$X$10)</f>
        <v>0</v>
      </c>
      <c r="DB88" s="18">
        <f>IF($X88="","",BI88/$X$10)</f>
        <v>0</v>
      </c>
      <c r="DC88" s="18">
        <f>IF($X88="","",BJ88/$X$10)</f>
        <v>0</v>
      </c>
      <c r="DD88" s="18">
        <f>IF($X88="","",BK88/$X$10)</f>
        <v>0</v>
      </c>
      <c r="DE88" s="18">
        <f>IF($X88="","",BL88/$X$10)</f>
        <v>0</v>
      </c>
      <c r="DF88" s="18">
        <f>IF($X88="","",BM88/$X$10)</f>
        <v>0</v>
      </c>
      <c r="DG88" s="18">
        <f t="shared" si="10"/>
        <v>0</v>
      </c>
      <c r="DH88" s="18">
        <f>IF($X88="","",BO88/$X$10)</f>
        <v>0</v>
      </c>
      <c r="DI88" s="18">
        <f>IF($X88="","",BP88/$X$10)</f>
        <v>0</v>
      </c>
      <c r="DJ88" s="18">
        <f>IF($X88="","",BQ88/$X$10)</f>
        <v>0</v>
      </c>
      <c r="DK88" s="18">
        <f>IF($X88="","",BR88/$X$10)</f>
        <v>0</v>
      </c>
      <c r="DL88" s="18">
        <f>IF($X88="","",BS88/$X$10)</f>
        <v>0</v>
      </c>
      <c r="DM88" s="18">
        <f>IF($X88="","",BT88/$X$10)</f>
        <v>0</v>
      </c>
      <c r="DN88" s="18">
        <f t="shared" si="11"/>
        <v>0</v>
      </c>
      <c r="DO88" s="16">
        <f>IF($X88="","",SUM(Tabla152[[#This Row],[PODRIDO]],Tabla152[[#This Row],[HONGO]],Tabla152[[#This Row],[PICADO DE AVE CON PUDRICIÓN]],Tabla152[[#This Row],[FUMAGINA]])/$X$10)</f>
        <v>0</v>
      </c>
      <c r="DP88" s="16">
        <f>IF($X88="","",SUM(Tabla152[[#This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88" s="16">
        <f>IF($X88="","",SUM(Tabla152[[#This Row],[BLANDO]:[COLAPSADO]])/$X$10)</f>
        <v>0</v>
      </c>
      <c r="DR88" s="16">
        <f>IF($X88="","",SUM(Tabla152[[#This Row],[DESHIDRATADO LEVE]:[DESHIDRATADO INMADURO]])/$X$10)</f>
        <v>3.1746031746031744E-2</v>
      </c>
      <c r="DS88" s="18">
        <f t="shared" si="7"/>
        <v>0</v>
      </c>
      <c r="DT88" s="16">
        <f>IF($X88="","",SUM(Tabla152[[#This Row],[PRESENCIA DE LARVA]],Tabla152[[#This Row],[CHANCHITO BLANCO]])/$X$10)</f>
        <v>0</v>
      </c>
      <c r="DU88" s="18">
        <f>IF($X88="","",SUM(Tabla152[[#This Row],[ROJO GRADO 2 A MÁS]],Tabla152[[#This Row],[IMMADURO VERDE]],Tabla152[[#This Row],[DESORDEN POR MADURACIÓN]],Tabla152[[#This Row],[ARO PEDICELAR VERDE EXTREMO]])/$X$10)</f>
        <v>0</v>
      </c>
      <c r="DV88" s="16">
        <f>IF($X88="","",SUM(Tabla152[[#This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88" s="16">
        <f t="shared" si="8"/>
        <v>0</v>
      </c>
      <c r="DX88" s="16">
        <f>IF($X88="","",AJ88/$X$10)</f>
        <v>0</v>
      </c>
      <c r="DY88" s="16">
        <f>IF($X88="","",SUM(Tabla152[[#This Row],[PRESENCIA DE COROLA]],Tabla152[[#This Row],[PRESENCIA DE RESTO FLORAL VERDE]],Tabla152[[#This Row],[PRESENCIA DE PEDÚNCULO]])/$X$10)</f>
        <v>0</v>
      </c>
      <c r="DZ88" s="16">
        <f>IF($X88="","",SUM(Tabla152[[#This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89" spans="1:130" x14ac:dyDescent="0.3">
      <c r="A89" s="9">
        <f>IF(W89="","",IF(ROW()=10,1,IF(W89=W88,A88,MAX($A$9:A88)+1)))</f>
        <v>26</v>
      </c>
      <c r="B89" s="9">
        <f>WEEKNUM(Tabla152[[#This Row],[FECHA DE COSECHA]],21)</f>
        <v>36</v>
      </c>
      <c r="C89" s="9"/>
      <c r="D89" s="17">
        <v>46267</v>
      </c>
      <c r="E89" s="17">
        <v>46267</v>
      </c>
      <c r="F89" s="9">
        <v>1</v>
      </c>
      <c r="G89" s="9" t="s">
        <v>77</v>
      </c>
      <c r="H89" s="9" t="s">
        <v>144</v>
      </c>
      <c r="I89" s="9" t="s">
        <v>134</v>
      </c>
      <c r="J89" s="9" t="s">
        <v>78</v>
      </c>
      <c r="K89" s="9" t="s">
        <v>153</v>
      </c>
      <c r="L89" s="9" t="s">
        <v>131</v>
      </c>
      <c r="M89" s="9" t="s">
        <v>239</v>
      </c>
      <c r="N89" s="9" t="s">
        <v>151</v>
      </c>
      <c r="O89" s="9" t="s">
        <v>244</v>
      </c>
      <c r="P89" s="9" t="s">
        <v>152</v>
      </c>
      <c r="Q89" s="9"/>
      <c r="R89" s="9">
        <v>8</v>
      </c>
      <c r="S89" s="9">
        <v>74547547</v>
      </c>
      <c r="T89" t="s">
        <v>232</v>
      </c>
      <c r="U89" s="9" t="s">
        <v>147</v>
      </c>
      <c r="V89" s="9"/>
      <c r="W89" s="19" t="s">
        <v>178</v>
      </c>
      <c r="X89" s="9">
        <v>61</v>
      </c>
      <c r="Y89" s="9">
        <v>2</v>
      </c>
      <c r="Z89" s="9">
        <v>5</v>
      </c>
      <c r="AA89" s="9" t="str">
        <f>IF(Tabla152[[#This Row],[NOTA]]=15,"CUMPLE","NO CUMPLE")</f>
        <v>NO CUMPLE</v>
      </c>
      <c r="AB89" s="9" t="str">
        <f>IF(COUNTIF($A$10:A89,A89)=1,IF(COUNTIFS($A:$A,A89,$AA:$AA,"NO CUMPLE")&gt;0,"NO CUMPLE","CUMPLE"),"")</f>
        <v/>
      </c>
      <c r="AC89" s="9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7"/>
      <c r="AR89" s="7"/>
      <c r="AS89" s="7">
        <v>2</v>
      </c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18"/>
      <c r="BX89" s="18">
        <f>IF($X89="","",AE89/$X$10)</f>
        <v>0</v>
      </c>
      <c r="BY89" s="18">
        <f>IF($X89="","",AF89/$X$10)</f>
        <v>0</v>
      </c>
      <c r="BZ89" s="18">
        <f>IF($X89="","",AG89/$X$10)</f>
        <v>0</v>
      </c>
      <c r="CA89" s="18">
        <f>IF($X89="","",AH89/$X$10)</f>
        <v>0</v>
      </c>
      <c r="CB89" s="18">
        <f t="shared" si="9"/>
        <v>0</v>
      </c>
      <c r="CC89" s="18">
        <f>IF($X89="","",AJ89/$X$10)</f>
        <v>0</v>
      </c>
      <c r="CD89" s="18">
        <f>IF($X89="","",AK89/$X$10)</f>
        <v>0</v>
      </c>
      <c r="CE89" s="18">
        <f>IF($X89="","",AL89/$X$10)</f>
        <v>0</v>
      </c>
      <c r="CF89" s="18">
        <f>IF($X89="","",AM89/$X$10)</f>
        <v>0</v>
      </c>
      <c r="CG89" s="18">
        <f>IF($X89="","",AN89/$X$10)</f>
        <v>0</v>
      </c>
      <c r="CH89" s="18">
        <f>IF($X89="","",AO89/$X$10)</f>
        <v>0</v>
      </c>
      <c r="CI89" s="18">
        <f>IF($X89="","",AP89/$X$10)</f>
        <v>0</v>
      </c>
      <c r="CJ89" s="18">
        <f>IF($X89="","",AQ89/$X$10)</f>
        <v>0</v>
      </c>
      <c r="CK89" s="18">
        <f>IF($X89="","",AR89/$X$10)</f>
        <v>0</v>
      </c>
      <c r="CL89" s="18">
        <f>IF($X89="","",AS89/$X$10)</f>
        <v>3.1746031746031744E-2</v>
      </c>
      <c r="CM89" s="18">
        <f>IF($X89="","",AT89/$X$10)</f>
        <v>0</v>
      </c>
      <c r="CN89" s="18">
        <f>IF($X89="","",AU89/$X$10)</f>
        <v>0</v>
      </c>
      <c r="CO89" s="18">
        <f>IF($X89="","",AV89/$X$10)</f>
        <v>0</v>
      </c>
      <c r="CP89" s="18">
        <f>IF($X89="","",AW89/$X$10)</f>
        <v>0</v>
      </c>
      <c r="CQ89" s="18">
        <f>IF($X89="","",AX89/$X$10)</f>
        <v>0</v>
      </c>
      <c r="CR89" s="18">
        <f>IF($X89="","",AY89/$X$10)</f>
        <v>0</v>
      </c>
      <c r="CS89" s="18">
        <f>IF($X89="","",AZ89/$X$10)</f>
        <v>0</v>
      </c>
      <c r="CT89" s="18">
        <f>IF($X89="","",BA89/$X$10)</f>
        <v>0</v>
      </c>
      <c r="CU89" s="18">
        <f>IF($X89="","",BB89/$X$10)</f>
        <v>0</v>
      </c>
      <c r="CV89" s="18">
        <f>IF($X89="","",BC89/$X$10)</f>
        <v>0</v>
      </c>
      <c r="CW89" s="18">
        <f>IF($X89="","",BD89/$X$10)</f>
        <v>0</v>
      </c>
      <c r="CX89" s="18">
        <f>IF($X89="","",BE89/$X$10)</f>
        <v>0</v>
      </c>
      <c r="CY89" s="18">
        <f>IF($X89="","",BF89/$X$10)</f>
        <v>0</v>
      </c>
      <c r="CZ89" s="18">
        <f>IF($X89="","",BG89/$X$10)</f>
        <v>0</v>
      </c>
      <c r="DA89" s="18">
        <f>IF($X89="","",BH89/$X$10)</f>
        <v>0</v>
      </c>
      <c r="DB89" s="18">
        <f>IF($X89="","",BI89/$X$10)</f>
        <v>0</v>
      </c>
      <c r="DC89" s="18">
        <f>IF($X89="","",BJ89/$X$10)</f>
        <v>0</v>
      </c>
      <c r="DD89" s="18">
        <f>IF($X89="","",BK89/$X$10)</f>
        <v>0</v>
      </c>
      <c r="DE89" s="18">
        <f>IF($X89="","",BL89/$X$10)</f>
        <v>0</v>
      </c>
      <c r="DF89" s="18">
        <f>IF($X89="","",BM89/$X$10)</f>
        <v>0</v>
      </c>
      <c r="DG89" s="18">
        <f t="shared" si="10"/>
        <v>0</v>
      </c>
      <c r="DH89" s="18">
        <f>IF($X89="","",BO89/$X$10)</f>
        <v>0</v>
      </c>
      <c r="DI89" s="18">
        <f>IF($X89="","",BP89/$X$10)</f>
        <v>0</v>
      </c>
      <c r="DJ89" s="18">
        <f>IF($X89="","",BQ89/$X$10)</f>
        <v>0</v>
      </c>
      <c r="DK89" s="18">
        <f>IF($X89="","",BR89/$X$10)</f>
        <v>0</v>
      </c>
      <c r="DL89" s="18">
        <f>IF($X89="","",BS89/$X$10)</f>
        <v>0</v>
      </c>
      <c r="DM89" s="18">
        <f>IF($X89="","",BT89/$X$10)</f>
        <v>0</v>
      </c>
      <c r="DN89" s="18">
        <f t="shared" si="11"/>
        <v>0</v>
      </c>
      <c r="DO89" s="16">
        <f>IF($X89="","",SUM(Tabla152[[#This Row],[PODRIDO]],Tabla152[[#This Row],[HONGO]],Tabla152[[#This Row],[PICADO DE AVE CON PUDRICIÓN]],Tabla152[[#This Row],[FUMAGINA]])/$X$10)</f>
        <v>0</v>
      </c>
      <c r="DP89" s="16">
        <f>IF($X89="","",SUM(Tabla152[[#This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89" s="16">
        <f>IF($X89="","",SUM(Tabla152[[#This Row],[BLANDO]:[COLAPSADO]])/$X$10)</f>
        <v>0</v>
      </c>
      <c r="DR89" s="16">
        <f>IF($X89="","",SUM(Tabla152[[#This Row],[DESHIDRATADO LEVE]:[DESHIDRATADO INMADURO]])/$X$10)</f>
        <v>3.1746031746031744E-2</v>
      </c>
      <c r="DS89" s="18">
        <f t="shared" si="7"/>
        <v>0</v>
      </c>
      <c r="DT89" s="16">
        <f>IF($X89="","",SUM(Tabla152[[#This Row],[PRESENCIA DE LARVA]],Tabla152[[#This Row],[CHANCHITO BLANCO]])/$X$10)</f>
        <v>0</v>
      </c>
      <c r="DU89" s="18">
        <f>IF($X89="","",SUM(Tabla152[[#This Row],[ROJO GRADO 2 A MÁS]],Tabla152[[#This Row],[IMMADURO VERDE]],Tabla152[[#This Row],[DESORDEN POR MADURACIÓN]],Tabla152[[#This Row],[ARO PEDICELAR VERDE EXTREMO]])/$X$10)</f>
        <v>0</v>
      </c>
      <c r="DV89" s="16">
        <f>IF($X89="","",SUM(Tabla152[[#This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89" s="16">
        <f t="shared" si="8"/>
        <v>0</v>
      </c>
      <c r="DX89" s="16">
        <f>IF($X89="","",AJ89/$X$10)</f>
        <v>0</v>
      </c>
      <c r="DY89" s="16">
        <f>IF($X89="","",SUM(Tabla152[[#This Row],[PRESENCIA DE COROLA]],Tabla152[[#This Row],[PRESENCIA DE RESTO FLORAL VERDE]],Tabla152[[#This Row],[PRESENCIA DE PEDÚNCULO]])/$X$10)</f>
        <v>0</v>
      </c>
      <c r="DZ89" s="16">
        <f>IF($X89="","",SUM(Tabla152[[#This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90" spans="1:130" x14ac:dyDescent="0.3">
      <c r="A90" s="9">
        <f>IF(W90="","",IF(ROW()=10,1,IF(W90=W89,A89,MAX($A$9:A89)+1)))</f>
        <v>26</v>
      </c>
      <c r="B90" s="9">
        <f>WEEKNUM(Tabla152[[#This Row],[FECHA DE COSECHA]],21)</f>
        <v>36</v>
      </c>
      <c r="C90" s="9"/>
      <c r="D90" s="17">
        <v>46267</v>
      </c>
      <c r="E90" s="17">
        <v>46267</v>
      </c>
      <c r="F90" s="9">
        <v>1</v>
      </c>
      <c r="G90" s="9" t="s">
        <v>77</v>
      </c>
      <c r="H90" s="9" t="s">
        <v>144</v>
      </c>
      <c r="I90" s="9" t="s">
        <v>134</v>
      </c>
      <c r="J90" s="9" t="s">
        <v>78</v>
      </c>
      <c r="K90" s="9" t="s">
        <v>153</v>
      </c>
      <c r="L90" s="9" t="s">
        <v>131</v>
      </c>
      <c r="M90" s="9" t="s">
        <v>239</v>
      </c>
      <c r="N90" s="9" t="s">
        <v>151</v>
      </c>
      <c r="O90" s="9" t="s">
        <v>244</v>
      </c>
      <c r="P90" s="9" t="s">
        <v>152</v>
      </c>
      <c r="Q90" s="9"/>
      <c r="R90" s="9">
        <v>8</v>
      </c>
      <c r="S90" s="9">
        <v>74547547</v>
      </c>
      <c r="T90" t="s">
        <v>232</v>
      </c>
      <c r="U90" s="9" t="s">
        <v>147</v>
      </c>
      <c r="V90" s="9"/>
      <c r="W90" s="19" t="s">
        <v>178</v>
      </c>
      <c r="X90" s="9">
        <v>61</v>
      </c>
      <c r="Y90" s="9">
        <v>3</v>
      </c>
      <c r="Z90" s="9">
        <v>5</v>
      </c>
      <c r="AA90" s="9" t="str">
        <f>IF(Tabla152[[#This Row],[NOTA]]=15,"CUMPLE","NO CUMPLE")</f>
        <v>NO CUMPLE</v>
      </c>
      <c r="AB90" s="9" t="str">
        <f>IF(COUNTIF($A$10:A90,A90)=1,IF(COUNTIFS($A:$A,A90,$AA:$AA,"NO CUMPLE")&gt;0,"NO CUMPLE","CUMPLE"),"")</f>
        <v/>
      </c>
      <c r="AC90" s="9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7"/>
      <c r="AR90" s="7"/>
      <c r="AS90" s="7">
        <v>3</v>
      </c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18"/>
      <c r="BX90" s="18">
        <f>IF($X90="","",AE90/$X$10)</f>
        <v>0</v>
      </c>
      <c r="BY90" s="18">
        <f>IF($X90="","",AF90/$X$10)</f>
        <v>0</v>
      </c>
      <c r="BZ90" s="18">
        <f>IF($X90="","",AG90/$X$10)</f>
        <v>0</v>
      </c>
      <c r="CA90" s="18">
        <f>IF($X90="","",AH90/$X$10)</f>
        <v>0</v>
      </c>
      <c r="CB90" s="18">
        <f t="shared" si="9"/>
        <v>0</v>
      </c>
      <c r="CC90" s="18">
        <f>IF($X90="","",AJ90/$X$10)</f>
        <v>0</v>
      </c>
      <c r="CD90" s="18">
        <f>IF($X90="","",AK90/$X$10)</f>
        <v>0</v>
      </c>
      <c r="CE90" s="18">
        <f>IF($X90="","",AL90/$X$10)</f>
        <v>0</v>
      </c>
      <c r="CF90" s="18">
        <f>IF($X90="","",AM90/$X$10)</f>
        <v>0</v>
      </c>
      <c r="CG90" s="18">
        <f>IF($X90="","",AN90/$X$10)</f>
        <v>0</v>
      </c>
      <c r="CH90" s="18">
        <f>IF($X90="","",AO90/$X$10)</f>
        <v>0</v>
      </c>
      <c r="CI90" s="18">
        <f>IF($X90="","",AP90/$X$10)</f>
        <v>0</v>
      </c>
      <c r="CJ90" s="18">
        <f>IF($X90="","",AQ90/$X$10)</f>
        <v>0</v>
      </c>
      <c r="CK90" s="18">
        <f>IF($X90="","",AR90/$X$10)</f>
        <v>0</v>
      </c>
      <c r="CL90" s="18">
        <f>IF($X90="","",AS90/$X$10)</f>
        <v>4.7619047619047616E-2</v>
      </c>
      <c r="CM90" s="18">
        <f>IF($X90="","",AT90/$X$10)</f>
        <v>0</v>
      </c>
      <c r="CN90" s="18">
        <f>IF($X90="","",AU90/$X$10)</f>
        <v>0</v>
      </c>
      <c r="CO90" s="18">
        <f>IF($X90="","",AV90/$X$10)</f>
        <v>0</v>
      </c>
      <c r="CP90" s="18">
        <f>IF($X90="","",AW90/$X$10)</f>
        <v>0</v>
      </c>
      <c r="CQ90" s="18">
        <f>IF($X90="","",AX90/$X$10)</f>
        <v>0</v>
      </c>
      <c r="CR90" s="18">
        <f>IF($X90="","",AY90/$X$10)</f>
        <v>0</v>
      </c>
      <c r="CS90" s="18">
        <f>IF($X90="","",AZ90/$X$10)</f>
        <v>0</v>
      </c>
      <c r="CT90" s="18">
        <f>IF($X90="","",BA90/$X$10)</f>
        <v>0</v>
      </c>
      <c r="CU90" s="18">
        <f>IF($X90="","",BB90/$X$10)</f>
        <v>0</v>
      </c>
      <c r="CV90" s="18">
        <f>IF($X90="","",BC90/$X$10)</f>
        <v>0</v>
      </c>
      <c r="CW90" s="18">
        <f>IF($X90="","",BD90/$X$10)</f>
        <v>0</v>
      </c>
      <c r="CX90" s="18">
        <f>IF($X90="","",BE90/$X$10)</f>
        <v>0</v>
      </c>
      <c r="CY90" s="18">
        <f>IF($X90="","",BF90/$X$10)</f>
        <v>0</v>
      </c>
      <c r="CZ90" s="18">
        <f>IF($X90="","",BG90/$X$10)</f>
        <v>0</v>
      </c>
      <c r="DA90" s="18">
        <f>IF($X90="","",BH90/$X$10)</f>
        <v>0</v>
      </c>
      <c r="DB90" s="18">
        <f>IF($X90="","",BI90/$X$10)</f>
        <v>0</v>
      </c>
      <c r="DC90" s="18">
        <f>IF($X90="","",BJ90/$X$10)</f>
        <v>0</v>
      </c>
      <c r="DD90" s="18">
        <f>IF($X90="","",BK90/$X$10)</f>
        <v>0</v>
      </c>
      <c r="DE90" s="18">
        <f>IF($X90="","",BL90/$X$10)</f>
        <v>0</v>
      </c>
      <c r="DF90" s="18">
        <f>IF($X90="","",BM90/$X$10)</f>
        <v>0</v>
      </c>
      <c r="DG90" s="18">
        <f t="shared" si="10"/>
        <v>0</v>
      </c>
      <c r="DH90" s="18">
        <f>IF($X90="","",BO90/$X$10)</f>
        <v>0</v>
      </c>
      <c r="DI90" s="18">
        <f>IF($X90="","",BP90/$X$10)</f>
        <v>0</v>
      </c>
      <c r="DJ90" s="18">
        <f>IF($X90="","",BQ90/$X$10)</f>
        <v>0</v>
      </c>
      <c r="DK90" s="18">
        <f>IF($X90="","",BR90/$X$10)</f>
        <v>0</v>
      </c>
      <c r="DL90" s="18">
        <f>IF($X90="","",BS90/$X$10)</f>
        <v>0</v>
      </c>
      <c r="DM90" s="18">
        <f>IF($X90="","",BT90/$X$10)</f>
        <v>0</v>
      </c>
      <c r="DN90" s="18">
        <f t="shared" si="11"/>
        <v>0</v>
      </c>
      <c r="DO90" s="16">
        <f>IF($X90="","",SUM(Tabla152[[#This Row],[PODRIDO]],Tabla152[[#This Row],[HONGO]],Tabla152[[#This Row],[PICADO DE AVE CON PUDRICIÓN]],Tabla152[[#This Row],[FUMAGINA]])/$X$10)</f>
        <v>0</v>
      </c>
      <c r="DP90" s="16">
        <f>IF($X90="","",SUM(Tabla152[[#This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90" s="16">
        <f>IF($X90="","",SUM(Tabla152[[#This Row],[BLANDO]:[COLAPSADO]])/$X$10)</f>
        <v>0</v>
      </c>
      <c r="DR90" s="16">
        <f>IF($X90="","",SUM(Tabla152[[#This Row],[DESHIDRATADO LEVE]:[DESHIDRATADO INMADURO]])/$X$10)</f>
        <v>4.7619047619047616E-2</v>
      </c>
      <c r="DS90" s="18">
        <f t="shared" si="7"/>
        <v>0</v>
      </c>
      <c r="DT90" s="16">
        <f>IF($X90="","",SUM(Tabla152[[#This Row],[PRESENCIA DE LARVA]],Tabla152[[#This Row],[CHANCHITO BLANCO]])/$X$10)</f>
        <v>0</v>
      </c>
      <c r="DU90" s="18">
        <f>IF($X90="","",SUM(Tabla152[[#This Row],[ROJO GRADO 2 A MÁS]],Tabla152[[#This Row],[IMMADURO VERDE]],Tabla152[[#This Row],[DESORDEN POR MADURACIÓN]],Tabla152[[#This Row],[ARO PEDICELAR VERDE EXTREMO]])/$X$10)</f>
        <v>0</v>
      </c>
      <c r="DV90" s="16">
        <f>IF($X90="","",SUM(Tabla152[[#This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90" s="16">
        <f t="shared" si="8"/>
        <v>0</v>
      </c>
      <c r="DX90" s="16">
        <f>IF($X90="","",AJ90/$X$10)</f>
        <v>0</v>
      </c>
      <c r="DY90" s="16">
        <f>IF($X90="","",SUM(Tabla152[[#This Row],[PRESENCIA DE COROLA]],Tabla152[[#This Row],[PRESENCIA DE RESTO FLORAL VERDE]],Tabla152[[#This Row],[PRESENCIA DE PEDÚNCULO]])/$X$10)</f>
        <v>0</v>
      </c>
      <c r="DZ90" s="16">
        <f>IF($X90="","",SUM(Tabla152[[#This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91" spans="1:130" x14ac:dyDescent="0.3">
      <c r="A91" s="9">
        <f>IF(W91="","",IF(ROW()=10,1,IF(W91=W90,A90,MAX($A$9:A90)+1)))</f>
        <v>27</v>
      </c>
      <c r="B91" s="9">
        <f>WEEKNUM(Tabla152[[#This Row],[FECHA DE COSECHA]],21)</f>
        <v>36</v>
      </c>
      <c r="C91" s="9"/>
      <c r="D91" s="17">
        <v>46267</v>
      </c>
      <c r="E91" s="17">
        <v>46267</v>
      </c>
      <c r="F91" s="9">
        <v>1</v>
      </c>
      <c r="G91" s="9" t="s">
        <v>77</v>
      </c>
      <c r="H91" s="9" t="s">
        <v>144</v>
      </c>
      <c r="I91" s="9" t="s">
        <v>134</v>
      </c>
      <c r="J91" s="9" t="s">
        <v>78</v>
      </c>
      <c r="K91" s="9" t="s">
        <v>153</v>
      </c>
      <c r="L91" s="9" t="s">
        <v>131</v>
      </c>
      <c r="M91" s="9" t="s">
        <v>239</v>
      </c>
      <c r="N91" s="9" t="s">
        <v>151</v>
      </c>
      <c r="O91" s="9" t="s">
        <v>244</v>
      </c>
      <c r="P91" s="9" t="s">
        <v>152</v>
      </c>
      <c r="Q91" s="9"/>
      <c r="R91" s="9">
        <v>8</v>
      </c>
      <c r="S91" s="9">
        <v>74547547</v>
      </c>
      <c r="T91" t="s">
        <v>232</v>
      </c>
      <c r="U91" s="9" t="s">
        <v>147</v>
      </c>
      <c r="V91" s="9"/>
      <c r="W91" s="19" t="s">
        <v>179</v>
      </c>
      <c r="X91" s="9">
        <v>61</v>
      </c>
      <c r="Y91" s="9">
        <v>1</v>
      </c>
      <c r="Z91" s="9">
        <v>15</v>
      </c>
      <c r="AA91" s="9" t="str">
        <f>IF(Tabla152[[#This Row],[NOTA]]=15,"CUMPLE","NO CUMPLE")</f>
        <v>CUMPLE</v>
      </c>
      <c r="AB91" s="9" t="str">
        <f>IF(COUNTIF($A$10:A91,A91)=1,IF(COUNTIFS($A:$A,A91,$AA:$AA,"NO CUMPLE")&gt;0,"NO CUMPLE","CUMPLE"),"")</f>
        <v>CUMPLE</v>
      </c>
      <c r="AC91" s="9" t="s">
        <v>140</v>
      </c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18"/>
      <c r="BX91" s="18">
        <f>IF($X91="","",AE91/$X$10)</f>
        <v>0</v>
      </c>
      <c r="BY91" s="18">
        <f>IF($X91="","",AF91/$X$10)</f>
        <v>0</v>
      </c>
      <c r="BZ91" s="18">
        <f>IF($X91="","",AG91/$X$10)</f>
        <v>0</v>
      </c>
      <c r="CA91" s="18">
        <f>IF($X91="","",AH91/$X$10)</f>
        <v>0</v>
      </c>
      <c r="CB91" s="18">
        <f t="shared" si="9"/>
        <v>0</v>
      </c>
      <c r="CC91" s="18">
        <f>IF($X91="","",AJ91/$X$10)</f>
        <v>0</v>
      </c>
      <c r="CD91" s="18">
        <f>IF($X91="","",AK91/$X$10)</f>
        <v>0</v>
      </c>
      <c r="CE91" s="18">
        <f>IF($X91="","",AL91/$X$10)</f>
        <v>0</v>
      </c>
      <c r="CF91" s="18">
        <f>IF($X91="","",AM91/$X$10)</f>
        <v>0</v>
      </c>
      <c r="CG91" s="18">
        <f>IF($X91="","",AN91/$X$10)</f>
        <v>0</v>
      </c>
      <c r="CH91" s="18">
        <f>IF($X91="","",AO91/$X$10)</f>
        <v>0</v>
      </c>
      <c r="CI91" s="18">
        <f>IF($X91="","",AP91/$X$10)</f>
        <v>0</v>
      </c>
      <c r="CJ91" s="18">
        <f>IF($X91="","",AQ91/$X$10)</f>
        <v>0</v>
      </c>
      <c r="CK91" s="18">
        <f>IF($X91="","",AR91/$X$10)</f>
        <v>0</v>
      </c>
      <c r="CL91" s="18">
        <f>IF($X91="","",AS91/$X$10)</f>
        <v>0</v>
      </c>
      <c r="CM91" s="18">
        <f>IF($X91="","",AT91/$X$10)</f>
        <v>0</v>
      </c>
      <c r="CN91" s="18">
        <f>IF($X91="","",AU91/$X$10)</f>
        <v>0</v>
      </c>
      <c r="CO91" s="18">
        <f>IF($X91="","",AV91/$X$10)</f>
        <v>0</v>
      </c>
      <c r="CP91" s="18">
        <f>IF($X91="","",AW91/$X$10)</f>
        <v>0</v>
      </c>
      <c r="CQ91" s="18">
        <f>IF($X91="","",AX91/$X$10)</f>
        <v>0</v>
      </c>
      <c r="CR91" s="18">
        <f>IF($X91="","",AY91/$X$10)</f>
        <v>0</v>
      </c>
      <c r="CS91" s="18">
        <f>IF($X91="","",AZ91/$X$10)</f>
        <v>0</v>
      </c>
      <c r="CT91" s="18">
        <f>IF($X91="","",BA91/$X$10)</f>
        <v>0</v>
      </c>
      <c r="CU91" s="18">
        <f>IF($X91="","",BB91/$X$10)</f>
        <v>0</v>
      </c>
      <c r="CV91" s="18">
        <f>IF($X91="","",BC91/$X$10)</f>
        <v>0</v>
      </c>
      <c r="CW91" s="18">
        <f>IF($X91="","",BD91/$X$10)</f>
        <v>0</v>
      </c>
      <c r="CX91" s="18">
        <f>IF($X91="","",BE91/$X$10)</f>
        <v>0</v>
      </c>
      <c r="CY91" s="18">
        <f>IF($X91="","",BF91/$X$10)</f>
        <v>0</v>
      </c>
      <c r="CZ91" s="18">
        <f>IF($X91="","",BG91/$X$10)</f>
        <v>0</v>
      </c>
      <c r="DA91" s="18">
        <f>IF($X91="","",BH91/$X$10)</f>
        <v>0</v>
      </c>
      <c r="DB91" s="18">
        <f>IF($X91="","",BI91/$X$10)</f>
        <v>0</v>
      </c>
      <c r="DC91" s="18">
        <f>IF($X91="","",BJ91/$X$10)</f>
        <v>0</v>
      </c>
      <c r="DD91" s="18">
        <f>IF($X91="","",BK91/$X$10)</f>
        <v>0</v>
      </c>
      <c r="DE91" s="18">
        <f>IF($X91="","",BL91/$X$10)</f>
        <v>0</v>
      </c>
      <c r="DF91" s="18">
        <f>IF($X91="","",BM91/$X$10)</f>
        <v>0</v>
      </c>
      <c r="DG91" s="18">
        <f t="shared" si="10"/>
        <v>0</v>
      </c>
      <c r="DH91" s="18">
        <f>IF($X91="","",BO91/$X$10)</f>
        <v>0</v>
      </c>
      <c r="DI91" s="18">
        <f>IF($X91="","",BP91/$X$10)</f>
        <v>0</v>
      </c>
      <c r="DJ91" s="18">
        <f>IF($X91="","",BQ91/$X$10)</f>
        <v>0</v>
      </c>
      <c r="DK91" s="18">
        <f>IF($X91="","",BR91/$X$10)</f>
        <v>0</v>
      </c>
      <c r="DL91" s="18">
        <f>IF($X91="","",BS91/$X$10)</f>
        <v>0</v>
      </c>
      <c r="DM91" s="18">
        <f>IF($X91="","",BT91/$X$10)</f>
        <v>0</v>
      </c>
      <c r="DN91" s="18">
        <f t="shared" si="11"/>
        <v>0</v>
      </c>
      <c r="DO91" s="16">
        <f>IF($X91="","",SUM(Tabla152[[#This Row],[PODRIDO]],Tabla152[[#This Row],[HONGO]],Tabla152[[#This Row],[PICADO DE AVE CON PUDRICIÓN]],Tabla152[[#This Row],[FUMAGINA]])/$X$10)</f>
        <v>0</v>
      </c>
      <c r="DP91" s="16">
        <f>IF($X91="","",SUM(Tabla152[[#This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91" s="16">
        <f>IF($X91="","",SUM(Tabla152[[#This Row],[BLANDO]:[COLAPSADO]])/$X$10)</f>
        <v>0</v>
      </c>
      <c r="DR91" s="16">
        <f>IF($X91="","",SUM(Tabla152[[#This Row],[DESHIDRATADO LEVE]:[DESHIDRATADO INMADURO]])/$X$10)</f>
        <v>0</v>
      </c>
      <c r="DS91" s="18">
        <f t="shared" si="7"/>
        <v>0</v>
      </c>
      <c r="DT91" s="16">
        <f>IF($X91="","",SUM(Tabla152[[#This Row],[PRESENCIA DE LARVA]],Tabla152[[#This Row],[CHANCHITO BLANCO]])/$X$10)</f>
        <v>0</v>
      </c>
      <c r="DU91" s="18">
        <f>IF($X91="","",SUM(Tabla152[[#This Row],[ROJO GRADO 2 A MÁS]],Tabla152[[#This Row],[IMMADURO VERDE]],Tabla152[[#This Row],[DESORDEN POR MADURACIÓN]],Tabla152[[#This Row],[ARO PEDICELAR VERDE EXTREMO]])/$X$10)</f>
        <v>0</v>
      </c>
      <c r="DV91" s="16">
        <f>IF($X91="","",SUM(Tabla152[[#This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91" s="16">
        <f t="shared" si="8"/>
        <v>0</v>
      </c>
      <c r="DX91" s="16">
        <f>IF($X91="","",AJ91/$X$10)</f>
        <v>0</v>
      </c>
      <c r="DY91" s="16">
        <f>IF($X91="","",SUM(Tabla152[[#This Row],[PRESENCIA DE COROLA]],Tabla152[[#This Row],[PRESENCIA DE RESTO FLORAL VERDE]],Tabla152[[#This Row],[PRESENCIA DE PEDÚNCULO]])/$X$10)</f>
        <v>0</v>
      </c>
      <c r="DZ91" s="16">
        <f>IF($X91="","",SUM(Tabla152[[#This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92" spans="1:130" x14ac:dyDescent="0.3">
      <c r="A92" s="9">
        <f>IF(W92="","",IF(ROW()=10,1,IF(W92=W91,A91,MAX($A$9:A91)+1)))</f>
        <v>27</v>
      </c>
      <c r="B92" s="9">
        <f>WEEKNUM(Tabla152[[#This Row],[FECHA DE COSECHA]],21)</f>
        <v>36</v>
      </c>
      <c r="C92" s="9"/>
      <c r="D92" s="17">
        <v>46267</v>
      </c>
      <c r="E92" s="17">
        <v>46267</v>
      </c>
      <c r="F92" s="9">
        <v>1</v>
      </c>
      <c r="G92" s="9" t="s">
        <v>77</v>
      </c>
      <c r="H92" s="9" t="s">
        <v>144</v>
      </c>
      <c r="I92" s="9" t="s">
        <v>134</v>
      </c>
      <c r="J92" s="9" t="s">
        <v>78</v>
      </c>
      <c r="K92" s="9" t="s">
        <v>153</v>
      </c>
      <c r="L92" s="9" t="s">
        <v>131</v>
      </c>
      <c r="M92" s="9" t="s">
        <v>239</v>
      </c>
      <c r="N92" s="9" t="s">
        <v>151</v>
      </c>
      <c r="O92" s="9" t="s">
        <v>244</v>
      </c>
      <c r="P92" s="9" t="s">
        <v>152</v>
      </c>
      <c r="Q92" s="9"/>
      <c r="R92" s="9">
        <v>8</v>
      </c>
      <c r="S92" s="9">
        <v>74547547</v>
      </c>
      <c r="T92" t="s">
        <v>232</v>
      </c>
      <c r="U92" s="9" t="s">
        <v>147</v>
      </c>
      <c r="V92" s="9"/>
      <c r="W92" s="19" t="s">
        <v>179</v>
      </c>
      <c r="X92" s="9">
        <v>61</v>
      </c>
      <c r="Y92" s="9">
        <v>2</v>
      </c>
      <c r="Z92" s="9">
        <v>15</v>
      </c>
      <c r="AA92" s="9" t="str">
        <f>IF(Tabla152[[#This Row],[NOTA]]=15,"CUMPLE","NO CUMPLE")</f>
        <v>CUMPLE</v>
      </c>
      <c r="AB92" s="9" t="str">
        <f>IF(COUNTIF($A$10:A92,A92)=1,IF(COUNTIFS($A:$A,A92,$AA:$AA,"NO CUMPLE")&gt;0,"NO CUMPLE","CUMPLE"),"")</f>
        <v/>
      </c>
      <c r="AC92" s="9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18"/>
      <c r="BX92" s="18">
        <f>IF($X92="","",AE92/$X$10)</f>
        <v>0</v>
      </c>
      <c r="BY92" s="18">
        <f>IF($X92="","",AF92/$X$10)</f>
        <v>0</v>
      </c>
      <c r="BZ92" s="18">
        <f>IF($X92="","",AG92/$X$10)</f>
        <v>0</v>
      </c>
      <c r="CA92" s="18">
        <f>IF($X92="","",AH92/$X$10)</f>
        <v>0</v>
      </c>
      <c r="CB92" s="18">
        <f t="shared" si="9"/>
        <v>0</v>
      </c>
      <c r="CC92" s="18">
        <f>IF($X92="","",AJ92/$X$10)</f>
        <v>0</v>
      </c>
      <c r="CD92" s="18">
        <f>IF($X92="","",AK92/$X$10)</f>
        <v>0</v>
      </c>
      <c r="CE92" s="18">
        <f>IF($X92="","",AL92/$X$10)</f>
        <v>0</v>
      </c>
      <c r="CF92" s="18">
        <f>IF($X92="","",AM92/$X$10)</f>
        <v>0</v>
      </c>
      <c r="CG92" s="18">
        <f>IF($X92="","",AN92/$X$10)</f>
        <v>0</v>
      </c>
      <c r="CH92" s="18">
        <f>IF($X92="","",AO92/$X$10)</f>
        <v>0</v>
      </c>
      <c r="CI92" s="18">
        <f>IF($X92="","",AP92/$X$10)</f>
        <v>0</v>
      </c>
      <c r="CJ92" s="18">
        <f>IF($X92="","",AQ92/$X$10)</f>
        <v>0</v>
      </c>
      <c r="CK92" s="18">
        <f>IF($X92="","",AR92/$X$10)</f>
        <v>0</v>
      </c>
      <c r="CL92" s="18">
        <f>IF($X92="","",AS92/$X$10)</f>
        <v>0</v>
      </c>
      <c r="CM92" s="18">
        <f>IF($X92="","",AT92/$X$10)</f>
        <v>0</v>
      </c>
      <c r="CN92" s="18">
        <f>IF($X92="","",AU92/$X$10)</f>
        <v>0</v>
      </c>
      <c r="CO92" s="18">
        <f>IF($X92="","",AV92/$X$10)</f>
        <v>0</v>
      </c>
      <c r="CP92" s="18">
        <f>IF($X92="","",AW92/$X$10)</f>
        <v>0</v>
      </c>
      <c r="CQ92" s="18">
        <f>IF($X92="","",AX92/$X$10)</f>
        <v>0</v>
      </c>
      <c r="CR92" s="18">
        <f>IF($X92="","",AY92/$X$10)</f>
        <v>0</v>
      </c>
      <c r="CS92" s="18">
        <f>IF($X92="","",AZ92/$X$10)</f>
        <v>0</v>
      </c>
      <c r="CT92" s="18">
        <f>IF($X92="","",BA92/$X$10)</f>
        <v>0</v>
      </c>
      <c r="CU92" s="18">
        <f>IF($X92="","",BB92/$X$10)</f>
        <v>0</v>
      </c>
      <c r="CV92" s="18">
        <f>IF($X92="","",BC92/$X$10)</f>
        <v>0</v>
      </c>
      <c r="CW92" s="18">
        <f>IF($X92="","",BD92/$X$10)</f>
        <v>0</v>
      </c>
      <c r="CX92" s="18">
        <f>IF($X92="","",BE92/$X$10)</f>
        <v>0</v>
      </c>
      <c r="CY92" s="18">
        <f>IF($X92="","",BF92/$X$10)</f>
        <v>0</v>
      </c>
      <c r="CZ92" s="18">
        <f>IF($X92="","",BG92/$X$10)</f>
        <v>0</v>
      </c>
      <c r="DA92" s="18">
        <f>IF($X92="","",BH92/$X$10)</f>
        <v>0</v>
      </c>
      <c r="DB92" s="18">
        <f>IF($X92="","",BI92/$X$10)</f>
        <v>0</v>
      </c>
      <c r="DC92" s="18">
        <f>IF($X92="","",BJ92/$X$10)</f>
        <v>0</v>
      </c>
      <c r="DD92" s="18">
        <f>IF($X92="","",BK92/$X$10)</f>
        <v>0</v>
      </c>
      <c r="DE92" s="18">
        <f>IF($X92="","",BL92/$X$10)</f>
        <v>0</v>
      </c>
      <c r="DF92" s="18">
        <f>IF($X92="","",BM92/$X$10)</f>
        <v>0</v>
      </c>
      <c r="DG92" s="18">
        <f t="shared" si="10"/>
        <v>0</v>
      </c>
      <c r="DH92" s="18">
        <f>IF($X92="","",BO92/$X$10)</f>
        <v>0</v>
      </c>
      <c r="DI92" s="18">
        <f>IF($X92="","",BP92/$X$10)</f>
        <v>0</v>
      </c>
      <c r="DJ92" s="18">
        <f>IF($X92="","",BQ92/$X$10)</f>
        <v>0</v>
      </c>
      <c r="DK92" s="18">
        <f>IF($X92="","",BR92/$X$10)</f>
        <v>0</v>
      </c>
      <c r="DL92" s="18">
        <f>IF($X92="","",BS92/$X$10)</f>
        <v>0</v>
      </c>
      <c r="DM92" s="18">
        <f>IF($X92="","",BT92/$X$10)</f>
        <v>0</v>
      </c>
      <c r="DN92" s="18">
        <f t="shared" si="11"/>
        <v>0</v>
      </c>
      <c r="DO92" s="16">
        <f>IF($X92="","",SUM(Tabla152[[#This Row],[PODRIDO]],Tabla152[[#This Row],[HONGO]],Tabla152[[#This Row],[PICADO DE AVE CON PUDRICIÓN]],Tabla152[[#This Row],[FUMAGINA]])/$X$10)</f>
        <v>0</v>
      </c>
      <c r="DP92" s="16">
        <f>IF($X92="","",SUM(Tabla152[[#This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92" s="16">
        <f>IF($X92="","",SUM(Tabla152[[#This Row],[BLANDO]:[COLAPSADO]])/$X$10)</f>
        <v>0</v>
      </c>
      <c r="DR92" s="16">
        <f>IF($X92="","",SUM(Tabla152[[#This Row],[DESHIDRATADO LEVE]:[DESHIDRATADO INMADURO]])/$X$10)</f>
        <v>0</v>
      </c>
      <c r="DS92" s="18">
        <f t="shared" si="7"/>
        <v>0</v>
      </c>
      <c r="DT92" s="16">
        <f>IF($X92="","",SUM(Tabla152[[#This Row],[PRESENCIA DE LARVA]],Tabla152[[#This Row],[CHANCHITO BLANCO]])/$X$10)</f>
        <v>0</v>
      </c>
      <c r="DU92" s="18">
        <f>IF($X92="","",SUM(Tabla152[[#This Row],[ROJO GRADO 2 A MÁS]],Tabla152[[#This Row],[IMMADURO VERDE]],Tabla152[[#This Row],[DESORDEN POR MADURACIÓN]],Tabla152[[#This Row],[ARO PEDICELAR VERDE EXTREMO]])/$X$10)</f>
        <v>0</v>
      </c>
      <c r="DV92" s="16">
        <f>IF($X92="","",SUM(Tabla152[[#This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92" s="16">
        <f t="shared" si="8"/>
        <v>0</v>
      </c>
      <c r="DX92" s="16">
        <f>IF($X92="","",AJ92/$X$10)</f>
        <v>0</v>
      </c>
      <c r="DY92" s="16">
        <f>IF($X92="","",SUM(Tabla152[[#This Row],[PRESENCIA DE COROLA]],Tabla152[[#This Row],[PRESENCIA DE RESTO FLORAL VERDE]],Tabla152[[#This Row],[PRESENCIA DE PEDÚNCULO]])/$X$10)</f>
        <v>0</v>
      </c>
      <c r="DZ92" s="16">
        <f>IF($X92="","",SUM(Tabla152[[#This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93" spans="1:130" x14ac:dyDescent="0.3">
      <c r="A93" s="9">
        <f>IF(W93="","",IF(ROW()=10,1,IF(W93=W92,A92,MAX($A$9:A92)+1)))</f>
        <v>27</v>
      </c>
      <c r="B93" s="9">
        <f>WEEKNUM(Tabla152[[#This Row],[FECHA DE COSECHA]],21)</f>
        <v>36</v>
      </c>
      <c r="C93" s="9"/>
      <c r="D93" s="17">
        <v>46267</v>
      </c>
      <c r="E93" s="17">
        <v>46267</v>
      </c>
      <c r="F93" s="9">
        <v>1</v>
      </c>
      <c r="G93" s="9" t="s">
        <v>77</v>
      </c>
      <c r="H93" s="9" t="s">
        <v>144</v>
      </c>
      <c r="I93" s="9" t="s">
        <v>134</v>
      </c>
      <c r="J93" s="9" t="s">
        <v>78</v>
      </c>
      <c r="K93" s="9" t="s">
        <v>153</v>
      </c>
      <c r="L93" s="9" t="s">
        <v>131</v>
      </c>
      <c r="M93" s="9" t="s">
        <v>239</v>
      </c>
      <c r="N93" s="9" t="s">
        <v>151</v>
      </c>
      <c r="O93" s="9" t="s">
        <v>244</v>
      </c>
      <c r="P93" s="9" t="s">
        <v>152</v>
      </c>
      <c r="Q93" s="9"/>
      <c r="R93" s="9">
        <v>8</v>
      </c>
      <c r="S93" s="9">
        <v>74547547</v>
      </c>
      <c r="T93" t="s">
        <v>232</v>
      </c>
      <c r="U93" s="9" t="s">
        <v>147</v>
      </c>
      <c r="V93" s="9"/>
      <c r="W93" s="19" t="s">
        <v>179</v>
      </c>
      <c r="X93" s="9">
        <v>61</v>
      </c>
      <c r="Y93" s="9">
        <v>3</v>
      </c>
      <c r="Z93" s="9">
        <v>15</v>
      </c>
      <c r="AA93" s="9" t="str">
        <f>IF(Tabla152[[#This Row],[NOTA]]=15,"CUMPLE","NO CUMPLE")</f>
        <v>CUMPLE</v>
      </c>
      <c r="AB93" s="9" t="str">
        <f>IF(COUNTIF($A$10:A93,A93)=1,IF(COUNTIFS($A:$A,A93,$AA:$AA,"NO CUMPLE")&gt;0,"NO CUMPLE","CUMPLE"),"")</f>
        <v/>
      </c>
      <c r="AC93" s="9"/>
      <c r="AD93" s="8"/>
      <c r="AE93" s="8">
        <v>1</v>
      </c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18"/>
      <c r="BX93" s="18">
        <f>IF($X93="","",AE93/$X$10)</f>
        <v>1.5873015873015872E-2</v>
      </c>
      <c r="BY93" s="18">
        <f>IF($X93="","",AF93/$X$10)</f>
        <v>0</v>
      </c>
      <c r="BZ93" s="18">
        <f>IF($X93="","",AG93/$X$10)</f>
        <v>0</v>
      </c>
      <c r="CA93" s="18">
        <f>IF($X93="","",AH93/$X$10)</f>
        <v>0</v>
      </c>
      <c r="CB93" s="18">
        <f t="shared" si="9"/>
        <v>0</v>
      </c>
      <c r="CC93" s="18">
        <f>IF($X93="","",AJ93/$X$10)</f>
        <v>0</v>
      </c>
      <c r="CD93" s="18">
        <f>IF($X93="","",AK93/$X$10)</f>
        <v>0</v>
      </c>
      <c r="CE93" s="18">
        <f>IF($X93="","",AL93/$X$10)</f>
        <v>0</v>
      </c>
      <c r="CF93" s="18">
        <f>IF($X93="","",AM93/$X$10)</f>
        <v>0</v>
      </c>
      <c r="CG93" s="18">
        <f>IF($X93="","",AN93/$X$10)</f>
        <v>0</v>
      </c>
      <c r="CH93" s="18">
        <f>IF($X93="","",AO93/$X$10)</f>
        <v>0</v>
      </c>
      <c r="CI93" s="18">
        <f>IF($X93="","",AP93/$X$10)</f>
        <v>0</v>
      </c>
      <c r="CJ93" s="18">
        <f>IF($X93="","",AQ93/$X$10)</f>
        <v>0</v>
      </c>
      <c r="CK93" s="18">
        <f>IF($X93="","",AR93/$X$10)</f>
        <v>0</v>
      </c>
      <c r="CL93" s="18">
        <f>IF($X93="","",AS93/$X$10)</f>
        <v>0</v>
      </c>
      <c r="CM93" s="18">
        <f>IF($X93="","",AT93/$X$10)</f>
        <v>0</v>
      </c>
      <c r="CN93" s="18">
        <f>IF($X93="","",AU93/$X$10)</f>
        <v>0</v>
      </c>
      <c r="CO93" s="18">
        <f>IF($X93="","",AV93/$X$10)</f>
        <v>0</v>
      </c>
      <c r="CP93" s="18">
        <f>IF($X93="","",AW93/$X$10)</f>
        <v>0</v>
      </c>
      <c r="CQ93" s="18">
        <f>IF($X93="","",AX93/$X$10)</f>
        <v>0</v>
      </c>
      <c r="CR93" s="18">
        <f>IF($X93="","",AY93/$X$10)</f>
        <v>0</v>
      </c>
      <c r="CS93" s="18">
        <f>IF($X93="","",AZ93/$X$10)</f>
        <v>0</v>
      </c>
      <c r="CT93" s="18">
        <f>IF($X93="","",BA93/$X$10)</f>
        <v>0</v>
      </c>
      <c r="CU93" s="18">
        <f>IF($X93="","",BB93/$X$10)</f>
        <v>0</v>
      </c>
      <c r="CV93" s="18">
        <f>IF($X93="","",BC93/$X$10)</f>
        <v>0</v>
      </c>
      <c r="CW93" s="18">
        <f>IF($X93="","",BD93/$X$10)</f>
        <v>0</v>
      </c>
      <c r="CX93" s="18">
        <f>IF($X93="","",BE93/$X$10)</f>
        <v>0</v>
      </c>
      <c r="CY93" s="18">
        <f>IF($X93="","",BF93/$X$10)</f>
        <v>0</v>
      </c>
      <c r="CZ93" s="18">
        <f>IF($X93="","",BG93/$X$10)</f>
        <v>0</v>
      </c>
      <c r="DA93" s="18">
        <f>IF($X93="","",BH93/$X$10)</f>
        <v>0</v>
      </c>
      <c r="DB93" s="18">
        <f>IF($X93="","",BI93/$X$10)</f>
        <v>0</v>
      </c>
      <c r="DC93" s="18">
        <f>IF($X93="","",BJ93/$X$10)</f>
        <v>0</v>
      </c>
      <c r="DD93" s="18">
        <f>IF($X93="","",BK93/$X$10)</f>
        <v>0</v>
      </c>
      <c r="DE93" s="18">
        <f>IF($X93="","",BL93/$X$10)</f>
        <v>0</v>
      </c>
      <c r="DF93" s="18">
        <f>IF($X93="","",BM93/$X$10)</f>
        <v>0</v>
      </c>
      <c r="DG93" s="18">
        <f t="shared" si="10"/>
        <v>0</v>
      </c>
      <c r="DH93" s="18">
        <f>IF($X93="","",BO93/$X$10)</f>
        <v>0</v>
      </c>
      <c r="DI93" s="18">
        <f>IF($X93="","",BP93/$X$10)</f>
        <v>0</v>
      </c>
      <c r="DJ93" s="18">
        <f>IF($X93="","",BQ93/$X$10)</f>
        <v>0</v>
      </c>
      <c r="DK93" s="18">
        <f>IF($X93="","",BR93/$X$10)</f>
        <v>0</v>
      </c>
      <c r="DL93" s="18">
        <f>IF($X93="","",BS93/$X$10)</f>
        <v>0</v>
      </c>
      <c r="DM93" s="18">
        <f>IF($X93="","",BT93/$X$10)</f>
        <v>0</v>
      </c>
      <c r="DN93" s="18">
        <f t="shared" si="11"/>
        <v>0</v>
      </c>
      <c r="DO93" s="16">
        <f>IF($X93="","",SUM(Tabla152[[#This Row],[PODRIDO]],Tabla152[[#This Row],[HONGO]],Tabla152[[#This Row],[PICADO DE AVE CON PUDRICIÓN]],Tabla152[[#This Row],[FUMAGINA]])/$X$10)</f>
        <v>0</v>
      </c>
      <c r="DP93" s="16">
        <f>IF($X93="","",SUM(Tabla152[[#This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93" s="16">
        <f>IF($X93="","",SUM(Tabla152[[#This Row],[BLANDO]:[COLAPSADO]])/$X$10)</f>
        <v>0</v>
      </c>
      <c r="DR93" s="16">
        <f>IF($X93="","",SUM(Tabla152[[#This Row],[DESHIDRATADO LEVE]:[DESHIDRATADO INMADURO]])/$X$10)</f>
        <v>0</v>
      </c>
      <c r="DS93" s="18">
        <f t="shared" si="7"/>
        <v>0</v>
      </c>
      <c r="DT93" s="16">
        <f>IF($X93="","",SUM(Tabla152[[#This Row],[PRESENCIA DE LARVA]],Tabla152[[#This Row],[CHANCHITO BLANCO]])/$X$10)</f>
        <v>0</v>
      </c>
      <c r="DU93" s="18">
        <f>IF($X93="","",SUM(Tabla152[[#This Row],[ROJO GRADO 2 A MÁS]],Tabla152[[#This Row],[IMMADURO VERDE]],Tabla152[[#This Row],[DESORDEN POR MADURACIÓN]],Tabla152[[#This Row],[ARO PEDICELAR VERDE EXTREMO]])/$X$10)</f>
        <v>0</v>
      </c>
      <c r="DV93" s="16">
        <f>IF($X93="","",SUM(Tabla152[[#This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93" s="16">
        <f t="shared" si="8"/>
        <v>0</v>
      </c>
      <c r="DX93" s="16">
        <f>IF($X93="","",AJ93/$X$10)</f>
        <v>0</v>
      </c>
      <c r="DY93" s="16">
        <f>IF($X93="","",SUM(Tabla152[[#This Row],[PRESENCIA DE COROLA]],Tabla152[[#This Row],[PRESENCIA DE RESTO FLORAL VERDE]],Tabla152[[#This Row],[PRESENCIA DE PEDÚNCULO]])/$X$10)</f>
        <v>1.5873015873015872E-2</v>
      </c>
      <c r="DZ93" s="16">
        <f>IF($X93="","",SUM(Tabla152[[#This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94" spans="1:130" x14ac:dyDescent="0.3">
      <c r="A94" s="9">
        <f>IF(W94="","",IF(ROW()=10,1,IF(W94=W93,A93,MAX($A$9:A93)+1)))</f>
        <v>28</v>
      </c>
      <c r="B94" s="9">
        <f>WEEKNUM(Tabla152[[#This Row],[FECHA DE COSECHA]],21)</f>
        <v>36</v>
      </c>
      <c r="C94" s="9"/>
      <c r="D94" s="17">
        <v>46267</v>
      </c>
      <c r="E94" s="17">
        <v>46267</v>
      </c>
      <c r="F94" s="9">
        <v>1</v>
      </c>
      <c r="G94" s="9" t="s">
        <v>77</v>
      </c>
      <c r="H94" s="9" t="s">
        <v>144</v>
      </c>
      <c r="I94" s="9" t="s">
        <v>134</v>
      </c>
      <c r="J94" s="9" t="s">
        <v>78</v>
      </c>
      <c r="K94" s="9" t="s">
        <v>153</v>
      </c>
      <c r="L94" s="9" t="s">
        <v>131</v>
      </c>
      <c r="M94" s="9" t="s">
        <v>239</v>
      </c>
      <c r="N94" s="9" t="s">
        <v>151</v>
      </c>
      <c r="O94" s="9" t="s">
        <v>244</v>
      </c>
      <c r="P94" s="9" t="s">
        <v>152</v>
      </c>
      <c r="Q94" s="9"/>
      <c r="R94" s="9">
        <v>8</v>
      </c>
      <c r="S94" s="9">
        <v>74547547</v>
      </c>
      <c r="T94" t="s">
        <v>232</v>
      </c>
      <c r="U94" s="9" t="s">
        <v>147</v>
      </c>
      <c r="V94" s="9"/>
      <c r="W94" s="19" t="s">
        <v>180</v>
      </c>
      <c r="X94" s="9">
        <v>61</v>
      </c>
      <c r="Y94" s="9">
        <v>1</v>
      </c>
      <c r="Z94" s="9">
        <v>15</v>
      </c>
      <c r="AA94" s="9" t="str">
        <f>IF(Tabla152[[#This Row],[NOTA]]=15,"CUMPLE","NO CUMPLE")</f>
        <v>CUMPLE</v>
      </c>
      <c r="AB94" s="9" t="str">
        <f>IF(COUNTIF($A$10:A94,A94)=1,IF(COUNTIFS($A:$A,A94,$AA:$AA,"NO CUMPLE")&gt;0,"NO CUMPLE","CUMPLE"),"")</f>
        <v>CUMPLE</v>
      </c>
      <c r="AC94" s="9" t="s">
        <v>140</v>
      </c>
      <c r="AD94" s="8"/>
      <c r="AE94" s="8">
        <v>1</v>
      </c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18"/>
      <c r="BX94" s="18">
        <f>IF($X94="","",AE94/$X$10)</f>
        <v>1.5873015873015872E-2</v>
      </c>
      <c r="BY94" s="18">
        <f>IF($X94="","",AF94/$X$10)</f>
        <v>0</v>
      </c>
      <c r="BZ94" s="18">
        <f>IF($X94="","",AG94/$X$10)</f>
        <v>0</v>
      </c>
      <c r="CA94" s="18">
        <f>IF($X94="","",AH94/$X$10)</f>
        <v>0</v>
      </c>
      <c r="CB94" s="18">
        <f t="shared" si="9"/>
        <v>0</v>
      </c>
      <c r="CC94" s="18">
        <f>IF($X94="","",AJ94/$X$10)</f>
        <v>0</v>
      </c>
      <c r="CD94" s="18">
        <f>IF($X94="","",AK94/$X$10)</f>
        <v>0</v>
      </c>
      <c r="CE94" s="18">
        <f>IF($X94="","",AL94/$X$10)</f>
        <v>0</v>
      </c>
      <c r="CF94" s="18">
        <f>IF($X94="","",AM94/$X$10)</f>
        <v>0</v>
      </c>
      <c r="CG94" s="18">
        <f>IF($X94="","",AN94/$X$10)</f>
        <v>0</v>
      </c>
      <c r="CH94" s="18">
        <f>IF($X94="","",AO94/$X$10)</f>
        <v>0</v>
      </c>
      <c r="CI94" s="18">
        <f>IF($X94="","",AP94/$X$10)</f>
        <v>0</v>
      </c>
      <c r="CJ94" s="18">
        <f>IF($X94="","",AQ94/$X$10)</f>
        <v>0</v>
      </c>
      <c r="CK94" s="18">
        <f>IF($X94="","",AR94/$X$10)</f>
        <v>0</v>
      </c>
      <c r="CL94" s="18">
        <f>IF($X94="","",AS94/$X$10)</f>
        <v>0</v>
      </c>
      <c r="CM94" s="18">
        <f>IF($X94="","",AT94/$X$10)</f>
        <v>0</v>
      </c>
      <c r="CN94" s="18">
        <f>IF($X94="","",AU94/$X$10)</f>
        <v>0</v>
      </c>
      <c r="CO94" s="18">
        <f>IF($X94="","",AV94/$X$10)</f>
        <v>0</v>
      </c>
      <c r="CP94" s="18">
        <f>IF($X94="","",AW94/$X$10)</f>
        <v>0</v>
      </c>
      <c r="CQ94" s="18">
        <f>IF($X94="","",AX94/$X$10)</f>
        <v>0</v>
      </c>
      <c r="CR94" s="18">
        <f>IF($X94="","",AY94/$X$10)</f>
        <v>0</v>
      </c>
      <c r="CS94" s="18">
        <f>IF($X94="","",AZ94/$X$10)</f>
        <v>0</v>
      </c>
      <c r="CT94" s="18">
        <f>IF($X94="","",BA94/$X$10)</f>
        <v>0</v>
      </c>
      <c r="CU94" s="18">
        <f>IF($X94="","",BB94/$X$10)</f>
        <v>0</v>
      </c>
      <c r="CV94" s="18">
        <f>IF($X94="","",BC94/$X$10)</f>
        <v>0</v>
      </c>
      <c r="CW94" s="18">
        <f>IF($X94="","",BD94/$X$10)</f>
        <v>0</v>
      </c>
      <c r="CX94" s="18">
        <f>IF($X94="","",BE94/$X$10)</f>
        <v>0</v>
      </c>
      <c r="CY94" s="18">
        <f>IF($X94="","",BF94/$X$10)</f>
        <v>0</v>
      </c>
      <c r="CZ94" s="18">
        <f>IF($X94="","",BG94/$X$10)</f>
        <v>0</v>
      </c>
      <c r="DA94" s="18">
        <f>IF($X94="","",BH94/$X$10)</f>
        <v>0</v>
      </c>
      <c r="DB94" s="18">
        <f>IF($X94="","",BI94/$X$10)</f>
        <v>0</v>
      </c>
      <c r="DC94" s="18">
        <f>IF($X94="","",BJ94/$X$10)</f>
        <v>0</v>
      </c>
      <c r="DD94" s="18">
        <f>IF($X94="","",BK94/$X$10)</f>
        <v>0</v>
      </c>
      <c r="DE94" s="18">
        <f>IF($X94="","",BL94/$X$10)</f>
        <v>0</v>
      </c>
      <c r="DF94" s="18">
        <f>IF($X94="","",BM94/$X$10)</f>
        <v>0</v>
      </c>
      <c r="DG94" s="18">
        <f t="shared" si="10"/>
        <v>0</v>
      </c>
      <c r="DH94" s="18">
        <f>IF($X94="","",BO94/$X$10)</f>
        <v>0</v>
      </c>
      <c r="DI94" s="18">
        <f>IF($X94="","",BP94/$X$10)</f>
        <v>0</v>
      </c>
      <c r="DJ94" s="18">
        <f>IF($X94="","",BQ94/$X$10)</f>
        <v>0</v>
      </c>
      <c r="DK94" s="18">
        <f>IF($X94="","",BR94/$X$10)</f>
        <v>0</v>
      </c>
      <c r="DL94" s="18">
        <f>IF($X94="","",BS94/$X$10)</f>
        <v>0</v>
      </c>
      <c r="DM94" s="18">
        <f>IF($X94="","",BT94/$X$10)</f>
        <v>0</v>
      </c>
      <c r="DN94" s="18">
        <f t="shared" si="11"/>
        <v>0</v>
      </c>
      <c r="DO94" s="16">
        <f>IF($X94="","",SUM(Tabla152[[#This Row],[PODRIDO]],Tabla152[[#This Row],[HONGO]],Tabla152[[#This Row],[PICADO DE AVE CON PUDRICIÓN]],Tabla152[[#This Row],[FUMAGINA]])/$X$10)</f>
        <v>0</v>
      </c>
      <c r="DP94" s="16">
        <f>IF($X94="","",SUM(Tabla152[[#This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94" s="16">
        <f>IF($X94="","",SUM(Tabla152[[#This Row],[BLANDO]:[COLAPSADO]])/$X$10)</f>
        <v>0</v>
      </c>
      <c r="DR94" s="16">
        <f>IF($X94="","",SUM(Tabla152[[#This Row],[DESHIDRATADO LEVE]:[DESHIDRATADO INMADURO]])/$X$10)</f>
        <v>0</v>
      </c>
      <c r="DS94" s="18">
        <f t="shared" si="7"/>
        <v>0</v>
      </c>
      <c r="DT94" s="16">
        <f>IF($X94="","",SUM(Tabla152[[#This Row],[PRESENCIA DE LARVA]],Tabla152[[#This Row],[CHANCHITO BLANCO]])/$X$10)</f>
        <v>0</v>
      </c>
      <c r="DU94" s="18">
        <f>IF($X94="","",SUM(Tabla152[[#This Row],[ROJO GRADO 2 A MÁS]],Tabla152[[#This Row],[IMMADURO VERDE]],Tabla152[[#This Row],[DESORDEN POR MADURACIÓN]],Tabla152[[#This Row],[ARO PEDICELAR VERDE EXTREMO]])/$X$10)</f>
        <v>0</v>
      </c>
      <c r="DV94" s="16">
        <f>IF($X94="","",SUM(Tabla152[[#This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94" s="16">
        <f t="shared" si="8"/>
        <v>0</v>
      </c>
      <c r="DX94" s="16">
        <f>IF($X94="","",AJ94/$X$10)</f>
        <v>0</v>
      </c>
      <c r="DY94" s="16">
        <f>IF($X94="","",SUM(Tabla152[[#This Row],[PRESENCIA DE COROLA]],Tabla152[[#This Row],[PRESENCIA DE RESTO FLORAL VERDE]],Tabla152[[#This Row],[PRESENCIA DE PEDÚNCULO]])/$X$10)</f>
        <v>1.5873015873015872E-2</v>
      </c>
      <c r="DZ94" s="16">
        <f>IF($X94="","",SUM(Tabla152[[#This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95" spans="1:130" x14ac:dyDescent="0.3">
      <c r="A95" s="9">
        <f>IF(W95="","",IF(ROW()=10,1,IF(W95=W94,A94,MAX($A$9:A94)+1)))</f>
        <v>28</v>
      </c>
      <c r="B95" s="9">
        <f>WEEKNUM(Tabla152[[#This Row],[FECHA DE COSECHA]],21)</f>
        <v>36</v>
      </c>
      <c r="C95" s="9"/>
      <c r="D95" s="17">
        <v>46267</v>
      </c>
      <c r="E95" s="17">
        <v>46267</v>
      </c>
      <c r="F95" s="9">
        <v>1</v>
      </c>
      <c r="G95" s="9" t="s">
        <v>77</v>
      </c>
      <c r="H95" s="9" t="s">
        <v>144</v>
      </c>
      <c r="I95" s="9" t="s">
        <v>134</v>
      </c>
      <c r="J95" s="9" t="s">
        <v>78</v>
      </c>
      <c r="K95" s="9" t="s">
        <v>153</v>
      </c>
      <c r="L95" s="9" t="s">
        <v>131</v>
      </c>
      <c r="M95" s="9" t="s">
        <v>239</v>
      </c>
      <c r="N95" s="9" t="s">
        <v>151</v>
      </c>
      <c r="O95" s="9" t="s">
        <v>244</v>
      </c>
      <c r="P95" s="9" t="s">
        <v>152</v>
      </c>
      <c r="Q95" s="9"/>
      <c r="R95" s="9">
        <v>8</v>
      </c>
      <c r="S95" s="9">
        <v>74547547</v>
      </c>
      <c r="T95" t="s">
        <v>232</v>
      </c>
      <c r="U95" s="9" t="s">
        <v>147</v>
      </c>
      <c r="V95" s="9"/>
      <c r="W95" s="19" t="s">
        <v>180</v>
      </c>
      <c r="X95" s="9">
        <v>61</v>
      </c>
      <c r="Y95" s="9">
        <v>2</v>
      </c>
      <c r="Z95" s="9">
        <v>15</v>
      </c>
      <c r="AA95" s="9" t="str">
        <f>IF(Tabla152[[#This Row],[NOTA]]=15,"CUMPLE","NO CUMPLE")</f>
        <v>CUMPLE</v>
      </c>
      <c r="AB95" s="9" t="str">
        <f>IF(COUNTIF($A$10:A95,A95)=1,IF(COUNTIFS($A:$A,A95,$AA:$AA,"NO CUMPLE")&gt;0,"NO CUMPLE","CUMPLE"),"")</f>
        <v/>
      </c>
      <c r="AC95" s="9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7"/>
      <c r="AR95" s="7"/>
      <c r="AS95" s="7">
        <v>2</v>
      </c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18"/>
      <c r="BX95" s="18">
        <f>IF($X95="","",AE95/$X$10)</f>
        <v>0</v>
      </c>
      <c r="BY95" s="18">
        <f>IF($X95="","",AF95/$X$10)</f>
        <v>0</v>
      </c>
      <c r="BZ95" s="18">
        <f>IF($X95="","",AG95/$X$10)</f>
        <v>0</v>
      </c>
      <c r="CA95" s="18">
        <f>IF($X95="","",AH95/$X$10)</f>
        <v>0</v>
      </c>
      <c r="CB95" s="18">
        <f t="shared" si="9"/>
        <v>0</v>
      </c>
      <c r="CC95" s="18">
        <f>IF($X95="","",AJ95/$X$10)</f>
        <v>0</v>
      </c>
      <c r="CD95" s="18">
        <f>IF($X95="","",AK95/$X$10)</f>
        <v>0</v>
      </c>
      <c r="CE95" s="18">
        <f>IF($X95="","",AL95/$X$10)</f>
        <v>0</v>
      </c>
      <c r="CF95" s="18">
        <f>IF($X95="","",AM95/$X$10)</f>
        <v>0</v>
      </c>
      <c r="CG95" s="18">
        <f>IF($X95="","",AN95/$X$10)</f>
        <v>0</v>
      </c>
      <c r="CH95" s="18">
        <f>IF($X95="","",AO95/$X$10)</f>
        <v>0</v>
      </c>
      <c r="CI95" s="18">
        <f>IF($X95="","",AP95/$X$10)</f>
        <v>0</v>
      </c>
      <c r="CJ95" s="18">
        <f>IF($X95="","",AQ95/$X$10)</f>
        <v>0</v>
      </c>
      <c r="CK95" s="18">
        <f>IF($X95="","",AR95/$X$10)</f>
        <v>0</v>
      </c>
      <c r="CL95" s="18">
        <f>IF($X95="","",AS95/$X$10)</f>
        <v>3.1746031746031744E-2</v>
      </c>
      <c r="CM95" s="18">
        <f>IF($X95="","",AT95/$X$10)</f>
        <v>0</v>
      </c>
      <c r="CN95" s="18">
        <f>IF($X95="","",AU95/$X$10)</f>
        <v>0</v>
      </c>
      <c r="CO95" s="18">
        <f>IF($X95="","",AV95/$X$10)</f>
        <v>0</v>
      </c>
      <c r="CP95" s="18">
        <f>IF($X95="","",AW95/$X$10)</f>
        <v>0</v>
      </c>
      <c r="CQ95" s="18">
        <f>IF($X95="","",AX95/$X$10)</f>
        <v>0</v>
      </c>
      <c r="CR95" s="18">
        <f>IF($X95="","",AY95/$X$10)</f>
        <v>0</v>
      </c>
      <c r="CS95" s="18">
        <f>IF($X95="","",AZ95/$X$10)</f>
        <v>0</v>
      </c>
      <c r="CT95" s="18">
        <f>IF($X95="","",BA95/$X$10)</f>
        <v>0</v>
      </c>
      <c r="CU95" s="18">
        <f>IF($X95="","",BB95/$X$10)</f>
        <v>0</v>
      </c>
      <c r="CV95" s="18">
        <f>IF($X95="","",BC95/$X$10)</f>
        <v>0</v>
      </c>
      <c r="CW95" s="18">
        <f>IF($X95="","",BD95/$X$10)</f>
        <v>0</v>
      </c>
      <c r="CX95" s="18">
        <f>IF($X95="","",BE95/$X$10)</f>
        <v>0</v>
      </c>
      <c r="CY95" s="18">
        <f>IF($X95="","",BF95/$X$10)</f>
        <v>0</v>
      </c>
      <c r="CZ95" s="18">
        <f>IF($X95="","",BG95/$X$10)</f>
        <v>0</v>
      </c>
      <c r="DA95" s="18">
        <f>IF($X95="","",BH95/$X$10)</f>
        <v>0</v>
      </c>
      <c r="DB95" s="18">
        <f>IF($X95="","",BI95/$X$10)</f>
        <v>0</v>
      </c>
      <c r="DC95" s="18">
        <f>IF($X95="","",BJ95/$X$10)</f>
        <v>0</v>
      </c>
      <c r="DD95" s="18">
        <f>IF($X95="","",BK95/$X$10)</f>
        <v>0</v>
      </c>
      <c r="DE95" s="18">
        <f>IF($X95="","",BL95/$X$10)</f>
        <v>0</v>
      </c>
      <c r="DF95" s="18">
        <f>IF($X95="","",BM95/$X$10)</f>
        <v>0</v>
      </c>
      <c r="DG95" s="18">
        <f t="shared" si="10"/>
        <v>0</v>
      </c>
      <c r="DH95" s="18">
        <f>IF($X95="","",BO95/$X$10)</f>
        <v>0</v>
      </c>
      <c r="DI95" s="18">
        <f>IF($X95="","",BP95/$X$10)</f>
        <v>0</v>
      </c>
      <c r="DJ95" s="18">
        <f>IF($X95="","",BQ95/$X$10)</f>
        <v>0</v>
      </c>
      <c r="DK95" s="18">
        <f>IF($X95="","",BR95/$X$10)</f>
        <v>0</v>
      </c>
      <c r="DL95" s="18">
        <f>IF($X95="","",BS95/$X$10)</f>
        <v>0</v>
      </c>
      <c r="DM95" s="18">
        <f>IF($X95="","",BT95/$X$10)</f>
        <v>0</v>
      </c>
      <c r="DN95" s="18">
        <f t="shared" si="11"/>
        <v>0</v>
      </c>
      <c r="DO95" s="16">
        <f>IF($X95="","",SUM(Tabla152[[#This Row],[PODRIDO]],Tabla152[[#This Row],[HONGO]],Tabla152[[#This Row],[PICADO DE AVE CON PUDRICIÓN]],Tabla152[[#This Row],[FUMAGINA]])/$X$10)</f>
        <v>0</v>
      </c>
      <c r="DP95" s="16">
        <f>IF($X95="","",SUM(Tabla152[[#This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95" s="16">
        <f>IF($X95="","",SUM(Tabla152[[#This Row],[BLANDO]:[COLAPSADO]])/$X$10)</f>
        <v>0</v>
      </c>
      <c r="DR95" s="16">
        <f>IF($X95="","",SUM(Tabla152[[#This Row],[DESHIDRATADO LEVE]:[DESHIDRATADO INMADURO]])/$X$10)</f>
        <v>3.1746031746031744E-2</v>
      </c>
      <c r="DS95" s="18">
        <f t="shared" si="7"/>
        <v>0</v>
      </c>
      <c r="DT95" s="16">
        <f>IF($X95="","",SUM(Tabla152[[#This Row],[PRESENCIA DE LARVA]],Tabla152[[#This Row],[CHANCHITO BLANCO]])/$X$10)</f>
        <v>0</v>
      </c>
      <c r="DU95" s="18">
        <f>IF($X95="","",SUM(Tabla152[[#This Row],[ROJO GRADO 2 A MÁS]],Tabla152[[#This Row],[IMMADURO VERDE]],Tabla152[[#This Row],[DESORDEN POR MADURACIÓN]],Tabla152[[#This Row],[ARO PEDICELAR VERDE EXTREMO]])/$X$10)</f>
        <v>0</v>
      </c>
      <c r="DV95" s="16">
        <f>IF($X95="","",SUM(Tabla152[[#This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95" s="16">
        <f t="shared" si="8"/>
        <v>0</v>
      </c>
      <c r="DX95" s="16">
        <f>IF($X95="","",AJ95/$X$10)</f>
        <v>0</v>
      </c>
      <c r="DY95" s="16">
        <f>IF($X95="","",SUM(Tabla152[[#This Row],[PRESENCIA DE COROLA]],Tabla152[[#This Row],[PRESENCIA DE RESTO FLORAL VERDE]],Tabla152[[#This Row],[PRESENCIA DE PEDÚNCULO]])/$X$10)</f>
        <v>0</v>
      </c>
      <c r="DZ95" s="16">
        <f>IF($X95="","",SUM(Tabla152[[#This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96" spans="1:130" x14ac:dyDescent="0.3">
      <c r="A96" s="9">
        <f>IF(W96="","",IF(ROW()=10,1,IF(W96=W95,A95,MAX($A$9:A95)+1)))</f>
        <v>28</v>
      </c>
      <c r="B96" s="9">
        <f>WEEKNUM(Tabla152[[#This Row],[FECHA DE COSECHA]],21)</f>
        <v>36</v>
      </c>
      <c r="C96" s="9"/>
      <c r="D96" s="17">
        <v>46267</v>
      </c>
      <c r="E96" s="17">
        <v>46267</v>
      </c>
      <c r="F96" s="9">
        <v>1</v>
      </c>
      <c r="G96" s="9" t="s">
        <v>77</v>
      </c>
      <c r="H96" s="9" t="s">
        <v>144</v>
      </c>
      <c r="I96" s="9" t="s">
        <v>134</v>
      </c>
      <c r="J96" s="9" t="s">
        <v>78</v>
      </c>
      <c r="K96" s="9" t="s">
        <v>153</v>
      </c>
      <c r="L96" s="9" t="s">
        <v>131</v>
      </c>
      <c r="M96" s="9" t="s">
        <v>239</v>
      </c>
      <c r="N96" s="9" t="s">
        <v>151</v>
      </c>
      <c r="O96" s="9" t="s">
        <v>244</v>
      </c>
      <c r="P96" s="9" t="s">
        <v>152</v>
      </c>
      <c r="Q96" s="9"/>
      <c r="R96" s="9">
        <v>8</v>
      </c>
      <c r="S96" s="9">
        <v>74547547</v>
      </c>
      <c r="T96" t="s">
        <v>232</v>
      </c>
      <c r="U96" s="9" t="s">
        <v>147</v>
      </c>
      <c r="V96" s="9"/>
      <c r="W96" s="19" t="s">
        <v>180</v>
      </c>
      <c r="X96" s="9">
        <v>61</v>
      </c>
      <c r="Y96" s="9">
        <v>3</v>
      </c>
      <c r="Z96" s="9">
        <v>15</v>
      </c>
      <c r="AA96" s="9" t="str">
        <f>IF(Tabla152[[#This Row],[NOTA]]=15,"CUMPLE","NO CUMPLE")</f>
        <v>CUMPLE</v>
      </c>
      <c r="AB96" s="9" t="str">
        <f>IF(COUNTIF($A$10:A96,A96)=1,IF(COUNTIFS($A:$A,A96,$AA:$AA,"NO CUMPLE")&gt;0,"NO CUMPLE","CUMPLE"),"")</f>
        <v/>
      </c>
      <c r="AC96" s="9"/>
      <c r="AD96" s="8"/>
      <c r="AE96" s="8">
        <v>1</v>
      </c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7"/>
      <c r="AR96" s="7"/>
      <c r="AS96" s="7">
        <v>2</v>
      </c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18"/>
      <c r="BX96" s="18">
        <f>IF($X96="","",AE96/$X$10)</f>
        <v>1.5873015873015872E-2</v>
      </c>
      <c r="BY96" s="18">
        <f>IF($X96="","",AF96/$X$10)</f>
        <v>0</v>
      </c>
      <c r="BZ96" s="18">
        <f>IF($X96="","",AG96/$X$10)</f>
        <v>0</v>
      </c>
      <c r="CA96" s="18">
        <f>IF($X96="","",AH96/$X$10)</f>
        <v>0</v>
      </c>
      <c r="CB96" s="18">
        <f t="shared" si="9"/>
        <v>0</v>
      </c>
      <c r="CC96" s="18">
        <f>IF($X96="","",AJ96/$X$10)</f>
        <v>0</v>
      </c>
      <c r="CD96" s="18">
        <f>IF($X96="","",AK96/$X$10)</f>
        <v>0</v>
      </c>
      <c r="CE96" s="18">
        <f>IF($X96="","",AL96/$X$10)</f>
        <v>0</v>
      </c>
      <c r="CF96" s="18">
        <f>IF($X96="","",AM96/$X$10)</f>
        <v>0</v>
      </c>
      <c r="CG96" s="18">
        <f>IF($X96="","",AN96/$X$10)</f>
        <v>0</v>
      </c>
      <c r="CH96" s="18">
        <f>IF($X96="","",AO96/$X$10)</f>
        <v>0</v>
      </c>
      <c r="CI96" s="18">
        <f>IF($X96="","",AP96/$X$10)</f>
        <v>0</v>
      </c>
      <c r="CJ96" s="18">
        <f>IF($X96="","",AQ96/$X$10)</f>
        <v>0</v>
      </c>
      <c r="CK96" s="18">
        <f>IF($X96="","",AR96/$X$10)</f>
        <v>0</v>
      </c>
      <c r="CL96" s="18">
        <f>IF($X96="","",AS96/$X$10)</f>
        <v>3.1746031746031744E-2</v>
      </c>
      <c r="CM96" s="18">
        <f>IF($X96="","",AT96/$X$10)</f>
        <v>0</v>
      </c>
      <c r="CN96" s="18">
        <f>IF($X96="","",AU96/$X$10)</f>
        <v>0</v>
      </c>
      <c r="CO96" s="18">
        <f>IF($X96="","",AV96/$X$10)</f>
        <v>0</v>
      </c>
      <c r="CP96" s="18">
        <f>IF($X96="","",AW96/$X$10)</f>
        <v>0</v>
      </c>
      <c r="CQ96" s="18">
        <f>IF($X96="","",AX96/$X$10)</f>
        <v>0</v>
      </c>
      <c r="CR96" s="18">
        <f>IF($X96="","",AY96/$X$10)</f>
        <v>0</v>
      </c>
      <c r="CS96" s="18">
        <f>IF($X96="","",AZ96/$X$10)</f>
        <v>0</v>
      </c>
      <c r="CT96" s="18">
        <f>IF($X96="","",BA96/$X$10)</f>
        <v>0</v>
      </c>
      <c r="CU96" s="18">
        <f>IF($X96="","",BB96/$X$10)</f>
        <v>0</v>
      </c>
      <c r="CV96" s="18">
        <f>IF($X96="","",BC96/$X$10)</f>
        <v>0</v>
      </c>
      <c r="CW96" s="18">
        <f>IF($X96="","",BD96/$X$10)</f>
        <v>0</v>
      </c>
      <c r="CX96" s="18">
        <f>IF($X96="","",BE96/$X$10)</f>
        <v>0</v>
      </c>
      <c r="CY96" s="18">
        <f>IF($X96="","",BF96/$X$10)</f>
        <v>0</v>
      </c>
      <c r="CZ96" s="18">
        <f>IF($X96="","",BG96/$X$10)</f>
        <v>0</v>
      </c>
      <c r="DA96" s="18">
        <f>IF($X96="","",BH96/$X$10)</f>
        <v>0</v>
      </c>
      <c r="DB96" s="18">
        <f>IF($X96="","",BI96/$X$10)</f>
        <v>0</v>
      </c>
      <c r="DC96" s="18">
        <f>IF($X96="","",BJ96/$X$10)</f>
        <v>0</v>
      </c>
      <c r="DD96" s="18">
        <f>IF($X96="","",BK96/$X$10)</f>
        <v>0</v>
      </c>
      <c r="DE96" s="18">
        <f>IF($X96="","",BL96/$X$10)</f>
        <v>0</v>
      </c>
      <c r="DF96" s="18">
        <f>IF($X96="","",BM96/$X$10)</f>
        <v>0</v>
      </c>
      <c r="DG96" s="18">
        <f t="shared" si="10"/>
        <v>0</v>
      </c>
      <c r="DH96" s="18">
        <f>IF($X96="","",BO96/$X$10)</f>
        <v>0</v>
      </c>
      <c r="DI96" s="18">
        <f>IF($X96="","",BP96/$X$10)</f>
        <v>0</v>
      </c>
      <c r="DJ96" s="18">
        <f>IF($X96="","",BQ96/$X$10)</f>
        <v>0</v>
      </c>
      <c r="DK96" s="18">
        <f>IF($X96="","",BR96/$X$10)</f>
        <v>0</v>
      </c>
      <c r="DL96" s="18">
        <f>IF($X96="","",BS96/$X$10)</f>
        <v>0</v>
      </c>
      <c r="DM96" s="18">
        <f>IF($X96="","",BT96/$X$10)</f>
        <v>0</v>
      </c>
      <c r="DN96" s="18">
        <f t="shared" si="11"/>
        <v>0</v>
      </c>
      <c r="DO96" s="16">
        <f>IF($X96="","",SUM(Tabla152[[#This Row],[PODRIDO]],Tabla152[[#This Row],[HONGO]],Tabla152[[#This Row],[PICADO DE AVE CON PUDRICIÓN]],Tabla152[[#This Row],[FUMAGINA]])/$X$10)</f>
        <v>0</v>
      </c>
      <c r="DP96" s="16">
        <f>IF($X96="","",SUM(Tabla152[[#This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96" s="16">
        <f>IF($X96="","",SUM(Tabla152[[#This Row],[BLANDO]:[COLAPSADO]])/$X$10)</f>
        <v>0</v>
      </c>
      <c r="DR96" s="16">
        <f>IF($X96="","",SUM(Tabla152[[#This Row],[DESHIDRATADO LEVE]:[DESHIDRATADO INMADURO]])/$X$10)</f>
        <v>3.1746031746031744E-2</v>
      </c>
      <c r="DS96" s="18">
        <f t="shared" si="7"/>
        <v>0</v>
      </c>
      <c r="DT96" s="16">
        <f>IF($X96="","",SUM(Tabla152[[#This Row],[PRESENCIA DE LARVA]],Tabla152[[#This Row],[CHANCHITO BLANCO]])/$X$10)</f>
        <v>0</v>
      </c>
      <c r="DU96" s="18">
        <f>IF($X96="","",SUM(Tabla152[[#This Row],[ROJO GRADO 2 A MÁS]],Tabla152[[#This Row],[IMMADURO VERDE]],Tabla152[[#This Row],[DESORDEN POR MADURACIÓN]],Tabla152[[#This Row],[ARO PEDICELAR VERDE EXTREMO]])/$X$10)</f>
        <v>0</v>
      </c>
      <c r="DV96" s="16">
        <f>IF($X96="","",SUM(Tabla152[[#This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96" s="16">
        <f t="shared" si="8"/>
        <v>0</v>
      </c>
      <c r="DX96" s="16">
        <f>IF($X96="","",AJ96/$X$10)</f>
        <v>0</v>
      </c>
      <c r="DY96" s="16">
        <f>IF($X96="","",SUM(Tabla152[[#This Row],[PRESENCIA DE COROLA]],Tabla152[[#This Row],[PRESENCIA DE RESTO FLORAL VERDE]],Tabla152[[#This Row],[PRESENCIA DE PEDÚNCULO]])/$X$10)</f>
        <v>1.5873015873015872E-2</v>
      </c>
      <c r="DZ96" s="16">
        <f>IF($X96="","",SUM(Tabla152[[#This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97" spans="1:130" x14ac:dyDescent="0.3">
      <c r="A97" s="9">
        <f>IF(W97="","",IF(ROW()=10,1,IF(W97=W96,A96,MAX($A$9:A96)+1)))</f>
        <v>29</v>
      </c>
      <c r="B97" s="9">
        <f>WEEKNUM(Tabla152[[#This Row],[FECHA DE COSECHA]],21)</f>
        <v>36</v>
      </c>
      <c r="C97" s="9"/>
      <c r="D97" s="17">
        <v>46267</v>
      </c>
      <c r="E97" s="17">
        <v>46267</v>
      </c>
      <c r="F97" s="9">
        <v>1</v>
      </c>
      <c r="G97" s="9" t="s">
        <v>77</v>
      </c>
      <c r="H97" s="9" t="s">
        <v>144</v>
      </c>
      <c r="I97" s="9" t="s">
        <v>134</v>
      </c>
      <c r="J97" s="9" t="s">
        <v>78</v>
      </c>
      <c r="K97" s="9" t="s">
        <v>153</v>
      </c>
      <c r="L97" s="9" t="s">
        <v>131</v>
      </c>
      <c r="M97" s="9" t="s">
        <v>239</v>
      </c>
      <c r="N97" s="9" t="s">
        <v>151</v>
      </c>
      <c r="O97" s="9" t="s">
        <v>244</v>
      </c>
      <c r="P97" s="9" t="s">
        <v>152</v>
      </c>
      <c r="Q97" s="9"/>
      <c r="R97" s="9">
        <v>8</v>
      </c>
      <c r="S97" s="9">
        <v>74547547</v>
      </c>
      <c r="T97" t="s">
        <v>232</v>
      </c>
      <c r="U97" s="9" t="s">
        <v>147</v>
      </c>
      <c r="V97" s="9"/>
      <c r="W97" s="19" t="s">
        <v>181</v>
      </c>
      <c r="X97" s="9">
        <v>61</v>
      </c>
      <c r="Y97" s="9">
        <v>1</v>
      </c>
      <c r="Z97" s="9">
        <v>15</v>
      </c>
      <c r="AA97" s="9" t="str">
        <f>IF(Tabla152[[#This Row],[NOTA]]=15,"CUMPLE","NO CUMPLE")</f>
        <v>CUMPLE</v>
      </c>
      <c r="AB97" s="9" t="str">
        <f>IF(COUNTIF($A$10:A97,A97)=1,IF(COUNTIFS($A:$A,A97,$AA:$AA,"NO CUMPLE")&gt;0,"NO CUMPLE","CUMPLE"),"")</f>
        <v>CUMPLE</v>
      </c>
      <c r="AC97" s="9" t="s">
        <v>140</v>
      </c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7"/>
      <c r="AR97" s="7"/>
      <c r="AS97" s="7">
        <v>3</v>
      </c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18"/>
      <c r="BX97" s="18">
        <f>IF($X97="","",AE97/$X$10)</f>
        <v>0</v>
      </c>
      <c r="BY97" s="18">
        <f>IF($X97="","",AF97/$X$10)</f>
        <v>0</v>
      </c>
      <c r="BZ97" s="18">
        <f>IF($X97="","",AG97/$X$10)</f>
        <v>0</v>
      </c>
      <c r="CA97" s="18">
        <f>IF($X97="","",AH97/$X$10)</f>
        <v>0</v>
      </c>
      <c r="CB97" s="18">
        <f t="shared" si="9"/>
        <v>0</v>
      </c>
      <c r="CC97" s="18">
        <f>IF($X97="","",AJ97/$X$10)</f>
        <v>0</v>
      </c>
      <c r="CD97" s="18">
        <f>IF($X97="","",AK97/$X$10)</f>
        <v>0</v>
      </c>
      <c r="CE97" s="18">
        <f>IF($X97="","",AL97/$X$10)</f>
        <v>0</v>
      </c>
      <c r="CF97" s="18">
        <f>IF($X97="","",AM97/$X$10)</f>
        <v>0</v>
      </c>
      <c r="CG97" s="18">
        <f>IF($X97="","",AN97/$X$10)</f>
        <v>0</v>
      </c>
      <c r="CH97" s="18">
        <f>IF($X97="","",AO97/$X$10)</f>
        <v>0</v>
      </c>
      <c r="CI97" s="18">
        <f>IF($X97="","",AP97/$X$10)</f>
        <v>0</v>
      </c>
      <c r="CJ97" s="18">
        <f>IF($X97="","",AQ97/$X$10)</f>
        <v>0</v>
      </c>
      <c r="CK97" s="18">
        <f>IF($X97="","",AR97/$X$10)</f>
        <v>0</v>
      </c>
      <c r="CL97" s="18">
        <f>IF($X97="","",AS97/$X$10)</f>
        <v>4.7619047619047616E-2</v>
      </c>
      <c r="CM97" s="18">
        <f>IF($X97="","",AT97/$X$10)</f>
        <v>0</v>
      </c>
      <c r="CN97" s="18">
        <f>IF($X97="","",AU97/$X$10)</f>
        <v>0</v>
      </c>
      <c r="CO97" s="18">
        <f>IF($X97="","",AV97/$X$10)</f>
        <v>0</v>
      </c>
      <c r="CP97" s="18">
        <f>IF($X97="","",AW97/$X$10)</f>
        <v>0</v>
      </c>
      <c r="CQ97" s="18">
        <f>IF($X97="","",AX97/$X$10)</f>
        <v>0</v>
      </c>
      <c r="CR97" s="18">
        <f>IF($X97="","",AY97/$X$10)</f>
        <v>0</v>
      </c>
      <c r="CS97" s="18">
        <f>IF($X97="","",AZ97/$X$10)</f>
        <v>0</v>
      </c>
      <c r="CT97" s="18">
        <f>IF($X97="","",BA97/$X$10)</f>
        <v>0</v>
      </c>
      <c r="CU97" s="18">
        <f>IF($X97="","",BB97/$X$10)</f>
        <v>0</v>
      </c>
      <c r="CV97" s="18">
        <f>IF($X97="","",BC97/$X$10)</f>
        <v>0</v>
      </c>
      <c r="CW97" s="18">
        <f>IF($X97="","",BD97/$X$10)</f>
        <v>0</v>
      </c>
      <c r="CX97" s="18">
        <f>IF($X97="","",BE97/$X$10)</f>
        <v>0</v>
      </c>
      <c r="CY97" s="18">
        <f>IF($X97="","",BF97/$X$10)</f>
        <v>0</v>
      </c>
      <c r="CZ97" s="18">
        <f>IF($X97="","",BG97/$X$10)</f>
        <v>0</v>
      </c>
      <c r="DA97" s="18">
        <f>IF($X97="","",BH97/$X$10)</f>
        <v>0</v>
      </c>
      <c r="DB97" s="18">
        <f>IF($X97="","",BI97/$X$10)</f>
        <v>0</v>
      </c>
      <c r="DC97" s="18">
        <f>IF($X97="","",BJ97/$X$10)</f>
        <v>0</v>
      </c>
      <c r="DD97" s="18">
        <f>IF($X97="","",BK97/$X$10)</f>
        <v>0</v>
      </c>
      <c r="DE97" s="18">
        <f>IF($X97="","",BL97/$X$10)</f>
        <v>0</v>
      </c>
      <c r="DF97" s="18">
        <f>IF($X97="","",BM97/$X$10)</f>
        <v>0</v>
      </c>
      <c r="DG97" s="18">
        <f t="shared" si="10"/>
        <v>0</v>
      </c>
      <c r="DH97" s="18">
        <f>IF($X97="","",BO97/$X$10)</f>
        <v>0</v>
      </c>
      <c r="DI97" s="18">
        <f>IF($X97="","",BP97/$X$10)</f>
        <v>0</v>
      </c>
      <c r="DJ97" s="18">
        <f>IF($X97="","",BQ97/$X$10)</f>
        <v>0</v>
      </c>
      <c r="DK97" s="18">
        <f>IF($X97="","",BR97/$X$10)</f>
        <v>0</v>
      </c>
      <c r="DL97" s="18">
        <f>IF($X97="","",BS97/$X$10)</f>
        <v>0</v>
      </c>
      <c r="DM97" s="18">
        <f>IF($X97="","",BT97/$X$10)</f>
        <v>0</v>
      </c>
      <c r="DN97" s="18">
        <f t="shared" si="11"/>
        <v>0</v>
      </c>
      <c r="DO97" s="16">
        <f>IF($X97="","",SUM(Tabla152[[#This Row],[PODRIDO]],Tabla152[[#This Row],[HONGO]],Tabla152[[#This Row],[PICADO DE AVE CON PUDRICIÓN]],Tabla152[[#This Row],[FUMAGINA]])/$X$10)</f>
        <v>0</v>
      </c>
      <c r="DP97" s="16">
        <f>IF($X97="","",SUM(Tabla152[[#This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97" s="16">
        <f>IF($X97="","",SUM(Tabla152[[#This Row],[BLANDO]:[COLAPSADO]])/$X$10)</f>
        <v>0</v>
      </c>
      <c r="DR97" s="16">
        <f>IF($X97="","",SUM(Tabla152[[#This Row],[DESHIDRATADO LEVE]:[DESHIDRATADO INMADURO]])/$X$10)</f>
        <v>4.7619047619047616E-2</v>
      </c>
      <c r="DS97" s="18">
        <f t="shared" si="7"/>
        <v>0</v>
      </c>
      <c r="DT97" s="16">
        <f>IF($X97="","",SUM(Tabla152[[#This Row],[PRESENCIA DE LARVA]],Tabla152[[#This Row],[CHANCHITO BLANCO]])/$X$10)</f>
        <v>0</v>
      </c>
      <c r="DU97" s="18">
        <f>IF($X97="","",SUM(Tabla152[[#This Row],[ROJO GRADO 2 A MÁS]],Tabla152[[#This Row],[IMMADURO VERDE]],Tabla152[[#This Row],[DESORDEN POR MADURACIÓN]],Tabla152[[#This Row],[ARO PEDICELAR VERDE EXTREMO]])/$X$10)</f>
        <v>0</v>
      </c>
      <c r="DV97" s="16">
        <f>IF($X97="","",SUM(Tabla152[[#This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97" s="16">
        <f t="shared" si="8"/>
        <v>0</v>
      </c>
      <c r="DX97" s="16">
        <f>IF($X97="","",AJ97/$X$10)</f>
        <v>0</v>
      </c>
      <c r="DY97" s="16">
        <f>IF($X97="","",SUM(Tabla152[[#This Row],[PRESENCIA DE COROLA]],Tabla152[[#This Row],[PRESENCIA DE RESTO FLORAL VERDE]],Tabla152[[#This Row],[PRESENCIA DE PEDÚNCULO]])/$X$10)</f>
        <v>0</v>
      </c>
      <c r="DZ97" s="16">
        <f>IF($X97="","",SUM(Tabla152[[#This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98" spans="1:130" x14ac:dyDescent="0.3">
      <c r="A98" s="9">
        <f>IF(W98="","",IF(ROW()=10,1,IF(W98=W97,A97,MAX($A$9:A97)+1)))</f>
        <v>29</v>
      </c>
      <c r="B98" s="9">
        <f>WEEKNUM(Tabla152[[#This Row],[FECHA DE COSECHA]],21)</f>
        <v>36</v>
      </c>
      <c r="C98" s="9"/>
      <c r="D98" s="17">
        <v>46267</v>
      </c>
      <c r="E98" s="17">
        <v>46267</v>
      </c>
      <c r="F98" s="9">
        <v>1</v>
      </c>
      <c r="G98" s="9" t="s">
        <v>77</v>
      </c>
      <c r="H98" s="9" t="s">
        <v>144</v>
      </c>
      <c r="I98" s="9" t="s">
        <v>134</v>
      </c>
      <c r="J98" s="9" t="s">
        <v>78</v>
      </c>
      <c r="K98" s="9" t="s">
        <v>153</v>
      </c>
      <c r="L98" s="9" t="s">
        <v>131</v>
      </c>
      <c r="M98" s="9" t="s">
        <v>239</v>
      </c>
      <c r="N98" s="9" t="s">
        <v>151</v>
      </c>
      <c r="O98" s="9" t="s">
        <v>244</v>
      </c>
      <c r="P98" s="9" t="s">
        <v>152</v>
      </c>
      <c r="Q98" s="9"/>
      <c r="R98" s="9">
        <v>8</v>
      </c>
      <c r="S98" s="9">
        <v>74547547</v>
      </c>
      <c r="T98" t="s">
        <v>232</v>
      </c>
      <c r="U98" s="9" t="s">
        <v>147</v>
      </c>
      <c r="V98" s="9"/>
      <c r="W98" s="19" t="s">
        <v>181</v>
      </c>
      <c r="X98" s="9">
        <v>61</v>
      </c>
      <c r="Y98" s="9">
        <v>2</v>
      </c>
      <c r="Z98" s="9">
        <v>15</v>
      </c>
      <c r="AA98" s="9" t="str">
        <f>IF(Tabla152[[#This Row],[NOTA]]=15,"CUMPLE","NO CUMPLE")</f>
        <v>CUMPLE</v>
      </c>
      <c r="AB98" s="9" t="str">
        <f>IF(COUNTIF($A$10:A98,A98)=1,IF(COUNTIFS($A:$A,A98,$AA:$AA,"NO CUMPLE")&gt;0,"NO CUMPLE","CUMPLE"),"")</f>
        <v/>
      </c>
      <c r="AC98" s="9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18"/>
      <c r="BX98" s="18">
        <f>IF($X98="","",AE98/$X$10)</f>
        <v>0</v>
      </c>
      <c r="BY98" s="18">
        <f>IF($X98="","",AF98/$X$10)</f>
        <v>0</v>
      </c>
      <c r="BZ98" s="18">
        <f>IF($X98="","",AG98/$X$10)</f>
        <v>0</v>
      </c>
      <c r="CA98" s="18">
        <f>IF($X98="","",AH98/$X$10)</f>
        <v>0</v>
      </c>
      <c r="CB98" s="18">
        <f t="shared" si="9"/>
        <v>0</v>
      </c>
      <c r="CC98" s="18">
        <f>IF($X98="","",AJ98/$X$10)</f>
        <v>0</v>
      </c>
      <c r="CD98" s="18">
        <f>IF($X98="","",AK98/$X$10)</f>
        <v>0</v>
      </c>
      <c r="CE98" s="18">
        <f>IF($X98="","",AL98/$X$10)</f>
        <v>0</v>
      </c>
      <c r="CF98" s="18">
        <f>IF($X98="","",AM98/$X$10)</f>
        <v>0</v>
      </c>
      <c r="CG98" s="18">
        <f>IF($X98="","",AN98/$X$10)</f>
        <v>0</v>
      </c>
      <c r="CH98" s="18">
        <f>IF($X98="","",AO98/$X$10)</f>
        <v>0</v>
      </c>
      <c r="CI98" s="18">
        <f>IF($X98="","",AP98/$X$10)</f>
        <v>0</v>
      </c>
      <c r="CJ98" s="18">
        <f>IF($X98="","",AQ98/$X$10)</f>
        <v>0</v>
      </c>
      <c r="CK98" s="18">
        <f>IF($X98="","",AR98/$X$10)</f>
        <v>0</v>
      </c>
      <c r="CL98" s="18">
        <f>IF($X98="","",AS98/$X$10)</f>
        <v>0</v>
      </c>
      <c r="CM98" s="18">
        <f>IF($X98="","",AT98/$X$10)</f>
        <v>0</v>
      </c>
      <c r="CN98" s="18">
        <f>IF($X98="","",AU98/$X$10)</f>
        <v>0</v>
      </c>
      <c r="CO98" s="18">
        <f>IF($X98="","",AV98/$X$10)</f>
        <v>0</v>
      </c>
      <c r="CP98" s="18">
        <f>IF($X98="","",AW98/$X$10)</f>
        <v>0</v>
      </c>
      <c r="CQ98" s="18">
        <f>IF($X98="","",AX98/$X$10)</f>
        <v>0</v>
      </c>
      <c r="CR98" s="18">
        <f>IF($X98="","",AY98/$X$10)</f>
        <v>0</v>
      </c>
      <c r="CS98" s="18">
        <f>IF($X98="","",AZ98/$X$10)</f>
        <v>0</v>
      </c>
      <c r="CT98" s="18">
        <f>IF($X98="","",BA98/$X$10)</f>
        <v>0</v>
      </c>
      <c r="CU98" s="18">
        <f>IF($X98="","",BB98/$X$10)</f>
        <v>0</v>
      </c>
      <c r="CV98" s="18">
        <f>IF($X98="","",BC98/$X$10)</f>
        <v>0</v>
      </c>
      <c r="CW98" s="18">
        <f>IF($X98="","",BD98/$X$10)</f>
        <v>0</v>
      </c>
      <c r="CX98" s="18">
        <f>IF($X98="","",BE98/$X$10)</f>
        <v>0</v>
      </c>
      <c r="CY98" s="18">
        <f>IF($X98="","",BF98/$X$10)</f>
        <v>0</v>
      </c>
      <c r="CZ98" s="18">
        <f>IF($X98="","",BG98/$X$10)</f>
        <v>0</v>
      </c>
      <c r="DA98" s="18">
        <f>IF($X98="","",BH98/$X$10)</f>
        <v>0</v>
      </c>
      <c r="DB98" s="18">
        <f>IF($X98="","",BI98/$X$10)</f>
        <v>0</v>
      </c>
      <c r="DC98" s="18">
        <f>IF($X98="","",BJ98/$X$10)</f>
        <v>0</v>
      </c>
      <c r="DD98" s="18">
        <f>IF($X98="","",BK98/$X$10)</f>
        <v>0</v>
      </c>
      <c r="DE98" s="18">
        <f>IF($X98="","",BL98/$X$10)</f>
        <v>0</v>
      </c>
      <c r="DF98" s="18">
        <f>IF($X98="","",BM98/$X$10)</f>
        <v>0</v>
      </c>
      <c r="DG98" s="18">
        <f t="shared" si="10"/>
        <v>0</v>
      </c>
      <c r="DH98" s="18">
        <f>IF($X98="","",BO98/$X$10)</f>
        <v>0</v>
      </c>
      <c r="DI98" s="18">
        <f>IF($X98="","",BP98/$X$10)</f>
        <v>0</v>
      </c>
      <c r="DJ98" s="18">
        <f>IF($X98="","",BQ98/$X$10)</f>
        <v>0</v>
      </c>
      <c r="DK98" s="18">
        <f>IF($X98="","",BR98/$X$10)</f>
        <v>0</v>
      </c>
      <c r="DL98" s="18">
        <f>IF($X98="","",BS98/$X$10)</f>
        <v>0</v>
      </c>
      <c r="DM98" s="18">
        <f>IF($X98="","",BT98/$X$10)</f>
        <v>0</v>
      </c>
      <c r="DN98" s="18">
        <f t="shared" si="11"/>
        <v>0</v>
      </c>
      <c r="DO98" s="16">
        <f>IF($X98="","",SUM(Tabla152[[#This Row],[PODRIDO]],Tabla152[[#This Row],[HONGO]],Tabla152[[#This Row],[PICADO DE AVE CON PUDRICIÓN]],Tabla152[[#This Row],[FUMAGINA]])/$X$10)</f>
        <v>0</v>
      </c>
      <c r="DP98" s="16">
        <f>IF($X98="","",SUM(Tabla152[[#This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98" s="16">
        <f>IF($X98="","",SUM(Tabla152[[#This Row],[BLANDO]:[COLAPSADO]])/$X$10)</f>
        <v>0</v>
      </c>
      <c r="DR98" s="16">
        <f>IF($X98="","",SUM(Tabla152[[#This Row],[DESHIDRATADO LEVE]:[DESHIDRATADO INMADURO]])/$X$10)</f>
        <v>0</v>
      </c>
      <c r="DS98" s="18">
        <f t="shared" si="7"/>
        <v>0</v>
      </c>
      <c r="DT98" s="16">
        <f>IF($X98="","",SUM(Tabla152[[#This Row],[PRESENCIA DE LARVA]],Tabla152[[#This Row],[CHANCHITO BLANCO]])/$X$10)</f>
        <v>0</v>
      </c>
      <c r="DU98" s="18">
        <f>IF($X98="","",SUM(Tabla152[[#This Row],[ROJO GRADO 2 A MÁS]],Tabla152[[#This Row],[IMMADURO VERDE]],Tabla152[[#This Row],[DESORDEN POR MADURACIÓN]],Tabla152[[#This Row],[ARO PEDICELAR VERDE EXTREMO]])/$X$10)</f>
        <v>0</v>
      </c>
      <c r="DV98" s="16">
        <f>IF($X98="","",SUM(Tabla152[[#This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98" s="16">
        <f t="shared" si="8"/>
        <v>0</v>
      </c>
      <c r="DX98" s="16">
        <f>IF($X98="","",AJ98/$X$10)</f>
        <v>0</v>
      </c>
      <c r="DY98" s="16">
        <f>IF($X98="","",SUM(Tabla152[[#This Row],[PRESENCIA DE COROLA]],Tabla152[[#This Row],[PRESENCIA DE RESTO FLORAL VERDE]],Tabla152[[#This Row],[PRESENCIA DE PEDÚNCULO]])/$X$10)</f>
        <v>0</v>
      </c>
      <c r="DZ98" s="16">
        <f>IF($X98="","",SUM(Tabla152[[#This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99" spans="1:130" x14ac:dyDescent="0.3">
      <c r="A99" s="9">
        <f>IF(W99="","",IF(ROW()=10,1,IF(W99=W98,A98,MAX($A$9:A98)+1)))</f>
        <v>29</v>
      </c>
      <c r="B99" s="9">
        <f>WEEKNUM(Tabla152[[#This Row],[FECHA DE COSECHA]],21)</f>
        <v>36</v>
      </c>
      <c r="C99" s="9"/>
      <c r="D99" s="17">
        <v>46267</v>
      </c>
      <c r="E99" s="17">
        <v>46267</v>
      </c>
      <c r="F99" s="9">
        <v>1</v>
      </c>
      <c r="G99" s="9" t="s">
        <v>77</v>
      </c>
      <c r="H99" s="9" t="s">
        <v>144</v>
      </c>
      <c r="I99" s="9" t="s">
        <v>134</v>
      </c>
      <c r="J99" s="9" t="s">
        <v>78</v>
      </c>
      <c r="K99" s="9" t="s">
        <v>153</v>
      </c>
      <c r="L99" s="9" t="s">
        <v>131</v>
      </c>
      <c r="M99" s="9" t="s">
        <v>239</v>
      </c>
      <c r="N99" s="9" t="s">
        <v>151</v>
      </c>
      <c r="O99" s="9" t="s">
        <v>244</v>
      </c>
      <c r="P99" s="9" t="s">
        <v>152</v>
      </c>
      <c r="Q99" s="9"/>
      <c r="R99" s="9">
        <v>8</v>
      </c>
      <c r="S99" s="9">
        <v>74547547</v>
      </c>
      <c r="T99" t="s">
        <v>232</v>
      </c>
      <c r="U99" s="9" t="s">
        <v>147</v>
      </c>
      <c r="V99" s="9"/>
      <c r="W99" s="19" t="s">
        <v>181</v>
      </c>
      <c r="X99" s="9">
        <v>61</v>
      </c>
      <c r="Y99" s="9">
        <v>3</v>
      </c>
      <c r="Z99" s="9">
        <v>15</v>
      </c>
      <c r="AA99" s="9" t="str">
        <f>IF(Tabla152[[#This Row],[NOTA]]=15,"CUMPLE","NO CUMPLE")</f>
        <v>CUMPLE</v>
      </c>
      <c r="AB99" s="9" t="str">
        <f>IF(COUNTIF($A$10:A99,A99)=1,IF(COUNTIFS($A:$A,A99,$AA:$AA,"NO CUMPLE")&gt;0,"NO CUMPLE","CUMPLE"),"")</f>
        <v/>
      </c>
      <c r="AC99" s="9"/>
      <c r="AD99" s="8">
        <v>1</v>
      </c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18"/>
      <c r="BX99" s="18">
        <f>IF($X99="","",AE99/$X$10)</f>
        <v>0</v>
      </c>
      <c r="BY99" s="18">
        <f>IF($X99="","",AF99/$X$10)</f>
        <v>0</v>
      </c>
      <c r="BZ99" s="18">
        <f>IF($X99="","",AG99/$X$10)</f>
        <v>0</v>
      </c>
      <c r="CA99" s="18">
        <f>IF($X99="","",AH99/$X$10)</f>
        <v>0</v>
      </c>
      <c r="CB99" s="18">
        <f t="shared" si="9"/>
        <v>0</v>
      </c>
      <c r="CC99" s="18">
        <f>IF($X99="","",AJ99/$X$10)</f>
        <v>0</v>
      </c>
      <c r="CD99" s="18">
        <f>IF($X99="","",AK99/$X$10)</f>
        <v>0</v>
      </c>
      <c r="CE99" s="18">
        <f>IF($X99="","",AL99/$X$10)</f>
        <v>0</v>
      </c>
      <c r="CF99" s="18">
        <f>IF($X99="","",AM99/$X$10)</f>
        <v>0</v>
      </c>
      <c r="CG99" s="18">
        <f>IF($X99="","",AN99/$X$10)</f>
        <v>0</v>
      </c>
      <c r="CH99" s="18">
        <f>IF($X99="","",AO99/$X$10)</f>
        <v>0</v>
      </c>
      <c r="CI99" s="18">
        <f>IF($X99="","",AP99/$X$10)</f>
        <v>0</v>
      </c>
      <c r="CJ99" s="18">
        <f>IF($X99="","",AQ99/$X$10)</f>
        <v>0</v>
      </c>
      <c r="CK99" s="18">
        <f>IF($X99="","",AR99/$X$10)</f>
        <v>0</v>
      </c>
      <c r="CL99" s="18">
        <f>IF($X99="","",AS99/$X$10)</f>
        <v>0</v>
      </c>
      <c r="CM99" s="18">
        <f>IF($X99="","",AT99/$X$10)</f>
        <v>0</v>
      </c>
      <c r="CN99" s="18">
        <f>IF($X99="","",AU99/$X$10)</f>
        <v>0</v>
      </c>
      <c r="CO99" s="18">
        <f>IF($X99="","",AV99/$X$10)</f>
        <v>0</v>
      </c>
      <c r="CP99" s="18">
        <f>IF($X99="","",AW99/$X$10)</f>
        <v>0</v>
      </c>
      <c r="CQ99" s="18">
        <f>IF($X99="","",AX99/$X$10)</f>
        <v>0</v>
      </c>
      <c r="CR99" s="18">
        <f>IF($X99="","",AY99/$X$10)</f>
        <v>0</v>
      </c>
      <c r="CS99" s="18">
        <f>IF($X99="","",AZ99/$X$10)</f>
        <v>0</v>
      </c>
      <c r="CT99" s="18">
        <f>IF($X99="","",BA99/$X$10)</f>
        <v>0</v>
      </c>
      <c r="CU99" s="18">
        <f>IF($X99="","",BB99/$X$10)</f>
        <v>0</v>
      </c>
      <c r="CV99" s="18">
        <f>IF($X99="","",BC99/$X$10)</f>
        <v>0</v>
      </c>
      <c r="CW99" s="18">
        <f>IF($X99="","",BD99/$X$10)</f>
        <v>0</v>
      </c>
      <c r="CX99" s="18">
        <f>IF($X99="","",BE99/$X$10)</f>
        <v>0</v>
      </c>
      <c r="CY99" s="18">
        <f>IF($X99="","",BF99/$X$10)</f>
        <v>0</v>
      </c>
      <c r="CZ99" s="18">
        <f>IF($X99="","",BG99/$X$10)</f>
        <v>0</v>
      </c>
      <c r="DA99" s="18">
        <f>IF($X99="","",BH99/$X$10)</f>
        <v>0</v>
      </c>
      <c r="DB99" s="18">
        <f>IF($X99="","",BI99/$X$10)</f>
        <v>0</v>
      </c>
      <c r="DC99" s="18">
        <f>IF($X99="","",BJ99/$X$10)</f>
        <v>0</v>
      </c>
      <c r="DD99" s="18">
        <f>IF($X99="","",BK99/$X$10)</f>
        <v>0</v>
      </c>
      <c r="DE99" s="18">
        <f>IF($X99="","",BL99/$X$10)</f>
        <v>0</v>
      </c>
      <c r="DF99" s="18">
        <f>IF($X99="","",BM99/$X$10)</f>
        <v>0</v>
      </c>
      <c r="DG99" s="18">
        <f t="shared" si="10"/>
        <v>0</v>
      </c>
      <c r="DH99" s="18">
        <f>IF($X99="","",BO99/$X$10)</f>
        <v>0</v>
      </c>
      <c r="DI99" s="18">
        <f>IF($X99="","",BP99/$X$10)</f>
        <v>0</v>
      </c>
      <c r="DJ99" s="18">
        <f>IF($X99="","",BQ99/$X$10)</f>
        <v>0</v>
      </c>
      <c r="DK99" s="18">
        <f>IF($X99="","",BR99/$X$10)</f>
        <v>0</v>
      </c>
      <c r="DL99" s="18">
        <f>IF($X99="","",BS99/$X$10)</f>
        <v>0</v>
      </c>
      <c r="DM99" s="18">
        <f>IF($X99="","",BT99/$X$10)</f>
        <v>0</v>
      </c>
      <c r="DN99" s="18">
        <f t="shared" si="11"/>
        <v>0</v>
      </c>
      <c r="DO99" s="16">
        <f>IF($X99="","",SUM(Tabla152[[#This Row],[PODRIDO]],Tabla152[[#This Row],[HONGO]],Tabla152[[#This Row],[PICADO DE AVE CON PUDRICIÓN]],Tabla152[[#This Row],[FUMAGINA]])/$X$10)</f>
        <v>0</v>
      </c>
      <c r="DP99" s="16">
        <f>IF($X99="","",SUM(Tabla152[[#This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99" s="16">
        <f>IF($X99="","",SUM(Tabla152[[#This Row],[BLANDO]:[COLAPSADO]])/$X$10)</f>
        <v>0</v>
      </c>
      <c r="DR99" s="16">
        <f>IF($X99="","",SUM(Tabla152[[#This Row],[DESHIDRATADO LEVE]:[DESHIDRATADO INMADURO]])/$X$10)</f>
        <v>0</v>
      </c>
      <c r="DS99" s="18">
        <f t="shared" si="7"/>
        <v>0</v>
      </c>
      <c r="DT99" s="16">
        <f>IF($X99="","",SUM(Tabla152[[#This Row],[PRESENCIA DE LARVA]],Tabla152[[#This Row],[CHANCHITO BLANCO]])/$X$10)</f>
        <v>0</v>
      </c>
      <c r="DU99" s="18">
        <f>IF($X99="","",SUM(Tabla152[[#This Row],[ROJO GRADO 2 A MÁS]],Tabla152[[#This Row],[IMMADURO VERDE]],Tabla152[[#This Row],[DESORDEN POR MADURACIÓN]],Tabla152[[#This Row],[ARO PEDICELAR VERDE EXTREMO]])/$X$10)</f>
        <v>0</v>
      </c>
      <c r="DV99" s="16">
        <f>IF($X99="","",SUM(Tabla152[[#This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99" s="16">
        <f t="shared" si="8"/>
        <v>0</v>
      </c>
      <c r="DX99" s="16">
        <f>IF($X99="","",AJ99/$X$10)</f>
        <v>0</v>
      </c>
      <c r="DY99" s="16">
        <f>IF($X99="","",SUM(Tabla152[[#This Row],[PRESENCIA DE COROLA]],Tabla152[[#This Row],[PRESENCIA DE RESTO FLORAL VERDE]],Tabla152[[#This Row],[PRESENCIA DE PEDÚNCULO]])/$X$10)</f>
        <v>0</v>
      </c>
      <c r="DZ99" s="16">
        <f>IF($X99="","",SUM(Tabla152[[#This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1.5873015873015872E-2</v>
      </c>
    </row>
    <row r="100" spans="1:130" x14ac:dyDescent="0.3">
      <c r="A100" s="9">
        <f>IF(W100="","",IF(ROW()=10,1,IF(W100=W99,A99,MAX($A$9:A99)+1)))</f>
        <v>30</v>
      </c>
      <c r="B100" s="9">
        <f>WEEKNUM(Tabla152[[#This Row],[FECHA DE COSECHA]],21)</f>
        <v>36</v>
      </c>
      <c r="C100" s="9"/>
      <c r="D100" s="17">
        <v>46267</v>
      </c>
      <c r="E100" s="17">
        <v>46267</v>
      </c>
      <c r="F100" s="9">
        <v>1</v>
      </c>
      <c r="G100" s="9" t="s">
        <v>77</v>
      </c>
      <c r="H100" s="9" t="s">
        <v>144</v>
      </c>
      <c r="I100" s="9" t="s">
        <v>134</v>
      </c>
      <c r="J100" s="9" t="s">
        <v>78</v>
      </c>
      <c r="K100" s="9" t="s">
        <v>153</v>
      </c>
      <c r="L100" s="9" t="s">
        <v>131</v>
      </c>
      <c r="M100" s="9" t="s">
        <v>239</v>
      </c>
      <c r="N100" s="9" t="s">
        <v>151</v>
      </c>
      <c r="O100" s="9" t="s">
        <v>244</v>
      </c>
      <c r="P100" s="9" t="s">
        <v>152</v>
      </c>
      <c r="Q100" s="9"/>
      <c r="R100" s="9">
        <v>8</v>
      </c>
      <c r="S100" s="9">
        <v>74547547</v>
      </c>
      <c r="T100" t="s">
        <v>232</v>
      </c>
      <c r="U100" s="9" t="s">
        <v>147</v>
      </c>
      <c r="V100" s="9"/>
      <c r="W100" s="19" t="s">
        <v>182</v>
      </c>
      <c r="X100" s="9">
        <v>61</v>
      </c>
      <c r="Y100" s="9">
        <v>1</v>
      </c>
      <c r="Z100" s="9">
        <v>5</v>
      </c>
      <c r="AA100" s="9" t="str">
        <f>IF(Tabla152[[#This Row],[NOTA]]=15,"CUMPLE","NO CUMPLE")</f>
        <v>NO CUMPLE</v>
      </c>
      <c r="AB100" s="9" t="str">
        <f>IF(COUNTIF($A$10:A100,A100)=1,IF(COUNTIFS($A:$A,A100,$AA:$AA,"NO CUMPLE")&gt;0,"NO CUMPLE","CUMPLE"),"")</f>
        <v>NO CUMPLE</v>
      </c>
      <c r="AC100" s="9" t="s">
        <v>140</v>
      </c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7"/>
      <c r="AR100" s="7"/>
      <c r="AS100" s="7"/>
      <c r="AT100" s="7">
        <v>2</v>
      </c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18"/>
      <c r="BX100" s="18">
        <f>IF($X100="","",AE100/$X$10)</f>
        <v>0</v>
      </c>
      <c r="BY100" s="18">
        <f>IF($X100="","",AF100/$X$10)</f>
        <v>0</v>
      </c>
      <c r="BZ100" s="18">
        <f>IF($X100="","",AG100/$X$10)</f>
        <v>0</v>
      </c>
      <c r="CA100" s="18">
        <f>IF($X100="","",AH100/$X$10)</f>
        <v>0</v>
      </c>
      <c r="CB100" s="18">
        <f t="shared" si="9"/>
        <v>0</v>
      </c>
      <c r="CC100" s="18">
        <f>IF($X100="","",AJ100/$X$10)</f>
        <v>0</v>
      </c>
      <c r="CD100" s="18">
        <f>IF($X100="","",AK100/$X$10)</f>
        <v>0</v>
      </c>
      <c r="CE100" s="18">
        <f>IF($X100="","",AL100/$X$10)</f>
        <v>0</v>
      </c>
      <c r="CF100" s="18">
        <f>IF($X100="","",AM100/$X$10)</f>
        <v>0</v>
      </c>
      <c r="CG100" s="18">
        <f>IF($X100="","",AN100/$X$10)</f>
        <v>0</v>
      </c>
      <c r="CH100" s="18">
        <f>IF($X100="","",AO100/$X$10)</f>
        <v>0</v>
      </c>
      <c r="CI100" s="18">
        <f>IF($X100="","",AP100/$X$10)</f>
        <v>0</v>
      </c>
      <c r="CJ100" s="18">
        <f>IF($X100="","",AQ100/$X$10)</f>
        <v>0</v>
      </c>
      <c r="CK100" s="18">
        <f>IF($X100="","",AR100/$X$10)</f>
        <v>0</v>
      </c>
      <c r="CL100" s="18">
        <f>IF($X100="","",AS100/$X$10)</f>
        <v>0</v>
      </c>
      <c r="CM100" s="18">
        <f>IF($X100="","",AT100/$X$10)</f>
        <v>3.1746031746031744E-2</v>
      </c>
      <c r="CN100" s="18">
        <f>IF($X100="","",AU100/$X$10)</f>
        <v>0</v>
      </c>
      <c r="CO100" s="18">
        <f>IF($X100="","",AV100/$X$10)</f>
        <v>0</v>
      </c>
      <c r="CP100" s="18">
        <f>IF($X100="","",AW100/$X$10)</f>
        <v>0</v>
      </c>
      <c r="CQ100" s="18">
        <f>IF($X100="","",AX100/$X$10)</f>
        <v>0</v>
      </c>
      <c r="CR100" s="18">
        <f>IF($X100="","",AY100/$X$10)</f>
        <v>0</v>
      </c>
      <c r="CS100" s="18">
        <f>IF($X100="","",AZ100/$X$10)</f>
        <v>0</v>
      </c>
      <c r="CT100" s="18">
        <f>IF($X100="","",BA100/$X$10)</f>
        <v>0</v>
      </c>
      <c r="CU100" s="18">
        <f>IF($X100="","",BB100/$X$10)</f>
        <v>0</v>
      </c>
      <c r="CV100" s="18">
        <f>IF($X100="","",BC100/$X$10)</f>
        <v>0</v>
      </c>
      <c r="CW100" s="18">
        <f>IF($X100="","",BD100/$X$10)</f>
        <v>0</v>
      </c>
      <c r="CX100" s="18">
        <f>IF($X100="","",BE100/$X$10)</f>
        <v>0</v>
      </c>
      <c r="CY100" s="18">
        <f>IF($X100="","",BF100/$X$10)</f>
        <v>0</v>
      </c>
      <c r="CZ100" s="18">
        <f>IF($X100="","",BG100/$X$10)</f>
        <v>0</v>
      </c>
      <c r="DA100" s="18">
        <f>IF($X100="","",BH100/$X$10)</f>
        <v>0</v>
      </c>
      <c r="DB100" s="18">
        <f>IF($X100="","",BI100/$X$10)</f>
        <v>0</v>
      </c>
      <c r="DC100" s="18">
        <f>IF($X100="","",BJ100/$X$10)</f>
        <v>0</v>
      </c>
      <c r="DD100" s="18">
        <f>IF($X100="","",BK100/$X$10)</f>
        <v>0</v>
      </c>
      <c r="DE100" s="18">
        <f>IF($X100="","",BL100/$X$10)</f>
        <v>0</v>
      </c>
      <c r="DF100" s="18">
        <f>IF($X100="","",BM100/$X$10)</f>
        <v>0</v>
      </c>
      <c r="DG100" s="18">
        <f t="shared" si="10"/>
        <v>0</v>
      </c>
      <c r="DH100" s="18">
        <f>IF($X100="","",BO100/$X$10)</f>
        <v>0</v>
      </c>
      <c r="DI100" s="18">
        <f>IF($X100="","",BP100/$X$10)</f>
        <v>0</v>
      </c>
      <c r="DJ100" s="18">
        <f>IF($X100="","",BQ100/$X$10)</f>
        <v>0</v>
      </c>
      <c r="DK100" s="18">
        <f>IF($X100="","",BR100/$X$10)</f>
        <v>0</v>
      </c>
      <c r="DL100" s="18">
        <f>IF($X100="","",BS100/$X$10)</f>
        <v>0</v>
      </c>
      <c r="DM100" s="18">
        <f>IF($X100="","",BT100/$X$10)</f>
        <v>0</v>
      </c>
      <c r="DN100" s="18">
        <f t="shared" si="11"/>
        <v>0</v>
      </c>
      <c r="DO100" s="16">
        <f>IF($X100="","",SUM(Tabla152[[#This Row],[PODRIDO]],Tabla152[[#This Row],[HONGO]],Tabla152[[#This Row],[PICADO DE AVE CON PUDRICIÓN]],Tabla152[[#This Row],[FUMAGINA]])/$X$10)</f>
        <v>0</v>
      </c>
      <c r="DP100" s="16">
        <f>IF($X100="","",SUM(Tabla152[[#This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100" s="16">
        <f>IF($X100="","",SUM(Tabla152[[#This Row],[BLANDO]:[COLAPSADO]])/$X$10)</f>
        <v>0</v>
      </c>
      <c r="DR100" s="16">
        <f>IF($X100="","",SUM(Tabla152[[#This Row],[DESHIDRATADO LEVE]:[DESHIDRATADO INMADURO]])/$X$10)</f>
        <v>0</v>
      </c>
      <c r="DS100" s="18">
        <f t="shared" si="7"/>
        <v>0</v>
      </c>
      <c r="DT100" s="16">
        <f>IF($X100="","",SUM(Tabla152[[#This Row],[PRESENCIA DE LARVA]],Tabla152[[#This Row],[CHANCHITO BLANCO]])/$X$10)</f>
        <v>0</v>
      </c>
      <c r="DU100" s="18">
        <f>IF($X100="","",SUM(Tabla152[[#This Row],[ROJO GRADO 2 A MÁS]],Tabla152[[#This Row],[IMMADURO VERDE]],Tabla152[[#This Row],[DESORDEN POR MADURACIÓN]],Tabla152[[#This Row],[ARO PEDICELAR VERDE EXTREMO]])/$X$10)</f>
        <v>0</v>
      </c>
      <c r="DV100" s="16">
        <f>IF($X100="","",SUM(Tabla152[[#This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00" s="16">
        <f t="shared" si="8"/>
        <v>0</v>
      </c>
      <c r="DX100" s="16">
        <f>IF($X100="","",AJ100/$X$10)</f>
        <v>0</v>
      </c>
      <c r="DY100" s="16">
        <f>IF($X100="","",SUM(Tabla152[[#This Row],[PRESENCIA DE COROLA]],Tabla152[[#This Row],[PRESENCIA DE RESTO FLORAL VERDE]],Tabla152[[#This Row],[PRESENCIA DE PEDÚNCULO]])/$X$10)</f>
        <v>0</v>
      </c>
      <c r="DZ100" s="16">
        <f>IF($X100="","",SUM(Tabla152[[#This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01" spans="1:130" x14ac:dyDescent="0.3">
      <c r="A101" s="9">
        <f>IF(W101="","",IF(ROW()=10,1,IF(W101=W100,A100,MAX($A$9:A100)+1)))</f>
        <v>30</v>
      </c>
      <c r="B101" s="9">
        <f>WEEKNUM(Tabla152[[#This Row],[FECHA DE COSECHA]],21)</f>
        <v>36</v>
      </c>
      <c r="C101" s="9"/>
      <c r="D101" s="17">
        <v>46267</v>
      </c>
      <c r="E101" s="17">
        <v>46267</v>
      </c>
      <c r="F101" s="9">
        <v>1</v>
      </c>
      <c r="G101" s="9" t="s">
        <v>77</v>
      </c>
      <c r="H101" s="9" t="s">
        <v>144</v>
      </c>
      <c r="I101" s="9" t="s">
        <v>134</v>
      </c>
      <c r="J101" s="9" t="s">
        <v>78</v>
      </c>
      <c r="K101" s="9" t="s">
        <v>153</v>
      </c>
      <c r="L101" s="9" t="s">
        <v>131</v>
      </c>
      <c r="M101" s="9" t="s">
        <v>239</v>
      </c>
      <c r="N101" s="9" t="s">
        <v>151</v>
      </c>
      <c r="O101" s="9" t="s">
        <v>244</v>
      </c>
      <c r="P101" s="9" t="s">
        <v>152</v>
      </c>
      <c r="Q101" s="9"/>
      <c r="R101" s="9">
        <v>8</v>
      </c>
      <c r="S101" s="9">
        <v>74547547</v>
      </c>
      <c r="T101" t="s">
        <v>232</v>
      </c>
      <c r="U101" s="9" t="s">
        <v>147</v>
      </c>
      <c r="V101" s="9"/>
      <c r="W101" s="19" t="s">
        <v>182</v>
      </c>
      <c r="X101" s="9">
        <v>61</v>
      </c>
      <c r="Y101" s="9">
        <v>2</v>
      </c>
      <c r="Z101" s="9">
        <v>5</v>
      </c>
      <c r="AA101" s="9" t="str">
        <f>IF(Tabla152[[#This Row],[NOTA]]=15,"CUMPLE","NO CUMPLE")</f>
        <v>NO CUMPLE</v>
      </c>
      <c r="AB101" s="9" t="str">
        <f>IF(COUNTIF($A$10:A101,A101)=1,IF(COUNTIFS($A:$A,A101,$AA:$AA,"NO CUMPLE")&gt;0,"NO CUMPLE","CUMPLE"),"")</f>
        <v/>
      </c>
      <c r="AC101" s="9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7"/>
      <c r="AR101" s="7"/>
      <c r="AS101" s="7"/>
      <c r="AT101" s="7">
        <v>2</v>
      </c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18"/>
      <c r="BX101" s="18">
        <f>IF($X101="","",AE101/$X$10)</f>
        <v>0</v>
      </c>
      <c r="BY101" s="18">
        <f>IF($X101="","",AF101/$X$10)</f>
        <v>0</v>
      </c>
      <c r="BZ101" s="18">
        <f>IF($X101="","",AG101/$X$10)</f>
        <v>0</v>
      </c>
      <c r="CA101" s="18">
        <f>IF($X101="","",AH101/$X$10)</f>
        <v>0</v>
      </c>
      <c r="CB101" s="18">
        <f t="shared" si="9"/>
        <v>0</v>
      </c>
      <c r="CC101" s="18">
        <f>IF($X101="","",AJ101/$X$10)</f>
        <v>0</v>
      </c>
      <c r="CD101" s="18">
        <f>IF($X101="","",AK101/$X$10)</f>
        <v>0</v>
      </c>
      <c r="CE101" s="18">
        <f>IF($X101="","",AL101/$X$10)</f>
        <v>0</v>
      </c>
      <c r="CF101" s="18">
        <f>IF($X101="","",AM101/$X$10)</f>
        <v>0</v>
      </c>
      <c r="CG101" s="18">
        <f>IF($X101="","",AN101/$X$10)</f>
        <v>0</v>
      </c>
      <c r="CH101" s="18">
        <f>IF($X101="","",AO101/$X$10)</f>
        <v>0</v>
      </c>
      <c r="CI101" s="18">
        <f>IF($X101="","",AP101/$X$10)</f>
        <v>0</v>
      </c>
      <c r="CJ101" s="18">
        <f>IF($X101="","",AQ101/$X$10)</f>
        <v>0</v>
      </c>
      <c r="CK101" s="18">
        <f>IF($X101="","",AR101/$X$10)</f>
        <v>0</v>
      </c>
      <c r="CL101" s="18">
        <f>IF($X101="","",AS101/$X$10)</f>
        <v>0</v>
      </c>
      <c r="CM101" s="18">
        <f>IF($X101="","",AT101/$X$10)</f>
        <v>3.1746031746031744E-2</v>
      </c>
      <c r="CN101" s="18">
        <f>IF($X101="","",AU101/$X$10)</f>
        <v>0</v>
      </c>
      <c r="CO101" s="18">
        <f>IF($X101="","",AV101/$X$10)</f>
        <v>0</v>
      </c>
      <c r="CP101" s="18">
        <f>IF($X101="","",AW101/$X$10)</f>
        <v>0</v>
      </c>
      <c r="CQ101" s="18">
        <f>IF($X101="","",AX101/$X$10)</f>
        <v>0</v>
      </c>
      <c r="CR101" s="18">
        <f>IF($X101="","",AY101/$X$10)</f>
        <v>0</v>
      </c>
      <c r="CS101" s="18">
        <f>IF($X101="","",AZ101/$X$10)</f>
        <v>0</v>
      </c>
      <c r="CT101" s="18">
        <f>IF($X101="","",BA101/$X$10)</f>
        <v>0</v>
      </c>
      <c r="CU101" s="18">
        <f>IF($X101="","",BB101/$X$10)</f>
        <v>0</v>
      </c>
      <c r="CV101" s="18">
        <f>IF($X101="","",BC101/$X$10)</f>
        <v>0</v>
      </c>
      <c r="CW101" s="18">
        <f>IF($X101="","",BD101/$X$10)</f>
        <v>0</v>
      </c>
      <c r="CX101" s="18">
        <f>IF($X101="","",BE101/$X$10)</f>
        <v>0</v>
      </c>
      <c r="CY101" s="18">
        <f>IF($X101="","",BF101/$X$10)</f>
        <v>0</v>
      </c>
      <c r="CZ101" s="18">
        <f>IF($X101="","",BG101/$X$10)</f>
        <v>0</v>
      </c>
      <c r="DA101" s="18">
        <f>IF($X101="","",BH101/$X$10)</f>
        <v>0</v>
      </c>
      <c r="DB101" s="18">
        <f>IF($X101="","",BI101/$X$10)</f>
        <v>0</v>
      </c>
      <c r="DC101" s="18">
        <f>IF($X101="","",BJ101/$X$10)</f>
        <v>0</v>
      </c>
      <c r="DD101" s="18">
        <f>IF($X101="","",BK101/$X$10)</f>
        <v>0</v>
      </c>
      <c r="DE101" s="18">
        <f>IF($X101="","",BL101/$X$10)</f>
        <v>0</v>
      </c>
      <c r="DF101" s="18">
        <f>IF($X101="","",BM101/$X$10)</f>
        <v>0</v>
      </c>
      <c r="DG101" s="18">
        <f t="shared" si="10"/>
        <v>0</v>
      </c>
      <c r="DH101" s="18">
        <f>IF($X101="","",BO101/$X$10)</f>
        <v>0</v>
      </c>
      <c r="DI101" s="18">
        <f>IF($X101="","",BP101/$X$10)</f>
        <v>0</v>
      </c>
      <c r="DJ101" s="18">
        <f>IF($X101="","",BQ101/$X$10)</f>
        <v>0</v>
      </c>
      <c r="DK101" s="18">
        <f>IF($X101="","",BR101/$X$10)</f>
        <v>0</v>
      </c>
      <c r="DL101" s="18">
        <f>IF($X101="","",BS101/$X$10)</f>
        <v>0</v>
      </c>
      <c r="DM101" s="18">
        <f>IF($X101="","",BT101/$X$10)</f>
        <v>0</v>
      </c>
      <c r="DN101" s="18">
        <f t="shared" si="11"/>
        <v>0</v>
      </c>
      <c r="DO101" s="16">
        <f>IF($X101="","",SUM(Tabla152[[#This Row],[PODRIDO]],Tabla152[[#This Row],[HONGO]],Tabla152[[#This Row],[PICADO DE AVE CON PUDRICIÓN]],Tabla152[[#This Row],[FUMAGINA]])/$X$10)</f>
        <v>0</v>
      </c>
      <c r="DP101" s="16">
        <f>IF($X101="","",SUM(Tabla152[[#This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101" s="16">
        <f>IF($X101="","",SUM(Tabla152[[#This Row],[BLANDO]:[COLAPSADO]])/$X$10)</f>
        <v>0</v>
      </c>
      <c r="DR101" s="16">
        <f>IF($X101="","",SUM(Tabla152[[#This Row],[DESHIDRATADO LEVE]:[DESHIDRATADO INMADURO]])/$X$10)</f>
        <v>0</v>
      </c>
      <c r="DS101" s="18">
        <f t="shared" si="7"/>
        <v>0</v>
      </c>
      <c r="DT101" s="16">
        <f>IF($X101="","",SUM(Tabla152[[#This Row],[PRESENCIA DE LARVA]],Tabla152[[#This Row],[CHANCHITO BLANCO]])/$X$10)</f>
        <v>0</v>
      </c>
      <c r="DU101" s="18">
        <f>IF($X101="","",SUM(Tabla152[[#This Row],[ROJO GRADO 2 A MÁS]],Tabla152[[#This Row],[IMMADURO VERDE]],Tabla152[[#This Row],[DESORDEN POR MADURACIÓN]],Tabla152[[#This Row],[ARO PEDICELAR VERDE EXTREMO]])/$X$10)</f>
        <v>0</v>
      </c>
      <c r="DV101" s="16">
        <f>IF($X101="","",SUM(Tabla152[[#This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01" s="16">
        <f t="shared" si="8"/>
        <v>0</v>
      </c>
      <c r="DX101" s="16">
        <f>IF($X101="","",AJ101/$X$10)</f>
        <v>0</v>
      </c>
      <c r="DY101" s="16">
        <f>IF($X101="","",SUM(Tabla152[[#This Row],[PRESENCIA DE COROLA]],Tabla152[[#This Row],[PRESENCIA DE RESTO FLORAL VERDE]],Tabla152[[#This Row],[PRESENCIA DE PEDÚNCULO]])/$X$10)</f>
        <v>0</v>
      </c>
      <c r="DZ101" s="16">
        <f>IF($X101="","",SUM(Tabla152[[#This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02" spans="1:130" x14ac:dyDescent="0.3">
      <c r="A102" s="9">
        <f>IF(W102="","",IF(ROW()=10,1,IF(W102=W101,A101,MAX($A$9:A101)+1)))</f>
        <v>30</v>
      </c>
      <c r="B102" s="9">
        <f>WEEKNUM(Tabla152[[#This Row],[FECHA DE COSECHA]],21)</f>
        <v>36</v>
      </c>
      <c r="C102" s="9"/>
      <c r="D102" s="17">
        <v>46267</v>
      </c>
      <c r="E102" s="17">
        <v>46267</v>
      </c>
      <c r="F102" s="9">
        <v>1</v>
      </c>
      <c r="G102" s="9" t="s">
        <v>77</v>
      </c>
      <c r="H102" s="9" t="s">
        <v>144</v>
      </c>
      <c r="I102" s="9" t="s">
        <v>134</v>
      </c>
      <c r="J102" s="9" t="s">
        <v>78</v>
      </c>
      <c r="K102" s="9" t="s">
        <v>153</v>
      </c>
      <c r="L102" s="9" t="s">
        <v>131</v>
      </c>
      <c r="M102" s="9" t="s">
        <v>239</v>
      </c>
      <c r="N102" s="9" t="s">
        <v>151</v>
      </c>
      <c r="O102" s="9" t="s">
        <v>244</v>
      </c>
      <c r="P102" s="9" t="s">
        <v>152</v>
      </c>
      <c r="Q102" s="9"/>
      <c r="R102" s="9">
        <v>8</v>
      </c>
      <c r="S102" s="9">
        <v>74547547</v>
      </c>
      <c r="T102" t="s">
        <v>232</v>
      </c>
      <c r="U102" s="9" t="s">
        <v>147</v>
      </c>
      <c r="V102" s="9"/>
      <c r="W102" s="19" t="s">
        <v>182</v>
      </c>
      <c r="X102" s="9">
        <v>61</v>
      </c>
      <c r="Y102" s="9">
        <v>3</v>
      </c>
      <c r="Z102" s="9">
        <v>5</v>
      </c>
      <c r="AA102" s="9" t="str">
        <f>IF(Tabla152[[#This Row],[NOTA]]=15,"CUMPLE","NO CUMPLE")</f>
        <v>NO CUMPLE</v>
      </c>
      <c r="AB102" s="9" t="str">
        <f>IF(COUNTIF($A$10:A102,A102)=1,IF(COUNTIFS($A:$A,A102,$AA:$AA,"NO CUMPLE")&gt;0,"NO CUMPLE","CUMPLE"),"")</f>
        <v/>
      </c>
      <c r="AC102" s="9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7"/>
      <c r="AR102" s="7"/>
      <c r="AS102" s="7"/>
      <c r="AT102" s="7">
        <v>2</v>
      </c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18"/>
      <c r="BX102" s="18">
        <f>IF($X102="","",AE102/$X$10)</f>
        <v>0</v>
      </c>
      <c r="BY102" s="18">
        <f>IF($X102="","",AF102/$X$10)</f>
        <v>0</v>
      </c>
      <c r="BZ102" s="18">
        <f>IF($X102="","",AG102/$X$10)</f>
        <v>0</v>
      </c>
      <c r="CA102" s="18">
        <f>IF($X102="","",AH102/$X$10)</f>
        <v>0</v>
      </c>
      <c r="CB102" s="18">
        <f t="shared" si="9"/>
        <v>0</v>
      </c>
      <c r="CC102" s="18">
        <f>IF($X102="","",AJ102/$X$10)</f>
        <v>0</v>
      </c>
      <c r="CD102" s="18">
        <f>IF($X102="","",AK102/$X$10)</f>
        <v>0</v>
      </c>
      <c r="CE102" s="18">
        <f>IF($X102="","",AL102/$X$10)</f>
        <v>0</v>
      </c>
      <c r="CF102" s="18">
        <f>IF($X102="","",AM102/$X$10)</f>
        <v>0</v>
      </c>
      <c r="CG102" s="18">
        <f>IF($X102="","",AN102/$X$10)</f>
        <v>0</v>
      </c>
      <c r="CH102" s="18">
        <f>IF($X102="","",AO102/$X$10)</f>
        <v>0</v>
      </c>
      <c r="CI102" s="18">
        <f>IF($X102="","",AP102/$X$10)</f>
        <v>0</v>
      </c>
      <c r="CJ102" s="18">
        <f>IF($X102="","",AQ102/$X$10)</f>
        <v>0</v>
      </c>
      <c r="CK102" s="18">
        <f>IF($X102="","",AR102/$X$10)</f>
        <v>0</v>
      </c>
      <c r="CL102" s="18">
        <f>IF($X102="","",AS102/$X$10)</f>
        <v>0</v>
      </c>
      <c r="CM102" s="18">
        <f>IF($X102="","",AT102/$X$10)</f>
        <v>3.1746031746031744E-2</v>
      </c>
      <c r="CN102" s="18">
        <f>IF($X102="","",AU102/$X$10)</f>
        <v>0</v>
      </c>
      <c r="CO102" s="18">
        <f>IF($X102="","",AV102/$X$10)</f>
        <v>0</v>
      </c>
      <c r="CP102" s="18">
        <f>IF($X102="","",AW102/$X$10)</f>
        <v>0</v>
      </c>
      <c r="CQ102" s="18">
        <f>IF($X102="","",AX102/$X$10)</f>
        <v>0</v>
      </c>
      <c r="CR102" s="18">
        <f>IF($X102="","",AY102/$X$10)</f>
        <v>0</v>
      </c>
      <c r="CS102" s="18">
        <f>IF($X102="","",AZ102/$X$10)</f>
        <v>0</v>
      </c>
      <c r="CT102" s="18">
        <f>IF($X102="","",BA102/$X$10)</f>
        <v>0</v>
      </c>
      <c r="CU102" s="18">
        <f>IF($X102="","",BB102/$X$10)</f>
        <v>0</v>
      </c>
      <c r="CV102" s="18">
        <f>IF($X102="","",BC102/$X$10)</f>
        <v>0</v>
      </c>
      <c r="CW102" s="18">
        <f>IF($X102="","",BD102/$X$10)</f>
        <v>0</v>
      </c>
      <c r="CX102" s="18">
        <f>IF($X102="","",BE102/$X$10)</f>
        <v>0</v>
      </c>
      <c r="CY102" s="18">
        <f>IF($X102="","",BF102/$X$10)</f>
        <v>0</v>
      </c>
      <c r="CZ102" s="18">
        <f>IF($X102="","",BG102/$X$10)</f>
        <v>0</v>
      </c>
      <c r="DA102" s="18">
        <f>IF($X102="","",BH102/$X$10)</f>
        <v>0</v>
      </c>
      <c r="DB102" s="18">
        <f>IF($X102="","",BI102/$X$10)</f>
        <v>0</v>
      </c>
      <c r="DC102" s="18">
        <f>IF($X102="","",BJ102/$X$10)</f>
        <v>0</v>
      </c>
      <c r="DD102" s="18">
        <f>IF($X102="","",BK102/$X$10)</f>
        <v>0</v>
      </c>
      <c r="DE102" s="18">
        <f>IF($X102="","",BL102/$X$10)</f>
        <v>0</v>
      </c>
      <c r="DF102" s="18">
        <f>IF($X102="","",BM102/$X$10)</f>
        <v>0</v>
      </c>
      <c r="DG102" s="18">
        <f t="shared" si="10"/>
        <v>0</v>
      </c>
      <c r="DH102" s="18">
        <f>IF($X102="","",BO102/$X$10)</f>
        <v>0</v>
      </c>
      <c r="DI102" s="18">
        <f>IF($X102="","",BP102/$X$10)</f>
        <v>0</v>
      </c>
      <c r="DJ102" s="18">
        <f>IF($X102="","",BQ102/$X$10)</f>
        <v>0</v>
      </c>
      <c r="DK102" s="18">
        <f>IF($X102="","",BR102/$X$10)</f>
        <v>0</v>
      </c>
      <c r="DL102" s="18">
        <f>IF($X102="","",BS102/$X$10)</f>
        <v>0</v>
      </c>
      <c r="DM102" s="18">
        <f>IF($X102="","",BT102/$X$10)</f>
        <v>0</v>
      </c>
      <c r="DN102" s="18">
        <f t="shared" si="11"/>
        <v>0</v>
      </c>
      <c r="DO102" s="16">
        <f>IF($X102="","",SUM(Tabla152[[#This Row],[PODRIDO]],Tabla152[[#This Row],[HONGO]],Tabla152[[#This Row],[PICADO DE AVE CON PUDRICIÓN]],Tabla152[[#This Row],[FUMAGINA]])/$X$10)</f>
        <v>0</v>
      </c>
      <c r="DP102" s="16">
        <f>IF($X102="","",SUM(Tabla152[[#This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102" s="16">
        <f>IF($X102="","",SUM(Tabla152[[#This Row],[BLANDO]:[COLAPSADO]])/$X$10)</f>
        <v>0</v>
      </c>
      <c r="DR102" s="16">
        <f>IF($X102="","",SUM(Tabla152[[#This Row],[DESHIDRATADO LEVE]:[DESHIDRATADO INMADURO]])/$X$10)</f>
        <v>0</v>
      </c>
      <c r="DS102" s="18">
        <f t="shared" si="7"/>
        <v>0</v>
      </c>
      <c r="DT102" s="16">
        <f>IF($X102="","",SUM(Tabla152[[#This Row],[PRESENCIA DE LARVA]],Tabla152[[#This Row],[CHANCHITO BLANCO]])/$X$10)</f>
        <v>0</v>
      </c>
      <c r="DU102" s="18">
        <f>IF($X102="","",SUM(Tabla152[[#This Row],[ROJO GRADO 2 A MÁS]],Tabla152[[#This Row],[IMMADURO VERDE]],Tabla152[[#This Row],[DESORDEN POR MADURACIÓN]],Tabla152[[#This Row],[ARO PEDICELAR VERDE EXTREMO]])/$X$10)</f>
        <v>0</v>
      </c>
      <c r="DV102" s="16">
        <f>IF($X102="","",SUM(Tabla152[[#This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02" s="16">
        <f t="shared" si="8"/>
        <v>0</v>
      </c>
      <c r="DX102" s="16">
        <f>IF($X102="","",AJ102/$X$10)</f>
        <v>0</v>
      </c>
      <c r="DY102" s="16">
        <f>IF($X102="","",SUM(Tabla152[[#This Row],[PRESENCIA DE COROLA]],Tabla152[[#This Row],[PRESENCIA DE RESTO FLORAL VERDE]],Tabla152[[#This Row],[PRESENCIA DE PEDÚNCULO]])/$X$10)</f>
        <v>0</v>
      </c>
      <c r="DZ102" s="16">
        <f>IF($X102="","",SUM(Tabla152[[#This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03" spans="1:130" x14ac:dyDescent="0.3">
      <c r="A103" s="9">
        <f>IF(W103="","",IF(ROW()=10,1,IF(W103=W102,A102,MAX($A$9:A102)+1)))</f>
        <v>31</v>
      </c>
      <c r="B103" s="9">
        <f>WEEKNUM(Tabla152[[#This Row],[FECHA DE COSECHA]],21)</f>
        <v>36</v>
      </c>
      <c r="C103" s="9"/>
      <c r="D103" s="17">
        <v>46267</v>
      </c>
      <c r="E103" s="17">
        <v>46267</v>
      </c>
      <c r="F103" s="9">
        <v>1</v>
      </c>
      <c r="G103" s="9" t="s">
        <v>77</v>
      </c>
      <c r="H103" s="9" t="s">
        <v>144</v>
      </c>
      <c r="I103" s="9" t="s">
        <v>134</v>
      </c>
      <c r="J103" s="9" t="s">
        <v>78</v>
      </c>
      <c r="K103" s="9" t="s">
        <v>153</v>
      </c>
      <c r="L103" s="9" t="s">
        <v>131</v>
      </c>
      <c r="M103" s="9" t="s">
        <v>239</v>
      </c>
      <c r="N103" s="9" t="s">
        <v>151</v>
      </c>
      <c r="O103" s="9" t="s">
        <v>244</v>
      </c>
      <c r="P103" s="9" t="s">
        <v>152</v>
      </c>
      <c r="Q103" s="9"/>
      <c r="R103" s="9">
        <v>8</v>
      </c>
      <c r="S103" s="9">
        <v>74547547</v>
      </c>
      <c r="T103" t="s">
        <v>232</v>
      </c>
      <c r="U103" s="9" t="s">
        <v>147</v>
      </c>
      <c r="V103" s="9"/>
      <c r="W103" s="19" t="s">
        <v>183</v>
      </c>
      <c r="X103" s="9">
        <v>61</v>
      </c>
      <c r="Y103" s="9">
        <v>1</v>
      </c>
      <c r="Z103" s="9">
        <v>15</v>
      </c>
      <c r="AA103" s="9" t="str">
        <f>IF(Tabla152[[#This Row],[NOTA]]=15,"CUMPLE","NO CUMPLE")</f>
        <v>CUMPLE</v>
      </c>
      <c r="AB103" s="9" t="str">
        <f>IF(COUNTIF($A$10:A103,A103)=1,IF(COUNTIFS($A:$A,A103,$AA:$AA,"NO CUMPLE")&gt;0,"NO CUMPLE","CUMPLE"),"")</f>
        <v>CUMPLE</v>
      </c>
      <c r="AC103" s="9" t="s">
        <v>140</v>
      </c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18"/>
      <c r="BX103" s="18">
        <f>IF($X103="","",AE103/$X$10)</f>
        <v>0</v>
      </c>
      <c r="BY103" s="18">
        <f>IF($X103="","",AF103/$X$10)</f>
        <v>0</v>
      </c>
      <c r="BZ103" s="18">
        <f>IF($X103="","",AG103/$X$10)</f>
        <v>0</v>
      </c>
      <c r="CA103" s="18">
        <f>IF($X103="","",AH103/$X$10)</f>
        <v>0</v>
      </c>
      <c r="CB103" s="18">
        <f t="shared" si="9"/>
        <v>0</v>
      </c>
      <c r="CC103" s="18">
        <f>IF($X103="","",AJ103/$X$10)</f>
        <v>0</v>
      </c>
      <c r="CD103" s="18">
        <f>IF($X103="","",AK103/$X$10)</f>
        <v>0</v>
      </c>
      <c r="CE103" s="18">
        <f>IF($X103="","",AL103/$X$10)</f>
        <v>0</v>
      </c>
      <c r="CF103" s="18">
        <f>IF($X103="","",AM103/$X$10)</f>
        <v>0</v>
      </c>
      <c r="CG103" s="18">
        <f>IF($X103="","",AN103/$X$10)</f>
        <v>0</v>
      </c>
      <c r="CH103" s="18">
        <f>IF($X103="","",AO103/$X$10)</f>
        <v>0</v>
      </c>
      <c r="CI103" s="18">
        <f>IF($X103="","",AP103/$X$10)</f>
        <v>0</v>
      </c>
      <c r="CJ103" s="18">
        <f>IF($X103="","",AQ103/$X$10)</f>
        <v>0</v>
      </c>
      <c r="CK103" s="18">
        <f>IF($X103="","",AR103/$X$10)</f>
        <v>0</v>
      </c>
      <c r="CL103" s="18">
        <f>IF($X103="","",AS103/$X$10)</f>
        <v>0</v>
      </c>
      <c r="CM103" s="18">
        <f>IF($X103="","",AT103/$X$10)</f>
        <v>0</v>
      </c>
      <c r="CN103" s="18">
        <f>IF($X103="","",AU103/$X$10)</f>
        <v>0</v>
      </c>
      <c r="CO103" s="18">
        <f>IF($X103="","",AV103/$X$10)</f>
        <v>0</v>
      </c>
      <c r="CP103" s="18">
        <f>IF($X103="","",AW103/$X$10)</f>
        <v>0</v>
      </c>
      <c r="CQ103" s="18">
        <f>IF($X103="","",AX103/$X$10)</f>
        <v>0</v>
      </c>
      <c r="CR103" s="18">
        <f>IF($X103="","",AY103/$X$10)</f>
        <v>0</v>
      </c>
      <c r="CS103" s="18">
        <f>IF($X103="","",AZ103/$X$10)</f>
        <v>0</v>
      </c>
      <c r="CT103" s="18">
        <f>IF($X103="","",BA103/$X$10)</f>
        <v>0</v>
      </c>
      <c r="CU103" s="18">
        <f>IF($X103="","",BB103/$X$10)</f>
        <v>0</v>
      </c>
      <c r="CV103" s="18">
        <f>IF($X103="","",BC103/$X$10)</f>
        <v>0</v>
      </c>
      <c r="CW103" s="18">
        <f>IF($X103="","",BD103/$X$10)</f>
        <v>0</v>
      </c>
      <c r="CX103" s="18">
        <f>IF($X103="","",BE103/$X$10)</f>
        <v>0</v>
      </c>
      <c r="CY103" s="18">
        <f>IF($X103="","",BF103/$X$10)</f>
        <v>0</v>
      </c>
      <c r="CZ103" s="18">
        <f>IF($X103="","",BG103/$X$10)</f>
        <v>0</v>
      </c>
      <c r="DA103" s="18">
        <f>IF($X103="","",BH103/$X$10)</f>
        <v>0</v>
      </c>
      <c r="DB103" s="18">
        <f>IF($X103="","",BI103/$X$10)</f>
        <v>0</v>
      </c>
      <c r="DC103" s="18">
        <f>IF($X103="","",BJ103/$X$10)</f>
        <v>0</v>
      </c>
      <c r="DD103" s="18">
        <f>IF($X103="","",BK103/$X$10)</f>
        <v>0</v>
      </c>
      <c r="DE103" s="18">
        <f>IF($X103="","",BL103/$X$10)</f>
        <v>0</v>
      </c>
      <c r="DF103" s="18">
        <f>IF($X103="","",BM103/$X$10)</f>
        <v>0</v>
      </c>
      <c r="DG103" s="18">
        <f t="shared" si="10"/>
        <v>0</v>
      </c>
      <c r="DH103" s="18">
        <f>IF($X103="","",BO103/$X$10)</f>
        <v>0</v>
      </c>
      <c r="DI103" s="18">
        <f>IF($X103="","",BP103/$X$10)</f>
        <v>0</v>
      </c>
      <c r="DJ103" s="18">
        <f>IF($X103="","",BQ103/$X$10)</f>
        <v>0</v>
      </c>
      <c r="DK103" s="18">
        <f>IF($X103="","",BR103/$X$10)</f>
        <v>0</v>
      </c>
      <c r="DL103" s="18">
        <f>IF($X103="","",BS103/$X$10)</f>
        <v>0</v>
      </c>
      <c r="DM103" s="18">
        <f>IF($X103="","",BT103/$X$10)</f>
        <v>0</v>
      </c>
      <c r="DN103" s="18">
        <f t="shared" si="11"/>
        <v>0</v>
      </c>
      <c r="DO103" s="16">
        <f>IF($X103="","",SUM(Tabla152[[#This Row],[PODRIDO]],Tabla152[[#This Row],[HONGO]],Tabla152[[#This Row],[PICADO DE AVE CON PUDRICIÓN]],Tabla152[[#This Row],[FUMAGINA]])/$X$10)</f>
        <v>0</v>
      </c>
      <c r="DP103" s="16">
        <f>IF($X103="","",SUM(Tabla152[[#This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03" s="16">
        <f>IF($X103="","",SUM(Tabla152[[#This Row],[BLANDO]:[COLAPSADO]])/$X$10)</f>
        <v>0</v>
      </c>
      <c r="DR103" s="16">
        <f>IF($X103="","",SUM(Tabla152[[#This Row],[DESHIDRATADO LEVE]:[DESHIDRATADO INMADURO]])/$X$10)</f>
        <v>0</v>
      </c>
      <c r="DS103" s="18">
        <f t="shared" si="7"/>
        <v>0</v>
      </c>
      <c r="DT103" s="16">
        <f>IF($X103="","",SUM(Tabla152[[#This Row],[PRESENCIA DE LARVA]],Tabla152[[#This Row],[CHANCHITO BLANCO]])/$X$10)</f>
        <v>0</v>
      </c>
      <c r="DU103" s="18">
        <f>IF($X103="","",SUM(Tabla152[[#This Row],[ROJO GRADO 2 A MÁS]],Tabla152[[#This Row],[IMMADURO VERDE]],Tabla152[[#This Row],[DESORDEN POR MADURACIÓN]],Tabla152[[#This Row],[ARO PEDICELAR VERDE EXTREMO]])/$X$10)</f>
        <v>0</v>
      </c>
      <c r="DV103" s="16">
        <f>IF($X103="","",SUM(Tabla152[[#This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03" s="16">
        <f t="shared" si="8"/>
        <v>0</v>
      </c>
      <c r="DX103" s="16">
        <f>IF($X103="","",AJ103/$X$10)</f>
        <v>0</v>
      </c>
      <c r="DY103" s="16">
        <f>IF($X103="","",SUM(Tabla152[[#This Row],[PRESENCIA DE COROLA]],Tabla152[[#This Row],[PRESENCIA DE RESTO FLORAL VERDE]],Tabla152[[#This Row],[PRESENCIA DE PEDÚNCULO]])/$X$10)</f>
        <v>0</v>
      </c>
      <c r="DZ103" s="16">
        <f>IF($X103="","",SUM(Tabla152[[#This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04" spans="1:130" x14ac:dyDescent="0.3">
      <c r="A104" s="9">
        <f>IF(W104="","",IF(ROW()=10,1,IF(W104=W103,A103,MAX($A$9:A103)+1)))</f>
        <v>31</v>
      </c>
      <c r="B104" s="9">
        <f>WEEKNUM(Tabla152[[#This Row],[FECHA DE COSECHA]],21)</f>
        <v>36</v>
      </c>
      <c r="C104" s="9"/>
      <c r="D104" s="17">
        <v>46267</v>
      </c>
      <c r="E104" s="17">
        <v>46267</v>
      </c>
      <c r="F104" s="9">
        <v>1</v>
      </c>
      <c r="G104" s="9" t="s">
        <v>77</v>
      </c>
      <c r="H104" s="9" t="s">
        <v>144</v>
      </c>
      <c r="I104" s="9" t="s">
        <v>134</v>
      </c>
      <c r="J104" s="9" t="s">
        <v>78</v>
      </c>
      <c r="K104" s="9" t="s">
        <v>153</v>
      </c>
      <c r="L104" s="9" t="s">
        <v>131</v>
      </c>
      <c r="M104" s="9" t="s">
        <v>239</v>
      </c>
      <c r="N104" s="9" t="s">
        <v>151</v>
      </c>
      <c r="O104" s="9" t="s">
        <v>244</v>
      </c>
      <c r="P104" s="9" t="s">
        <v>152</v>
      </c>
      <c r="Q104" s="9"/>
      <c r="R104" s="9">
        <v>8</v>
      </c>
      <c r="S104" s="9">
        <v>74547547</v>
      </c>
      <c r="T104" t="s">
        <v>232</v>
      </c>
      <c r="U104" s="9" t="s">
        <v>147</v>
      </c>
      <c r="V104" s="9"/>
      <c r="W104" s="19" t="s">
        <v>183</v>
      </c>
      <c r="X104" s="9">
        <v>61</v>
      </c>
      <c r="Y104" s="9">
        <v>2</v>
      </c>
      <c r="Z104" s="9">
        <v>15</v>
      </c>
      <c r="AA104" s="9" t="str">
        <f>IF(Tabla152[[#This Row],[NOTA]]=15,"CUMPLE","NO CUMPLE")</f>
        <v>CUMPLE</v>
      </c>
      <c r="AB104" s="9" t="str">
        <f>IF(COUNTIF($A$10:A104,A104)=1,IF(COUNTIFS($A:$A,A104,$AA:$AA,"NO CUMPLE")&gt;0,"NO CUMPLE","CUMPLE"),"")</f>
        <v/>
      </c>
      <c r="AC104" s="9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18"/>
      <c r="BX104" s="18">
        <f>IF($X104="","",AE104/$X$10)</f>
        <v>0</v>
      </c>
      <c r="BY104" s="18">
        <f>IF($X104="","",AF104/$X$10)</f>
        <v>0</v>
      </c>
      <c r="BZ104" s="18">
        <f>IF($X104="","",AG104/$X$10)</f>
        <v>0</v>
      </c>
      <c r="CA104" s="18">
        <f>IF($X104="","",AH104/$X$10)</f>
        <v>0</v>
      </c>
      <c r="CB104" s="18">
        <f t="shared" si="9"/>
        <v>0</v>
      </c>
      <c r="CC104" s="18">
        <f>IF($X104="","",AJ104/$X$10)</f>
        <v>0</v>
      </c>
      <c r="CD104" s="18">
        <f>IF($X104="","",AK104/$X$10)</f>
        <v>0</v>
      </c>
      <c r="CE104" s="18">
        <f>IF($X104="","",AL104/$X$10)</f>
        <v>0</v>
      </c>
      <c r="CF104" s="18">
        <f>IF($X104="","",AM104/$X$10)</f>
        <v>0</v>
      </c>
      <c r="CG104" s="18">
        <f>IF($X104="","",AN104/$X$10)</f>
        <v>0</v>
      </c>
      <c r="CH104" s="18">
        <f>IF($X104="","",AO104/$X$10)</f>
        <v>0</v>
      </c>
      <c r="CI104" s="18">
        <f>IF($X104="","",AP104/$X$10)</f>
        <v>0</v>
      </c>
      <c r="CJ104" s="18">
        <f>IF($X104="","",AQ104/$X$10)</f>
        <v>0</v>
      </c>
      <c r="CK104" s="18">
        <f>IF($X104="","",AR104/$X$10)</f>
        <v>0</v>
      </c>
      <c r="CL104" s="18">
        <f>IF($X104="","",AS104/$X$10)</f>
        <v>0</v>
      </c>
      <c r="CM104" s="18">
        <f>IF($X104="","",AT104/$X$10)</f>
        <v>0</v>
      </c>
      <c r="CN104" s="18">
        <f>IF($X104="","",AU104/$X$10)</f>
        <v>0</v>
      </c>
      <c r="CO104" s="18">
        <f>IF($X104="","",AV104/$X$10)</f>
        <v>0</v>
      </c>
      <c r="CP104" s="18">
        <f>IF($X104="","",AW104/$X$10)</f>
        <v>0</v>
      </c>
      <c r="CQ104" s="18">
        <f>IF($X104="","",AX104/$X$10)</f>
        <v>0</v>
      </c>
      <c r="CR104" s="18">
        <f>IF($X104="","",AY104/$X$10)</f>
        <v>0</v>
      </c>
      <c r="CS104" s="18">
        <f>IF($X104="","",AZ104/$X$10)</f>
        <v>0</v>
      </c>
      <c r="CT104" s="18">
        <f>IF($X104="","",BA104/$X$10)</f>
        <v>0</v>
      </c>
      <c r="CU104" s="18">
        <f>IF($X104="","",BB104/$X$10)</f>
        <v>0</v>
      </c>
      <c r="CV104" s="18">
        <f>IF($X104="","",BC104/$X$10)</f>
        <v>0</v>
      </c>
      <c r="CW104" s="18">
        <f>IF($X104="","",BD104/$X$10)</f>
        <v>0</v>
      </c>
      <c r="CX104" s="18">
        <f>IF($X104="","",BE104/$X$10)</f>
        <v>0</v>
      </c>
      <c r="CY104" s="18">
        <f>IF($X104="","",BF104/$X$10)</f>
        <v>0</v>
      </c>
      <c r="CZ104" s="18">
        <f>IF($X104="","",BG104/$X$10)</f>
        <v>0</v>
      </c>
      <c r="DA104" s="18">
        <f>IF($X104="","",BH104/$X$10)</f>
        <v>0</v>
      </c>
      <c r="DB104" s="18">
        <f>IF($X104="","",BI104/$X$10)</f>
        <v>0</v>
      </c>
      <c r="DC104" s="18">
        <f>IF($X104="","",BJ104/$X$10)</f>
        <v>0</v>
      </c>
      <c r="DD104" s="18">
        <f>IF($X104="","",BK104/$X$10)</f>
        <v>0</v>
      </c>
      <c r="DE104" s="18">
        <f>IF($X104="","",BL104/$X$10)</f>
        <v>0</v>
      </c>
      <c r="DF104" s="18">
        <f>IF($X104="","",BM104/$X$10)</f>
        <v>0</v>
      </c>
      <c r="DG104" s="18">
        <f t="shared" si="10"/>
        <v>0</v>
      </c>
      <c r="DH104" s="18">
        <f>IF($X104="","",BO104/$X$10)</f>
        <v>0</v>
      </c>
      <c r="DI104" s="18">
        <f>IF($X104="","",BP104/$X$10)</f>
        <v>0</v>
      </c>
      <c r="DJ104" s="18">
        <f>IF($X104="","",BQ104/$X$10)</f>
        <v>0</v>
      </c>
      <c r="DK104" s="18">
        <f>IF($X104="","",BR104/$X$10)</f>
        <v>0</v>
      </c>
      <c r="DL104" s="18">
        <f>IF($X104="","",BS104/$X$10)</f>
        <v>0</v>
      </c>
      <c r="DM104" s="18">
        <f>IF($X104="","",BT104/$X$10)</f>
        <v>0</v>
      </c>
      <c r="DN104" s="18">
        <f t="shared" si="11"/>
        <v>0</v>
      </c>
      <c r="DO104" s="16">
        <f>IF($X104="","",SUM(Tabla152[[#This Row],[PODRIDO]],Tabla152[[#This Row],[HONGO]],Tabla152[[#This Row],[PICADO DE AVE CON PUDRICIÓN]],Tabla152[[#This Row],[FUMAGINA]])/$X$10)</f>
        <v>0</v>
      </c>
      <c r="DP104" s="16">
        <f>IF($X104="","",SUM(Tabla152[[#This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04" s="16">
        <f>IF($X104="","",SUM(Tabla152[[#This Row],[BLANDO]:[COLAPSADO]])/$X$10)</f>
        <v>0</v>
      </c>
      <c r="DR104" s="16">
        <f>IF($X104="","",SUM(Tabla152[[#This Row],[DESHIDRATADO LEVE]:[DESHIDRATADO INMADURO]])/$X$10)</f>
        <v>0</v>
      </c>
      <c r="DS104" s="18">
        <f t="shared" si="7"/>
        <v>0</v>
      </c>
      <c r="DT104" s="16">
        <f>IF($X104="","",SUM(Tabla152[[#This Row],[PRESENCIA DE LARVA]],Tabla152[[#This Row],[CHANCHITO BLANCO]])/$X$10)</f>
        <v>0</v>
      </c>
      <c r="DU104" s="18">
        <f>IF($X104="","",SUM(Tabla152[[#This Row],[ROJO GRADO 2 A MÁS]],Tabla152[[#This Row],[IMMADURO VERDE]],Tabla152[[#This Row],[DESORDEN POR MADURACIÓN]],Tabla152[[#This Row],[ARO PEDICELAR VERDE EXTREMO]])/$X$10)</f>
        <v>0</v>
      </c>
      <c r="DV104" s="16">
        <f>IF($X104="","",SUM(Tabla152[[#This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04" s="16">
        <f t="shared" si="8"/>
        <v>0</v>
      </c>
      <c r="DX104" s="16">
        <f>IF($X104="","",AJ104/$X$10)</f>
        <v>0</v>
      </c>
      <c r="DY104" s="16">
        <f>IF($X104="","",SUM(Tabla152[[#This Row],[PRESENCIA DE COROLA]],Tabla152[[#This Row],[PRESENCIA DE RESTO FLORAL VERDE]],Tabla152[[#This Row],[PRESENCIA DE PEDÚNCULO]])/$X$10)</f>
        <v>0</v>
      </c>
      <c r="DZ104" s="16">
        <f>IF($X104="","",SUM(Tabla152[[#This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05" spans="1:130" x14ac:dyDescent="0.3">
      <c r="A105" s="9">
        <f>IF(W105="","",IF(ROW()=10,1,IF(W105=W104,A104,MAX($A$9:A104)+1)))</f>
        <v>31</v>
      </c>
      <c r="B105" s="9">
        <f>WEEKNUM(Tabla152[[#This Row],[FECHA DE COSECHA]],21)</f>
        <v>36</v>
      </c>
      <c r="C105" s="9"/>
      <c r="D105" s="17">
        <v>46267</v>
      </c>
      <c r="E105" s="17">
        <v>46267</v>
      </c>
      <c r="F105" s="9">
        <v>1</v>
      </c>
      <c r="G105" s="9" t="s">
        <v>77</v>
      </c>
      <c r="H105" s="9" t="s">
        <v>144</v>
      </c>
      <c r="I105" s="9" t="s">
        <v>134</v>
      </c>
      <c r="J105" s="9" t="s">
        <v>78</v>
      </c>
      <c r="K105" s="9" t="s">
        <v>153</v>
      </c>
      <c r="L105" s="9" t="s">
        <v>131</v>
      </c>
      <c r="M105" s="9" t="s">
        <v>239</v>
      </c>
      <c r="N105" s="9" t="s">
        <v>151</v>
      </c>
      <c r="O105" s="9" t="s">
        <v>244</v>
      </c>
      <c r="P105" s="9" t="s">
        <v>152</v>
      </c>
      <c r="Q105" s="9"/>
      <c r="R105" s="9">
        <v>8</v>
      </c>
      <c r="S105" s="9">
        <v>74547547</v>
      </c>
      <c r="T105" t="s">
        <v>232</v>
      </c>
      <c r="U105" s="9" t="s">
        <v>147</v>
      </c>
      <c r="V105" s="9"/>
      <c r="W105" s="19" t="s">
        <v>183</v>
      </c>
      <c r="X105" s="9">
        <v>61</v>
      </c>
      <c r="Y105" s="9">
        <v>3</v>
      </c>
      <c r="Z105" s="9">
        <v>15</v>
      </c>
      <c r="AA105" s="9" t="str">
        <f>IF(Tabla152[[#This Row],[NOTA]]=15,"CUMPLE","NO CUMPLE")</f>
        <v>CUMPLE</v>
      </c>
      <c r="AB105" s="9" t="str">
        <f>IF(COUNTIF($A$10:A105,A105)=1,IF(COUNTIFS($A:$A,A105,$AA:$AA,"NO CUMPLE")&gt;0,"NO CUMPLE","CUMPLE"),"")</f>
        <v/>
      </c>
      <c r="AC105" s="9"/>
      <c r="AD105" s="8"/>
      <c r="AE105" s="8">
        <v>2</v>
      </c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18"/>
      <c r="BX105" s="18">
        <f>IF($X105="","",AE105/$X$10)</f>
        <v>3.1746031746031744E-2</v>
      </c>
      <c r="BY105" s="18">
        <f>IF($X105="","",AF105/$X$10)</f>
        <v>0</v>
      </c>
      <c r="BZ105" s="18">
        <f>IF($X105="","",AG105/$X$10)</f>
        <v>0</v>
      </c>
      <c r="CA105" s="18">
        <f>IF($X105="","",AH105/$X$10)</f>
        <v>0</v>
      </c>
      <c r="CB105" s="18">
        <f t="shared" si="9"/>
        <v>0</v>
      </c>
      <c r="CC105" s="18">
        <f>IF($X105="","",AJ105/$X$10)</f>
        <v>0</v>
      </c>
      <c r="CD105" s="18">
        <f>IF($X105="","",AK105/$X$10)</f>
        <v>0</v>
      </c>
      <c r="CE105" s="18">
        <f>IF($X105="","",AL105/$X$10)</f>
        <v>0</v>
      </c>
      <c r="CF105" s="18">
        <f>IF($X105="","",AM105/$X$10)</f>
        <v>0</v>
      </c>
      <c r="CG105" s="18">
        <f>IF($X105="","",AN105/$X$10)</f>
        <v>0</v>
      </c>
      <c r="CH105" s="18">
        <f>IF($X105="","",AO105/$X$10)</f>
        <v>0</v>
      </c>
      <c r="CI105" s="18">
        <f>IF($X105="","",AP105/$X$10)</f>
        <v>0</v>
      </c>
      <c r="CJ105" s="18">
        <f>IF($X105="","",AQ105/$X$10)</f>
        <v>0</v>
      </c>
      <c r="CK105" s="18">
        <f>IF($X105="","",AR105/$X$10)</f>
        <v>0</v>
      </c>
      <c r="CL105" s="18">
        <f>IF($X105="","",AS105/$X$10)</f>
        <v>0</v>
      </c>
      <c r="CM105" s="18">
        <f>IF($X105="","",AT105/$X$10)</f>
        <v>0</v>
      </c>
      <c r="CN105" s="18">
        <f>IF($X105="","",AU105/$X$10)</f>
        <v>0</v>
      </c>
      <c r="CO105" s="18">
        <f>IF($X105="","",AV105/$X$10)</f>
        <v>0</v>
      </c>
      <c r="CP105" s="18">
        <f>IF($X105="","",AW105/$X$10)</f>
        <v>0</v>
      </c>
      <c r="CQ105" s="18">
        <f>IF($X105="","",AX105/$X$10)</f>
        <v>0</v>
      </c>
      <c r="CR105" s="18">
        <f>IF($X105="","",AY105/$X$10)</f>
        <v>0</v>
      </c>
      <c r="CS105" s="18">
        <f>IF($X105="","",AZ105/$X$10)</f>
        <v>0</v>
      </c>
      <c r="CT105" s="18">
        <f>IF($X105="","",BA105/$X$10)</f>
        <v>0</v>
      </c>
      <c r="CU105" s="18">
        <f>IF($X105="","",BB105/$X$10)</f>
        <v>0</v>
      </c>
      <c r="CV105" s="18">
        <f>IF($X105="","",BC105/$X$10)</f>
        <v>0</v>
      </c>
      <c r="CW105" s="18">
        <f>IF($X105="","",BD105/$X$10)</f>
        <v>0</v>
      </c>
      <c r="CX105" s="18">
        <f>IF($X105="","",BE105/$X$10)</f>
        <v>0</v>
      </c>
      <c r="CY105" s="18">
        <f>IF($X105="","",BF105/$X$10)</f>
        <v>0</v>
      </c>
      <c r="CZ105" s="18">
        <f>IF($X105="","",BG105/$X$10)</f>
        <v>0</v>
      </c>
      <c r="DA105" s="18">
        <f>IF($X105="","",BH105/$X$10)</f>
        <v>0</v>
      </c>
      <c r="DB105" s="18">
        <f>IF($X105="","",BI105/$X$10)</f>
        <v>0</v>
      </c>
      <c r="DC105" s="18">
        <f>IF($X105="","",BJ105/$X$10)</f>
        <v>0</v>
      </c>
      <c r="DD105" s="18">
        <f>IF($X105="","",BK105/$X$10)</f>
        <v>0</v>
      </c>
      <c r="DE105" s="18">
        <f>IF($X105="","",BL105/$X$10)</f>
        <v>0</v>
      </c>
      <c r="DF105" s="18">
        <f>IF($X105="","",BM105/$X$10)</f>
        <v>0</v>
      </c>
      <c r="DG105" s="18">
        <f t="shared" si="10"/>
        <v>0</v>
      </c>
      <c r="DH105" s="18">
        <f>IF($X105="","",BO105/$X$10)</f>
        <v>0</v>
      </c>
      <c r="DI105" s="18">
        <f>IF($X105="","",BP105/$X$10)</f>
        <v>0</v>
      </c>
      <c r="DJ105" s="18">
        <f>IF($X105="","",BQ105/$X$10)</f>
        <v>0</v>
      </c>
      <c r="DK105" s="18">
        <f>IF($X105="","",BR105/$X$10)</f>
        <v>0</v>
      </c>
      <c r="DL105" s="18">
        <f>IF($X105="","",BS105/$X$10)</f>
        <v>0</v>
      </c>
      <c r="DM105" s="18">
        <f>IF($X105="","",BT105/$X$10)</f>
        <v>0</v>
      </c>
      <c r="DN105" s="18">
        <f t="shared" si="11"/>
        <v>0</v>
      </c>
      <c r="DO105" s="16">
        <f>IF($X105="","",SUM(Tabla152[[#This Row],[PODRIDO]],Tabla152[[#This Row],[HONGO]],Tabla152[[#This Row],[PICADO DE AVE CON PUDRICIÓN]],Tabla152[[#This Row],[FUMAGINA]])/$X$10)</f>
        <v>0</v>
      </c>
      <c r="DP105" s="16">
        <f>IF($X105="","",SUM(Tabla152[[#This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05" s="16">
        <f>IF($X105="","",SUM(Tabla152[[#This Row],[BLANDO]:[COLAPSADO]])/$X$10)</f>
        <v>0</v>
      </c>
      <c r="DR105" s="16">
        <f>IF($X105="","",SUM(Tabla152[[#This Row],[DESHIDRATADO LEVE]:[DESHIDRATADO INMADURO]])/$X$10)</f>
        <v>0</v>
      </c>
      <c r="DS105" s="18">
        <f t="shared" si="7"/>
        <v>0</v>
      </c>
      <c r="DT105" s="16">
        <f>IF($X105="","",SUM(Tabla152[[#This Row],[PRESENCIA DE LARVA]],Tabla152[[#This Row],[CHANCHITO BLANCO]])/$X$10)</f>
        <v>0</v>
      </c>
      <c r="DU105" s="18">
        <f>IF($X105="","",SUM(Tabla152[[#This Row],[ROJO GRADO 2 A MÁS]],Tabla152[[#This Row],[IMMADURO VERDE]],Tabla152[[#This Row],[DESORDEN POR MADURACIÓN]],Tabla152[[#This Row],[ARO PEDICELAR VERDE EXTREMO]])/$X$10)</f>
        <v>0</v>
      </c>
      <c r="DV105" s="16">
        <f>IF($X105="","",SUM(Tabla152[[#This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05" s="16">
        <f t="shared" si="8"/>
        <v>0</v>
      </c>
      <c r="DX105" s="16">
        <f>IF($X105="","",AJ105/$X$10)</f>
        <v>0</v>
      </c>
      <c r="DY105" s="16">
        <f>IF($X105="","",SUM(Tabla152[[#This Row],[PRESENCIA DE COROLA]],Tabla152[[#This Row],[PRESENCIA DE RESTO FLORAL VERDE]],Tabla152[[#This Row],[PRESENCIA DE PEDÚNCULO]])/$X$10)</f>
        <v>3.1746031746031744E-2</v>
      </c>
      <c r="DZ105" s="16">
        <f>IF($X105="","",SUM(Tabla152[[#This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06" spans="1:130" x14ac:dyDescent="0.3">
      <c r="A106" s="9">
        <f>IF(W106="","",IF(ROW()=10,1,IF(W106=W105,A105,MAX($A$9:A105)+1)))</f>
        <v>32</v>
      </c>
      <c r="B106" s="9">
        <f>WEEKNUM(Tabla152[[#This Row],[FECHA DE COSECHA]],21)</f>
        <v>36</v>
      </c>
      <c r="C106" s="9"/>
      <c r="D106" s="17">
        <v>46267</v>
      </c>
      <c r="E106" s="17">
        <v>46267</v>
      </c>
      <c r="F106" s="9">
        <v>1</v>
      </c>
      <c r="G106" s="9" t="s">
        <v>77</v>
      </c>
      <c r="H106" s="9" t="s">
        <v>144</v>
      </c>
      <c r="I106" s="9" t="s">
        <v>134</v>
      </c>
      <c r="J106" s="9" t="s">
        <v>78</v>
      </c>
      <c r="K106" s="9" t="s">
        <v>153</v>
      </c>
      <c r="L106" s="9" t="s">
        <v>131</v>
      </c>
      <c r="M106" s="9" t="s">
        <v>239</v>
      </c>
      <c r="N106" s="9" t="s">
        <v>151</v>
      </c>
      <c r="O106" s="9" t="s">
        <v>244</v>
      </c>
      <c r="P106" s="9" t="s">
        <v>152</v>
      </c>
      <c r="Q106" s="9"/>
      <c r="R106" s="9">
        <v>8</v>
      </c>
      <c r="S106" s="9">
        <v>74547547</v>
      </c>
      <c r="T106" t="s">
        <v>232</v>
      </c>
      <c r="U106" s="9" t="s">
        <v>147</v>
      </c>
      <c r="V106" s="9"/>
      <c r="W106" s="19" t="s">
        <v>184</v>
      </c>
      <c r="X106" s="9">
        <v>61</v>
      </c>
      <c r="Y106" s="9">
        <v>1</v>
      </c>
      <c r="Z106" s="9">
        <v>15</v>
      </c>
      <c r="AA106" s="9" t="str">
        <f>IF(Tabla152[[#This Row],[NOTA]]=15,"CUMPLE","NO CUMPLE")</f>
        <v>CUMPLE</v>
      </c>
      <c r="AB106" s="9" t="str">
        <f>IF(COUNTIF($A$10:A106,A106)=1,IF(COUNTIFS($A:$A,A106,$AA:$AA,"NO CUMPLE")&gt;0,"NO CUMPLE","CUMPLE"),"")</f>
        <v>NO CUMPLE</v>
      </c>
      <c r="AC106" s="9" t="s">
        <v>140</v>
      </c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18"/>
      <c r="BX106" s="18">
        <f>IF($X106="","",AE106/$X$10)</f>
        <v>0</v>
      </c>
      <c r="BY106" s="18">
        <f>IF($X106="","",AF106/$X$10)</f>
        <v>0</v>
      </c>
      <c r="BZ106" s="18">
        <f>IF($X106="","",AG106/$X$10)</f>
        <v>0</v>
      </c>
      <c r="CA106" s="18">
        <f>IF($X106="","",AH106/$X$10)</f>
        <v>0</v>
      </c>
      <c r="CB106" s="18">
        <f t="shared" si="9"/>
        <v>0</v>
      </c>
      <c r="CC106" s="18">
        <f>IF($X106="","",AJ106/$X$10)</f>
        <v>0</v>
      </c>
      <c r="CD106" s="18">
        <f>IF($X106="","",AK106/$X$10)</f>
        <v>0</v>
      </c>
      <c r="CE106" s="18">
        <f>IF($X106="","",AL106/$X$10)</f>
        <v>0</v>
      </c>
      <c r="CF106" s="18">
        <f>IF($X106="","",AM106/$X$10)</f>
        <v>0</v>
      </c>
      <c r="CG106" s="18">
        <f>IF($X106="","",AN106/$X$10)</f>
        <v>0</v>
      </c>
      <c r="CH106" s="18">
        <f>IF($X106="","",AO106/$X$10)</f>
        <v>0</v>
      </c>
      <c r="CI106" s="18">
        <f>IF($X106="","",AP106/$X$10)</f>
        <v>0</v>
      </c>
      <c r="CJ106" s="18">
        <f>IF($X106="","",AQ106/$X$10)</f>
        <v>0</v>
      </c>
      <c r="CK106" s="18">
        <f>IF($X106="","",AR106/$X$10)</f>
        <v>0</v>
      </c>
      <c r="CL106" s="18">
        <f>IF($X106="","",AS106/$X$10)</f>
        <v>0</v>
      </c>
      <c r="CM106" s="18">
        <f>IF($X106="","",AT106/$X$10)</f>
        <v>0</v>
      </c>
      <c r="CN106" s="18">
        <f>IF($X106="","",AU106/$X$10)</f>
        <v>0</v>
      </c>
      <c r="CO106" s="18">
        <f>IF($X106="","",AV106/$X$10)</f>
        <v>0</v>
      </c>
      <c r="CP106" s="18">
        <f>IF($X106="","",AW106/$X$10)</f>
        <v>0</v>
      </c>
      <c r="CQ106" s="18">
        <f>IF($X106="","",AX106/$X$10)</f>
        <v>0</v>
      </c>
      <c r="CR106" s="18">
        <f>IF($X106="","",AY106/$X$10)</f>
        <v>0</v>
      </c>
      <c r="CS106" s="18">
        <f>IF($X106="","",AZ106/$X$10)</f>
        <v>0</v>
      </c>
      <c r="CT106" s="18">
        <f>IF($X106="","",BA106/$X$10)</f>
        <v>0</v>
      </c>
      <c r="CU106" s="18">
        <f>IF($X106="","",BB106/$X$10)</f>
        <v>0</v>
      </c>
      <c r="CV106" s="18">
        <f>IF($X106="","",BC106/$X$10)</f>
        <v>0</v>
      </c>
      <c r="CW106" s="18">
        <f>IF($X106="","",BD106/$X$10)</f>
        <v>0</v>
      </c>
      <c r="CX106" s="18">
        <f>IF($X106="","",BE106/$X$10)</f>
        <v>0</v>
      </c>
      <c r="CY106" s="18">
        <f>IF($X106="","",BF106/$X$10)</f>
        <v>0</v>
      </c>
      <c r="CZ106" s="18">
        <f>IF($X106="","",BG106/$X$10)</f>
        <v>0</v>
      </c>
      <c r="DA106" s="18">
        <f>IF($X106="","",BH106/$X$10)</f>
        <v>0</v>
      </c>
      <c r="DB106" s="18">
        <f>IF($X106="","",BI106/$X$10)</f>
        <v>0</v>
      </c>
      <c r="DC106" s="18">
        <f>IF($X106="","",BJ106/$X$10)</f>
        <v>0</v>
      </c>
      <c r="DD106" s="18">
        <f>IF($X106="","",BK106/$X$10)</f>
        <v>0</v>
      </c>
      <c r="DE106" s="18">
        <f>IF($X106="","",BL106/$X$10)</f>
        <v>0</v>
      </c>
      <c r="DF106" s="18">
        <f>IF($X106="","",BM106/$X$10)</f>
        <v>0</v>
      </c>
      <c r="DG106" s="18">
        <f t="shared" si="10"/>
        <v>0</v>
      </c>
      <c r="DH106" s="18">
        <f>IF($X106="","",BO106/$X$10)</f>
        <v>0</v>
      </c>
      <c r="DI106" s="18">
        <f>IF($X106="","",BP106/$X$10)</f>
        <v>0</v>
      </c>
      <c r="DJ106" s="18">
        <f>IF($X106="","",BQ106/$X$10)</f>
        <v>0</v>
      </c>
      <c r="DK106" s="18">
        <f>IF($X106="","",BR106/$X$10)</f>
        <v>0</v>
      </c>
      <c r="DL106" s="18">
        <f>IF($X106="","",BS106/$X$10)</f>
        <v>0</v>
      </c>
      <c r="DM106" s="18">
        <f>IF($X106="","",BT106/$X$10)</f>
        <v>0</v>
      </c>
      <c r="DN106" s="18">
        <f t="shared" si="11"/>
        <v>0</v>
      </c>
      <c r="DO106" s="16">
        <f>IF($X106="","",SUM(Tabla152[[#This Row],[PODRIDO]],Tabla152[[#This Row],[HONGO]],Tabla152[[#This Row],[PICADO DE AVE CON PUDRICIÓN]],Tabla152[[#This Row],[FUMAGINA]])/$X$10)</f>
        <v>0</v>
      </c>
      <c r="DP106" s="16">
        <f>IF($X106="","",SUM(Tabla152[[#This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06" s="16">
        <f>IF($X106="","",SUM(Tabla152[[#This Row],[BLANDO]:[COLAPSADO]])/$X$10)</f>
        <v>0</v>
      </c>
      <c r="DR106" s="16">
        <f>IF($X106="","",SUM(Tabla152[[#This Row],[DESHIDRATADO LEVE]:[DESHIDRATADO INMADURO]])/$X$10)</f>
        <v>0</v>
      </c>
      <c r="DS106" s="18">
        <f t="shared" si="7"/>
        <v>0</v>
      </c>
      <c r="DT106" s="16">
        <f>IF($X106="","",SUM(Tabla152[[#This Row],[PRESENCIA DE LARVA]],Tabla152[[#This Row],[CHANCHITO BLANCO]])/$X$10)</f>
        <v>0</v>
      </c>
      <c r="DU106" s="18">
        <f>IF($X106="","",SUM(Tabla152[[#This Row],[ROJO GRADO 2 A MÁS]],Tabla152[[#This Row],[IMMADURO VERDE]],Tabla152[[#This Row],[DESORDEN POR MADURACIÓN]],Tabla152[[#This Row],[ARO PEDICELAR VERDE EXTREMO]])/$X$10)</f>
        <v>0</v>
      </c>
      <c r="DV106" s="16">
        <f>IF($X106="","",SUM(Tabla152[[#This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06" s="16">
        <f t="shared" si="8"/>
        <v>0</v>
      </c>
      <c r="DX106" s="16">
        <f>IF($X106="","",AJ106/$X$10)</f>
        <v>0</v>
      </c>
      <c r="DY106" s="16">
        <f>IF($X106="","",SUM(Tabla152[[#This Row],[PRESENCIA DE COROLA]],Tabla152[[#This Row],[PRESENCIA DE RESTO FLORAL VERDE]],Tabla152[[#This Row],[PRESENCIA DE PEDÚNCULO]])/$X$10)</f>
        <v>0</v>
      </c>
      <c r="DZ106" s="16">
        <f>IF($X106="","",SUM(Tabla152[[#This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07" spans="1:130" x14ac:dyDescent="0.3">
      <c r="A107" s="9">
        <f>IF(W107="","",IF(ROW()=10,1,IF(W107=W106,A106,MAX($A$9:A106)+1)))</f>
        <v>32</v>
      </c>
      <c r="B107" s="9">
        <f>WEEKNUM(Tabla152[[#This Row],[FECHA DE COSECHA]],21)</f>
        <v>36</v>
      </c>
      <c r="C107" s="9"/>
      <c r="D107" s="17">
        <v>46267</v>
      </c>
      <c r="E107" s="17">
        <v>46267</v>
      </c>
      <c r="F107" s="9">
        <v>1</v>
      </c>
      <c r="G107" s="9" t="s">
        <v>77</v>
      </c>
      <c r="H107" s="9" t="s">
        <v>144</v>
      </c>
      <c r="I107" s="9" t="s">
        <v>134</v>
      </c>
      <c r="J107" s="9" t="s">
        <v>78</v>
      </c>
      <c r="K107" s="9" t="s">
        <v>153</v>
      </c>
      <c r="L107" s="9" t="s">
        <v>131</v>
      </c>
      <c r="M107" s="9" t="s">
        <v>239</v>
      </c>
      <c r="N107" s="9" t="s">
        <v>151</v>
      </c>
      <c r="O107" s="9" t="s">
        <v>244</v>
      </c>
      <c r="P107" s="9" t="s">
        <v>152</v>
      </c>
      <c r="Q107" s="9"/>
      <c r="R107" s="9">
        <v>8</v>
      </c>
      <c r="S107" s="9">
        <v>74547547</v>
      </c>
      <c r="T107" t="s">
        <v>232</v>
      </c>
      <c r="U107" s="9" t="s">
        <v>147</v>
      </c>
      <c r="V107" s="9"/>
      <c r="W107" s="19" t="s">
        <v>184</v>
      </c>
      <c r="X107" s="9">
        <v>61</v>
      </c>
      <c r="Y107" s="9">
        <v>2</v>
      </c>
      <c r="Z107" s="9">
        <v>5</v>
      </c>
      <c r="AA107" s="9" t="str">
        <f>IF(Tabla152[[#This Row],[NOTA]]=15,"CUMPLE","NO CUMPLE")</f>
        <v>NO CUMPLE</v>
      </c>
      <c r="AB107" s="9" t="str">
        <f>IF(COUNTIF($A$10:A107,A107)=1,IF(COUNTIFS($A:$A,A107,$AA:$AA,"NO CUMPLE")&gt;0,"NO CUMPLE","CUMPLE"),"")</f>
        <v/>
      </c>
      <c r="AC107" s="9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7"/>
      <c r="AR107" s="7"/>
      <c r="AS107" s="7"/>
      <c r="AT107" s="7">
        <v>1</v>
      </c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18"/>
      <c r="BX107" s="18">
        <f>IF($X107="","",AE107/$X$10)</f>
        <v>0</v>
      </c>
      <c r="BY107" s="18">
        <f>IF($X107="","",AF107/$X$10)</f>
        <v>0</v>
      </c>
      <c r="BZ107" s="18">
        <f>IF($X107="","",AG107/$X$10)</f>
        <v>0</v>
      </c>
      <c r="CA107" s="18">
        <f>IF($X107="","",AH107/$X$10)</f>
        <v>0</v>
      </c>
      <c r="CB107" s="18">
        <f t="shared" si="9"/>
        <v>0</v>
      </c>
      <c r="CC107" s="18">
        <f>IF($X107="","",AJ107/$X$10)</f>
        <v>0</v>
      </c>
      <c r="CD107" s="18">
        <f>IF($X107="","",AK107/$X$10)</f>
        <v>0</v>
      </c>
      <c r="CE107" s="18">
        <f>IF($X107="","",AL107/$X$10)</f>
        <v>0</v>
      </c>
      <c r="CF107" s="18">
        <f>IF($X107="","",AM107/$X$10)</f>
        <v>0</v>
      </c>
      <c r="CG107" s="18">
        <f>IF($X107="","",AN107/$X$10)</f>
        <v>0</v>
      </c>
      <c r="CH107" s="18">
        <f>IF($X107="","",AO107/$X$10)</f>
        <v>0</v>
      </c>
      <c r="CI107" s="18">
        <f>IF($X107="","",AP107/$X$10)</f>
        <v>0</v>
      </c>
      <c r="CJ107" s="18">
        <f>IF($X107="","",AQ107/$X$10)</f>
        <v>0</v>
      </c>
      <c r="CK107" s="18">
        <f>IF($X107="","",AR107/$X$10)</f>
        <v>0</v>
      </c>
      <c r="CL107" s="18">
        <f>IF($X107="","",AS107/$X$10)</f>
        <v>0</v>
      </c>
      <c r="CM107" s="18">
        <f>IF($X107="","",AT107/$X$10)</f>
        <v>1.5873015873015872E-2</v>
      </c>
      <c r="CN107" s="18">
        <f>IF($X107="","",AU107/$X$10)</f>
        <v>0</v>
      </c>
      <c r="CO107" s="18">
        <f>IF($X107="","",AV107/$X$10)</f>
        <v>0</v>
      </c>
      <c r="CP107" s="18">
        <f>IF($X107="","",AW107/$X$10)</f>
        <v>0</v>
      </c>
      <c r="CQ107" s="18">
        <f>IF($X107="","",AX107/$X$10)</f>
        <v>0</v>
      </c>
      <c r="CR107" s="18">
        <f>IF($X107="","",AY107/$X$10)</f>
        <v>0</v>
      </c>
      <c r="CS107" s="18">
        <f>IF($X107="","",AZ107/$X$10)</f>
        <v>0</v>
      </c>
      <c r="CT107" s="18">
        <f>IF($X107="","",BA107/$X$10)</f>
        <v>0</v>
      </c>
      <c r="CU107" s="18">
        <f>IF($X107="","",BB107/$X$10)</f>
        <v>0</v>
      </c>
      <c r="CV107" s="18">
        <f>IF($X107="","",BC107/$X$10)</f>
        <v>0</v>
      </c>
      <c r="CW107" s="18">
        <f>IF($X107="","",BD107/$X$10)</f>
        <v>0</v>
      </c>
      <c r="CX107" s="18">
        <f>IF($X107="","",BE107/$X$10)</f>
        <v>0</v>
      </c>
      <c r="CY107" s="18">
        <f>IF($X107="","",BF107/$X$10)</f>
        <v>0</v>
      </c>
      <c r="CZ107" s="18">
        <f>IF($X107="","",BG107/$X$10)</f>
        <v>0</v>
      </c>
      <c r="DA107" s="18">
        <f>IF($X107="","",BH107/$X$10)</f>
        <v>0</v>
      </c>
      <c r="DB107" s="18">
        <f>IF($X107="","",BI107/$X$10)</f>
        <v>0</v>
      </c>
      <c r="DC107" s="18">
        <f>IF($X107="","",BJ107/$X$10)</f>
        <v>0</v>
      </c>
      <c r="DD107" s="18">
        <f>IF($X107="","",BK107/$X$10)</f>
        <v>0</v>
      </c>
      <c r="DE107" s="18">
        <f>IF($X107="","",BL107/$X$10)</f>
        <v>0</v>
      </c>
      <c r="DF107" s="18">
        <f>IF($X107="","",BM107/$X$10)</f>
        <v>0</v>
      </c>
      <c r="DG107" s="18">
        <f t="shared" si="10"/>
        <v>0</v>
      </c>
      <c r="DH107" s="18">
        <f>IF($X107="","",BO107/$X$10)</f>
        <v>0</v>
      </c>
      <c r="DI107" s="18">
        <f>IF($X107="","",BP107/$X$10)</f>
        <v>0</v>
      </c>
      <c r="DJ107" s="18">
        <f>IF($X107="","",BQ107/$X$10)</f>
        <v>0</v>
      </c>
      <c r="DK107" s="18">
        <f>IF($X107="","",BR107/$X$10)</f>
        <v>0</v>
      </c>
      <c r="DL107" s="18">
        <f>IF($X107="","",BS107/$X$10)</f>
        <v>0</v>
      </c>
      <c r="DM107" s="18">
        <f>IF($X107="","",BT107/$X$10)</f>
        <v>0</v>
      </c>
      <c r="DN107" s="18">
        <f t="shared" si="11"/>
        <v>0</v>
      </c>
      <c r="DO107" s="16">
        <f>IF($X107="","",SUM(Tabla152[[#This Row],[PODRIDO]],Tabla152[[#This Row],[HONGO]],Tabla152[[#This Row],[PICADO DE AVE CON PUDRICIÓN]],Tabla152[[#This Row],[FUMAGINA]])/$X$10)</f>
        <v>0</v>
      </c>
      <c r="DP107" s="16">
        <f>IF($X107="","",SUM(Tabla152[[#This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1.5873015873015872E-2</v>
      </c>
      <c r="DQ107" s="16">
        <f>IF($X107="","",SUM(Tabla152[[#This Row],[BLANDO]:[COLAPSADO]])/$X$10)</f>
        <v>0</v>
      </c>
      <c r="DR107" s="16">
        <f>IF($X107="","",SUM(Tabla152[[#This Row],[DESHIDRATADO LEVE]:[DESHIDRATADO INMADURO]])/$X$10)</f>
        <v>0</v>
      </c>
      <c r="DS107" s="18">
        <f t="shared" si="7"/>
        <v>0</v>
      </c>
      <c r="DT107" s="16">
        <f>IF($X107="","",SUM(Tabla152[[#This Row],[PRESENCIA DE LARVA]],Tabla152[[#This Row],[CHANCHITO BLANCO]])/$X$10)</f>
        <v>0</v>
      </c>
      <c r="DU107" s="18">
        <f>IF($X107="","",SUM(Tabla152[[#This Row],[ROJO GRADO 2 A MÁS]],Tabla152[[#This Row],[IMMADURO VERDE]],Tabla152[[#This Row],[DESORDEN POR MADURACIÓN]],Tabla152[[#This Row],[ARO PEDICELAR VERDE EXTREMO]])/$X$10)</f>
        <v>0</v>
      </c>
      <c r="DV107" s="16">
        <f>IF($X107="","",SUM(Tabla152[[#This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07" s="16">
        <f t="shared" si="8"/>
        <v>0</v>
      </c>
      <c r="DX107" s="16">
        <f>IF($X107="","",AJ107/$X$10)</f>
        <v>0</v>
      </c>
      <c r="DY107" s="16">
        <f>IF($X107="","",SUM(Tabla152[[#This Row],[PRESENCIA DE COROLA]],Tabla152[[#This Row],[PRESENCIA DE RESTO FLORAL VERDE]],Tabla152[[#This Row],[PRESENCIA DE PEDÚNCULO]])/$X$10)</f>
        <v>0</v>
      </c>
      <c r="DZ107" s="16">
        <f>IF($X107="","",SUM(Tabla152[[#This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08" spans="1:130" x14ac:dyDescent="0.3">
      <c r="A108" s="9">
        <f>IF(W108="","",IF(ROW()=10,1,IF(W108=W107,A107,MAX($A$9:A107)+1)))</f>
        <v>32</v>
      </c>
      <c r="B108" s="9">
        <f>WEEKNUM(Tabla152[[#This Row],[FECHA DE COSECHA]],21)</f>
        <v>36</v>
      </c>
      <c r="C108" s="9"/>
      <c r="D108" s="17">
        <v>46267</v>
      </c>
      <c r="E108" s="17">
        <v>46267</v>
      </c>
      <c r="F108" s="9">
        <v>1</v>
      </c>
      <c r="G108" s="9" t="s">
        <v>77</v>
      </c>
      <c r="H108" s="9" t="s">
        <v>144</v>
      </c>
      <c r="I108" s="9" t="s">
        <v>134</v>
      </c>
      <c r="J108" s="9" t="s">
        <v>78</v>
      </c>
      <c r="K108" s="9" t="s">
        <v>153</v>
      </c>
      <c r="L108" s="9" t="s">
        <v>131</v>
      </c>
      <c r="M108" s="9" t="s">
        <v>239</v>
      </c>
      <c r="N108" s="9" t="s">
        <v>151</v>
      </c>
      <c r="O108" s="9" t="s">
        <v>244</v>
      </c>
      <c r="P108" s="9" t="s">
        <v>152</v>
      </c>
      <c r="Q108" s="9"/>
      <c r="R108" s="9">
        <v>8</v>
      </c>
      <c r="S108" s="9">
        <v>74547547</v>
      </c>
      <c r="T108" t="s">
        <v>232</v>
      </c>
      <c r="U108" s="9" t="s">
        <v>147</v>
      </c>
      <c r="V108" s="9"/>
      <c r="W108" s="19" t="s">
        <v>184</v>
      </c>
      <c r="X108" s="9">
        <v>61</v>
      </c>
      <c r="Y108" s="9">
        <v>3</v>
      </c>
      <c r="Z108" s="9">
        <v>5</v>
      </c>
      <c r="AA108" s="9" t="str">
        <f>IF(Tabla152[[#This Row],[NOTA]]=15,"CUMPLE","NO CUMPLE")</f>
        <v>NO CUMPLE</v>
      </c>
      <c r="AB108" s="9" t="str">
        <f>IF(COUNTIF($A$10:A108,A108)=1,IF(COUNTIFS($A:$A,A108,$AA:$AA,"NO CUMPLE")&gt;0,"NO CUMPLE","CUMPLE"),"")</f>
        <v/>
      </c>
      <c r="AC108" s="9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7"/>
      <c r="AR108" s="7"/>
      <c r="AS108" s="7"/>
      <c r="AT108" s="7">
        <v>3</v>
      </c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18"/>
      <c r="BX108" s="18">
        <f>IF($X108="","",AE108/$X$10)</f>
        <v>0</v>
      </c>
      <c r="BY108" s="18">
        <f>IF($X108="","",AF108/$X$10)</f>
        <v>0</v>
      </c>
      <c r="BZ108" s="18">
        <f>IF($X108="","",AG108/$X$10)</f>
        <v>0</v>
      </c>
      <c r="CA108" s="18">
        <f>IF($X108="","",AH108/$X$10)</f>
        <v>0</v>
      </c>
      <c r="CB108" s="18">
        <f t="shared" si="9"/>
        <v>0</v>
      </c>
      <c r="CC108" s="18">
        <f>IF($X108="","",AJ108/$X$10)</f>
        <v>0</v>
      </c>
      <c r="CD108" s="18">
        <f>IF($X108="","",AK108/$X$10)</f>
        <v>0</v>
      </c>
      <c r="CE108" s="18">
        <f>IF($X108="","",AL108/$X$10)</f>
        <v>0</v>
      </c>
      <c r="CF108" s="18">
        <f>IF($X108="","",AM108/$X$10)</f>
        <v>0</v>
      </c>
      <c r="CG108" s="18">
        <f>IF($X108="","",AN108/$X$10)</f>
        <v>0</v>
      </c>
      <c r="CH108" s="18">
        <f>IF($X108="","",AO108/$X$10)</f>
        <v>0</v>
      </c>
      <c r="CI108" s="18">
        <f>IF($X108="","",AP108/$X$10)</f>
        <v>0</v>
      </c>
      <c r="CJ108" s="18">
        <f>IF($X108="","",AQ108/$X$10)</f>
        <v>0</v>
      </c>
      <c r="CK108" s="18">
        <f>IF($X108="","",AR108/$X$10)</f>
        <v>0</v>
      </c>
      <c r="CL108" s="18">
        <f>IF($X108="","",AS108/$X$10)</f>
        <v>0</v>
      </c>
      <c r="CM108" s="18">
        <f>IF($X108="","",AT108/$X$10)</f>
        <v>4.7619047619047616E-2</v>
      </c>
      <c r="CN108" s="18">
        <f>IF($X108="","",AU108/$X$10)</f>
        <v>0</v>
      </c>
      <c r="CO108" s="18">
        <f>IF($X108="","",AV108/$X$10)</f>
        <v>0</v>
      </c>
      <c r="CP108" s="18">
        <f>IF($X108="","",AW108/$X$10)</f>
        <v>0</v>
      </c>
      <c r="CQ108" s="18">
        <f>IF($X108="","",AX108/$X$10)</f>
        <v>0</v>
      </c>
      <c r="CR108" s="18">
        <f>IF($X108="","",AY108/$X$10)</f>
        <v>0</v>
      </c>
      <c r="CS108" s="18">
        <f>IF($X108="","",AZ108/$X$10)</f>
        <v>0</v>
      </c>
      <c r="CT108" s="18">
        <f>IF($X108="","",BA108/$X$10)</f>
        <v>0</v>
      </c>
      <c r="CU108" s="18">
        <f>IF($X108="","",BB108/$X$10)</f>
        <v>0</v>
      </c>
      <c r="CV108" s="18">
        <f>IF($X108="","",BC108/$X$10)</f>
        <v>0</v>
      </c>
      <c r="CW108" s="18">
        <f>IF($X108="","",BD108/$X$10)</f>
        <v>0</v>
      </c>
      <c r="CX108" s="18">
        <f>IF($X108="","",BE108/$X$10)</f>
        <v>0</v>
      </c>
      <c r="CY108" s="18">
        <f>IF($X108="","",BF108/$X$10)</f>
        <v>0</v>
      </c>
      <c r="CZ108" s="18">
        <f>IF($X108="","",BG108/$X$10)</f>
        <v>0</v>
      </c>
      <c r="DA108" s="18">
        <f>IF($X108="","",BH108/$X$10)</f>
        <v>0</v>
      </c>
      <c r="DB108" s="18">
        <f>IF($X108="","",BI108/$X$10)</f>
        <v>0</v>
      </c>
      <c r="DC108" s="18">
        <f>IF($X108="","",BJ108/$X$10)</f>
        <v>0</v>
      </c>
      <c r="DD108" s="18">
        <f>IF($X108="","",BK108/$X$10)</f>
        <v>0</v>
      </c>
      <c r="DE108" s="18">
        <f>IF($X108="","",BL108/$X$10)</f>
        <v>0</v>
      </c>
      <c r="DF108" s="18">
        <f>IF($X108="","",BM108/$X$10)</f>
        <v>0</v>
      </c>
      <c r="DG108" s="18">
        <f t="shared" si="10"/>
        <v>0</v>
      </c>
      <c r="DH108" s="18">
        <f>IF($X108="","",BO108/$X$10)</f>
        <v>0</v>
      </c>
      <c r="DI108" s="18">
        <f>IF($X108="","",BP108/$X$10)</f>
        <v>0</v>
      </c>
      <c r="DJ108" s="18">
        <f>IF($X108="","",BQ108/$X$10)</f>
        <v>0</v>
      </c>
      <c r="DK108" s="18">
        <f>IF($X108="","",BR108/$X$10)</f>
        <v>0</v>
      </c>
      <c r="DL108" s="18">
        <f>IF($X108="","",BS108/$X$10)</f>
        <v>0</v>
      </c>
      <c r="DM108" s="18">
        <f>IF($X108="","",BT108/$X$10)</f>
        <v>0</v>
      </c>
      <c r="DN108" s="18">
        <f t="shared" si="11"/>
        <v>0</v>
      </c>
      <c r="DO108" s="16">
        <f>IF($X108="","",SUM(Tabla152[[#This Row],[PODRIDO]],Tabla152[[#This Row],[HONGO]],Tabla152[[#This Row],[PICADO DE AVE CON PUDRICIÓN]],Tabla152[[#This Row],[FUMAGINA]])/$X$10)</f>
        <v>0</v>
      </c>
      <c r="DP108" s="16">
        <f>IF($X108="","",SUM(Tabla152[[#This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4.7619047619047616E-2</v>
      </c>
      <c r="DQ108" s="16">
        <f>IF($X108="","",SUM(Tabla152[[#This Row],[BLANDO]:[COLAPSADO]])/$X$10)</f>
        <v>0</v>
      </c>
      <c r="DR108" s="16">
        <f>IF($X108="","",SUM(Tabla152[[#This Row],[DESHIDRATADO LEVE]:[DESHIDRATADO INMADURO]])/$X$10)</f>
        <v>0</v>
      </c>
      <c r="DS108" s="18">
        <f t="shared" si="7"/>
        <v>0</v>
      </c>
      <c r="DT108" s="16">
        <f>IF($X108="","",SUM(Tabla152[[#This Row],[PRESENCIA DE LARVA]],Tabla152[[#This Row],[CHANCHITO BLANCO]])/$X$10)</f>
        <v>0</v>
      </c>
      <c r="DU108" s="18">
        <f>IF($X108="","",SUM(Tabla152[[#This Row],[ROJO GRADO 2 A MÁS]],Tabla152[[#This Row],[IMMADURO VERDE]],Tabla152[[#This Row],[DESORDEN POR MADURACIÓN]],Tabla152[[#This Row],[ARO PEDICELAR VERDE EXTREMO]])/$X$10)</f>
        <v>0</v>
      </c>
      <c r="DV108" s="16">
        <f>IF($X108="","",SUM(Tabla152[[#This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08" s="16">
        <f t="shared" si="8"/>
        <v>0</v>
      </c>
      <c r="DX108" s="16">
        <f>IF($X108="","",AJ108/$X$10)</f>
        <v>0</v>
      </c>
      <c r="DY108" s="16">
        <f>IF($X108="","",SUM(Tabla152[[#This Row],[PRESENCIA DE COROLA]],Tabla152[[#This Row],[PRESENCIA DE RESTO FLORAL VERDE]],Tabla152[[#This Row],[PRESENCIA DE PEDÚNCULO]])/$X$10)</f>
        <v>0</v>
      </c>
      <c r="DZ108" s="16">
        <f>IF($X108="","",SUM(Tabla152[[#This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09" spans="1:130" x14ac:dyDescent="0.3">
      <c r="A109" s="9">
        <f>IF(W109="","",IF(ROW()=10,1,IF(W109=W108,A108,MAX($A$9:A108)+1)))</f>
        <v>33</v>
      </c>
      <c r="B109" s="9">
        <f>WEEKNUM(Tabla152[[#This Row],[FECHA DE COSECHA]],21)</f>
        <v>36</v>
      </c>
      <c r="C109" s="9"/>
      <c r="D109" s="17">
        <v>46267</v>
      </c>
      <c r="E109" s="17">
        <v>46267</v>
      </c>
      <c r="F109" s="9">
        <v>1</v>
      </c>
      <c r="G109" s="9" t="s">
        <v>77</v>
      </c>
      <c r="H109" s="9" t="s">
        <v>144</v>
      </c>
      <c r="I109" s="9" t="s">
        <v>134</v>
      </c>
      <c r="J109" s="9" t="s">
        <v>78</v>
      </c>
      <c r="K109" s="9" t="s">
        <v>153</v>
      </c>
      <c r="L109" s="9" t="s">
        <v>131</v>
      </c>
      <c r="M109" s="9" t="s">
        <v>239</v>
      </c>
      <c r="N109" s="9" t="s">
        <v>151</v>
      </c>
      <c r="O109" s="9" t="s">
        <v>244</v>
      </c>
      <c r="P109" s="9" t="s">
        <v>152</v>
      </c>
      <c r="Q109" s="9"/>
      <c r="R109" s="9">
        <v>8</v>
      </c>
      <c r="S109" s="9">
        <v>74547547</v>
      </c>
      <c r="T109" t="s">
        <v>232</v>
      </c>
      <c r="U109" s="9" t="s">
        <v>147</v>
      </c>
      <c r="V109" s="9"/>
      <c r="W109" s="19" t="s">
        <v>185</v>
      </c>
      <c r="X109" s="9">
        <v>61</v>
      </c>
      <c r="Y109" s="9">
        <v>1</v>
      </c>
      <c r="Z109" s="9">
        <v>5</v>
      </c>
      <c r="AA109" s="9" t="str">
        <f>IF(Tabla152[[#This Row],[NOTA]]=15,"CUMPLE","NO CUMPLE")</f>
        <v>NO CUMPLE</v>
      </c>
      <c r="AB109" s="9" t="str">
        <f>IF(COUNTIF($A$10:A109,A109)=1,IF(COUNTIFS($A:$A,A109,$AA:$AA,"NO CUMPLE")&gt;0,"NO CUMPLE","CUMPLE"),"")</f>
        <v>NO CUMPLE</v>
      </c>
      <c r="AC109" s="9" t="s">
        <v>140</v>
      </c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7"/>
      <c r="AR109" s="7"/>
      <c r="AS109" s="7">
        <v>2</v>
      </c>
      <c r="AT109" s="7">
        <v>2</v>
      </c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18"/>
      <c r="BX109" s="18">
        <f>IF($X109="","",AE109/$X$10)</f>
        <v>0</v>
      </c>
      <c r="BY109" s="18">
        <f>IF($X109="","",AF109/$X$10)</f>
        <v>0</v>
      </c>
      <c r="BZ109" s="18">
        <f>IF($X109="","",AG109/$X$10)</f>
        <v>0</v>
      </c>
      <c r="CA109" s="18">
        <f>IF($X109="","",AH109/$X$10)</f>
        <v>0</v>
      </c>
      <c r="CB109" s="18">
        <f t="shared" si="9"/>
        <v>0</v>
      </c>
      <c r="CC109" s="18">
        <f>IF($X109="","",AJ109/$X$10)</f>
        <v>0</v>
      </c>
      <c r="CD109" s="18">
        <f>IF($X109="","",AK109/$X$10)</f>
        <v>0</v>
      </c>
      <c r="CE109" s="18">
        <f>IF($X109="","",AL109/$X$10)</f>
        <v>0</v>
      </c>
      <c r="CF109" s="18">
        <f>IF($X109="","",AM109/$X$10)</f>
        <v>0</v>
      </c>
      <c r="CG109" s="18">
        <f>IF($X109="","",AN109/$X$10)</f>
        <v>0</v>
      </c>
      <c r="CH109" s="18">
        <f>IF($X109="","",AO109/$X$10)</f>
        <v>0</v>
      </c>
      <c r="CI109" s="18">
        <f>IF($X109="","",AP109/$X$10)</f>
        <v>0</v>
      </c>
      <c r="CJ109" s="18">
        <f>IF($X109="","",AQ109/$X$10)</f>
        <v>0</v>
      </c>
      <c r="CK109" s="18">
        <f>IF($X109="","",AR109/$X$10)</f>
        <v>0</v>
      </c>
      <c r="CL109" s="18">
        <f>IF($X109="","",AS109/$X$10)</f>
        <v>3.1746031746031744E-2</v>
      </c>
      <c r="CM109" s="18">
        <f>IF($X109="","",AT109/$X$10)</f>
        <v>3.1746031746031744E-2</v>
      </c>
      <c r="CN109" s="18">
        <f>IF($X109="","",AU109/$X$10)</f>
        <v>0</v>
      </c>
      <c r="CO109" s="18">
        <f>IF($X109="","",AV109/$X$10)</f>
        <v>0</v>
      </c>
      <c r="CP109" s="18">
        <f>IF($X109="","",AW109/$X$10)</f>
        <v>0</v>
      </c>
      <c r="CQ109" s="18">
        <f>IF($X109="","",AX109/$X$10)</f>
        <v>0</v>
      </c>
      <c r="CR109" s="18">
        <f>IF($X109="","",AY109/$X$10)</f>
        <v>0</v>
      </c>
      <c r="CS109" s="18">
        <f>IF($X109="","",AZ109/$X$10)</f>
        <v>0</v>
      </c>
      <c r="CT109" s="18">
        <f>IF($X109="","",BA109/$X$10)</f>
        <v>0</v>
      </c>
      <c r="CU109" s="18">
        <f>IF($X109="","",BB109/$X$10)</f>
        <v>0</v>
      </c>
      <c r="CV109" s="18">
        <f>IF($X109="","",BC109/$X$10)</f>
        <v>0</v>
      </c>
      <c r="CW109" s="18">
        <f>IF($X109="","",BD109/$X$10)</f>
        <v>0</v>
      </c>
      <c r="CX109" s="18">
        <f>IF($X109="","",BE109/$X$10)</f>
        <v>0</v>
      </c>
      <c r="CY109" s="18">
        <f>IF($X109="","",BF109/$X$10)</f>
        <v>0</v>
      </c>
      <c r="CZ109" s="18">
        <f>IF($X109="","",BG109/$X$10)</f>
        <v>0</v>
      </c>
      <c r="DA109" s="18">
        <f>IF($X109="","",BH109/$X$10)</f>
        <v>0</v>
      </c>
      <c r="DB109" s="18">
        <f>IF($X109="","",BI109/$X$10)</f>
        <v>0</v>
      </c>
      <c r="DC109" s="18">
        <f>IF($X109="","",BJ109/$X$10)</f>
        <v>0</v>
      </c>
      <c r="DD109" s="18">
        <f>IF($X109="","",BK109/$X$10)</f>
        <v>0</v>
      </c>
      <c r="DE109" s="18">
        <f>IF($X109="","",BL109/$X$10)</f>
        <v>0</v>
      </c>
      <c r="DF109" s="18">
        <f>IF($X109="","",BM109/$X$10)</f>
        <v>0</v>
      </c>
      <c r="DG109" s="18">
        <f t="shared" si="10"/>
        <v>0</v>
      </c>
      <c r="DH109" s="18">
        <f>IF($X109="","",BO109/$X$10)</f>
        <v>0</v>
      </c>
      <c r="DI109" s="18">
        <f>IF($X109="","",BP109/$X$10)</f>
        <v>0</v>
      </c>
      <c r="DJ109" s="18">
        <f>IF($X109="","",BQ109/$X$10)</f>
        <v>0</v>
      </c>
      <c r="DK109" s="18">
        <f>IF($X109="","",BR109/$X$10)</f>
        <v>0</v>
      </c>
      <c r="DL109" s="18">
        <f>IF($X109="","",BS109/$X$10)</f>
        <v>0</v>
      </c>
      <c r="DM109" s="18">
        <f>IF($X109="","",BT109/$X$10)</f>
        <v>0</v>
      </c>
      <c r="DN109" s="18">
        <f t="shared" si="11"/>
        <v>0</v>
      </c>
      <c r="DO109" s="16">
        <f>IF($X109="","",SUM(Tabla152[[#This Row],[PODRIDO]],Tabla152[[#This Row],[HONGO]],Tabla152[[#This Row],[PICADO DE AVE CON PUDRICIÓN]],Tabla152[[#This Row],[FUMAGINA]])/$X$10)</f>
        <v>0</v>
      </c>
      <c r="DP109" s="16">
        <f>IF($X109="","",SUM(Tabla152[[#This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109" s="16">
        <f>IF($X109="","",SUM(Tabla152[[#This Row],[BLANDO]:[COLAPSADO]])/$X$10)</f>
        <v>0</v>
      </c>
      <c r="DR109" s="16">
        <f>IF($X109="","",SUM(Tabla152[[#This Row],[DESHIDRATADO LEVE]:[DESHIDRATADO INMADURO]])/$X$10)</f>
        <v>3.1746031746031744E-2</v>
      </c>
      <c r="DS109" s="18">
        <f t="shared" si="7"/>
        <v>0</v>
      </c>
      <c r="DT109" s="16">
        <f>IF($X109="","",SUM(Tabla152[[#This Row],[PRESENCIA DE LARVA]],Tabla152[[#This Row],[CHANCHITO BLANCO]])/$X$10)</f>
        <v>0</v>
      </c>
      <c r="DU109" s="18">
        <f>IF($X109="","",SUM(Tabla152[[#This Row],[ROJO GRADO 2 A MÁS]],Tabla152[[#This Row],[IMMADURO VERDE]],Tabla152[[#This Row],[DESORDEN POR MADURACIÓN]],Tabla152[[#This Row],[ARO PEDICELAR VERDE EXTREMO]])/$X$10)</f>
        <v>0</v>
      </c>
      <c r="DV109" s="16">
        <f>IF($X109="","",SUM(Tabla152[[#This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09" s="16">
        <f t="shared" si="8"/>
        <v>0</v>
      </c>
      <c r="DX109" s="16">
        <f>IF($X109="","",AJ109/$X$10)</f>
        <v>0</v>
      </c>
      <c r="DY109" s="16">
        <f>IF($X109="","",SUM(Tabla152[[#This Row],[PRESENCIA DE COROLA]],Tabla152[[#This Row],[PRESENCIA DE RESTO FLORAL VERDE]],Tabla152[[#This Row],[PRESENCIA DE PEDÚNCULO]])/$X$10)</f>
        <v>0</v>
      </c>
      <c r="DZ109" s="16">
        <f>IF($X109="","",SUM(Tabla152[[#This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10" spans="1:130" x14ac:dyDescent="0.3">
      <c r="A110" s="9">
        <f>IF(W110="","",IF(ROW()=10,1,IF(W110=W109,A109,MAX($A$9:A109)+1)))</f>
        <v>33</v>
      </c>
      <c r="B110" s="9">
        <f>WEEKNUM(Tabla152[[#This Row],[FECHA DE COSECHA]],21)</f>
        <v>36</v>
      </c>
      <c r="C110" s="9"/>
      <c r="D110" s="17">
        <v>46267</v>
      </c>
      <c r="E110" s="17">
        <v>46267</v>
      </c>
      <c r="F110" s="9">
        <v>1</v>
      </c>
      <c r="G110" s="9" t="s">
        <v>77</v>
      </c>
      <c r="H110" s="9" t="s">
        <v>144</v>
      </c>
      <c r="I110" s="9" t="s">
        <v>134</v>
      </c>
      <c r="J110" s="9" t="s">
        <v>78</v>
      </c>
      <c r="K110" s="9" t="s">
        <v>153</v>
      </c>
      <c r="L110" s="9" t="s">
        <v>131</v>
      </c>
      <c r="M110" s="9" t="s">
        <v>239</v>
      </c>
      <c r="N110" s="9" t="s">
        <v>151</v>
      </c>
      <c r="O110" s="9" t="s">
        <v>244</v>
      </c>
      <c r="P110" s="9" t="s">
        <v>152</v>
      </c>
      <c r="Q110" s="9"/>
      <c r="R110" s="9">
        <v>8</v>
      </c>
      <c r="S110" s="9">
        <v>74547547</v>
      </c>
      <c r="T110" t="s">
        <v>232</v>
      </c>
      <c r="U110" s="9" t="s">
        <v>147</v>
      </c>
      <c r="V110" s="9"/>
      <c r="W110" s="19" t="s">
        <v>185</v>
      </c>
      <c r="X110" s="9">
        <v>61</v>
      </c>
      <c r="Y110" s="9">
        <v>2</v>
      </c>
      <c r="Z110" s="9">
        <v>15</v>
      </c>
      <c r="AA110" s="9" t="str">
        <f>IF(Tabla152[[#This Row],[NOTA]]=15,"CUMPLE","NO CUMPLE")</f>
        <v>CUMPLE</v>
      </c>
      <c r="AB110" s="9" t="str">
        <f>IF(COUNTIF($A$10:A110,A110)=1,IF(COUNTIFS($A:$A,A110,$AA:$AA,"NO CUMPLE")&gt;0,"NO CUMPLE","CUMPLE"),"")</f>
        <v/>
      </c>
      <c r="AC110" s="9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18"/>
      <c r="BX110" s="18">
        <f>IF($X110="","",AE110/$X$10)</f>
        <v>0</v>
      </c>
      <c r="BY110" s="18">
        <f>IF($X110="","",AF110/$X$10)</f>
        <v>0</v>
      </c>
      <c r="BZ110" s="18">
        <f>IF($X110="","",AG110/$X$10)</f>
        <v>0</v>
      </c>
      <c r="CA110" s="18">
        <f>IF($X110="","",AH110/$X$10)</f>
        <v>0</v>
      </c>
      <c r="CB110" s="18">
        <f t="shared" si="9"/>
        <v>0</v>
      </c>
      <c r="CC110" s="18">
        <f>IF($X110="","",AJ110/$X$10)</f>
        <v>0</v>
      </c>
      <c r="CD110" s="18">
        <f>IF($X110="","",AK110/$X$10)</f>
        <v>0</v>
      </c>
      <c r="CE110" s="18">
        <f>IF($X110="","",AL110/$X$10)</f>
        <v>0</v>
      </c>
      <c r="CF110" s="18">
        <f>IF($X110="","",AM110/$X$10)</f>
        <v>0</v>
      </c>
      <c r="CG110" s="18">
        <f>IF($X110="","",AN110/$X$10)</f>
        <v>0</v>
      </c>
      <c r="CH110" s="18">
        <f>IF($X110="","",AO110/$X$10)</f>
        <v>0</v>
      </c>
      <c r="CI110" s="18">
        <f>IF($X110="","",AP110/$X$10)</f>
        <v>0</v>
      </c>
      <c r="CJ110" s="18">
        <f>IF($X110="","",AQ110/$X$10)</f>
        <v>0</v>
      </c>
      <c r="CK110" s="18">
        <f>IF($X110="","",AR110/$X$10)</f>
        <v>0</v>
      </c>
      <c r="CL110" s="18">
        <f>IF($X110="","",AS110/$X$10)</f>
        <v>0</v>
      </c>
      <c r="CM110" s="18">
        <f>IF($X110="","",AT110/$X$10)</f>
        <v>0</v>
      </c>
      <c r="CN110" s="18">
        <f>IF($X110="","",AU110/$X$10)</f>
        <v>0</v>
      </c>
      <c r="CO110" s="18">
        <f>IF($X110="","",AV110/$X$10)</f>
        <v>0</v>
      </c>
      <c r="CP110" s="18">
        <f>IF($X110="","",AW110/$X$10)</f>
        <v>0</v>
      </c>
      <c r="CQ110" s="18">
        <f>IF($X110="","",AX110/$X$10)</f>
        <v>0</v>
      </c>
      <c r="CR110" s="18">
        <f>IF($X110="","",AY110/$X$10)</f>
        <v>0</v>
      </c>
      <c r="CS110" s="18">
        <f>IF($X110="","",AZ110/$X$10)</f>
        <v>0</v>
      </c>
      <c r="CT110" s="18">
        <f>IF($X110="","",BA110/$X$10)</f>
        <v>0</v>
      </c>
      <c r="CU110" s="18">
        <f>IF($X110="","",BB110/$X$10)</f>
        <v>0</v>
      </c>
      <c r="CV110" s="18">
        <f>IF($X110="","",BC110/$X$10)</f>
        <v>0</v>
      </c>
      <c r="CW110" s="18">
        <f>IF($X110="","",BD110/$X$10)</f>
        <v>0</v>
      </c>
      <c r="CX110" s="18">
        <f>IF($X110="","",BE110/$X$10)</f>
        <v>0</v>
      </c>
      <c r="CY110" s="18">
        <f>IF($X110="","",BF110/$X$10)</f>
        <v>0</v>
      </c>
      <c r="CZ110" s="18">
        <f>IF($X110="","",BG110/$X$10)</f>
        <v>0</v>
      </c>
      <c r="DA110" s="18">
        <f>IF($X110="","",BH110/$X$10)</f>
        <v>0</v>
      </c>
      <c r="DB110" s="18">
        <f>IF($X110="","",BI110/$X$10)</f>
        <v>0</v>
      </c>
      <c r="DC110" s="18">
        <f>IF($X110="","",BJ110/$X$10)</f>
        <v>0</v>
      </c>
      <c r="DD110" s="18">
        <f>IF($X110="","",BK110/$X$10)</f>
        <v>0</v>
      </c>
      <c r="DE110" s="18">
        <f>IF($X110="","",BL110/$X$10)</f>
        <v>0</v>
      </c>
      <c r="DF110" s="18">
        <f>IF($X110="","",BM110/$X$10)</f>
        <v>0</v>
      </c>
      <c r="DG110" s="18">
        <f t="shared" si="10"/>
        <v>0</v>
      </c>
      <c r="DH110" s="18">
        <f>IF($X110="","",BO110/$X$10)</f>
        <v>0</v>
      </c>
      <c r="DI110" s="18">
        <f>IF($X110="","",BP110/$X$10)</f>
        <v>0</v>
      </c>
      <c r="DJ110" s="18">
        <f>IF($X110="","",BQ110/$X$10)</f>
        <v>0</v>
      </c>
      <c r="DK110" s="18">
        <f>IF($X110="","",BR110/$X$10)</f>
        <v>0</v>
      </c>
      <c r="DL110" s="18">
        <f>IF($X110="","",BS110/$X$10)</f>
        <v>0</v>
      </c>
      <c r="DM110" s="18">
        <f>IF($X110="","",BT110/$X$10)</f>
        <v>0</v>
      </c>
      <c r="DN110" s="18">
        <f t="shared" si="11"/>
        <v>0</v>
      </c>
      <c r="DO110" s="16">
        <f>IF($X110="","",SUM(Tabla152[[#This Row],[PODRIDO]],Tabla152[[#This Row],[HONGO]],Tabla152[[#This Row],[PICADO DE AVE CON PUDRICIÓN]],Tabla152[[#This Row],[FUMAGINA]])/$X$10)</f>
        <v>0</v>
      </c>
      <c r="DP110" s="16">
        <f>IF($X110="","",SUM(Tabla152[[#This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10" s="16">
        <f>IF($X110="","",SUM(Tabla152[[#This Row],[BLANDO]:[COLAPSADO]])/$X$10)</f>
        <v>0</v>
      </c>
      <c r="DR110" s="16">
        <f>IF($X110="","",SUM(Tabla152[[#This Row],[DESHIDRATADO LEVE]:[DESHIDRATADO INMADURO]])/$X$10)</f>
        <v>0</v>
      </c>
      <c r="DS110" s="18">
        <f t="shared" si="7"/>
        <v>0</v>
      </c>
      <c r="DT110" s="16">
        <f>IF($X110="","",SUM(Tabla152[[#This Row],[PRESENCIA DE LARVA]],Tabla152[[#This Row],[CHANCHITO BLANCO]])/$X$10)</f>
        <v>0</v>
      </c>
      <c r="DU110" s="18">
        <f>IF($X110="","",SUM(Tabla152[[#This Row],[ROJO GRADO 2 A MÁS]],Tabla152[[#This Row],[IMMADURO VERDE]],Tabla152[[#This Row],[DESORDEN POR MADURACIÓN]],Tabla152[[#This Row],[ARO PEDICELAR VERDE EXTREMO]])/$X$10)</f>
        <v>0</v>
      </c>
      <c r="DV110" s="16">
        <f>IF($X110="","",SUM(Tabla152[[#This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10" s="16">
        <f t="shared" si="8"/>
        <v>0</v>
      </c>
      <c r="DX110" s="16">
        <f>IF($X110="","",AJ110/$X$10)</f>
        <v>0</v>
      </c>
      <c r="DY110" s="16">
        <f>IF($X110="","",SUM(Tabla152[[#This Row],[PRESENCIA DE COROLA]],Tabla152[[#This Row],[PRESENCIA DE RESTO FLORAL VERDE]],Tabla152[[#This Row],[PRESENCIA DE PEDÚNCULO]])/$X$10)</f>
        <v>0</v>
      </c>
      <c r="DZ110" s="16">
        <f>IF($X110="","",SUM(Tabla152[[#This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11" spans="1:130" x14ac:dyDescent="0.3">
      <c r="A111" s="9">
        <f>IF(W111="","",IF(ROW()=10,1,IF(W111=W110,A110,MAX($A$9:A110)+1)))</f>
        <v>33</v>
      </c>
      <c r="B111" s="9">
        <f>WEEKNUM(Tabla152[[#This Row],[FECHA DE COSECHA]],21)</f>
        <v>36</v>
      </c>
      <c r="C111" s="9"/>
      <c r="D111" s="17">
        <v>46267</v>
      </c>
      <c r="E111" s="17">
        <v>46267</v>
      </c>
      <c r="F111" s="9">
        <v>1</v>
      </c>
      <c r="G111" s="9" t="s">
        <v>77</v>
      </c>
      <c r="H111" s="9" t="s">
        <v>144</v>
      </c>
      <c r="I111" s="9" t="s">
        <v>134</v>
      </c>
      <c r="J111" s="9" t="s">
        <v>78</v>
      </c>
      <c r="K111" s="9" t="s">
        <v>153</v>
      </c>
      <c r="L111" s="9" t="s">
        <v>131</v>
      </c>
      <c r="M111" s="9" t="s">
        <v>239</v>
      </c>
      <c r="N111" s="9" t="s">
        <v>151</v>
      </c>
      <c r="O111" s="9" t="s">
        <v>244</v>
      </c>
      <c r="P111" s="9" t="s">
        <v>152</v>
      </c>
      <c r="Q111" s="9"/>
      <c r="R111" s="9">
        <v>8</v>
      </c>
      <c r="S111" s="9">
        <v>74547547</v>
      </c>
      <c r="T111" t="s">
        <v>232</v>
      </c>
      <c r="U111" s="9" t="s">
        <v>147</v>
      </c>
      <c r="V111" s="9"/>
      <c r="W111" s="19" t="s">
        <v>185</v>
      </c>
      <c r="X111" s="9">
        <v>61</v>
      </c>
      <c r="Y111" s="9">
        <v>3</v>
      </c>
      <c r="Z111" s="9">
        <v>15</v>
      </c>
      <c r="AA111" s="9" t="str">
        <f>IF(Tabla152[[#This Row],[NOTA]]=15,"CUMPLE","NO CUMPLE")</f>
        <v>CUMPLE</v>
      </c>
      <c r="AB111" s="9" t="str">
        <f>IF(COUNTIF($A$10:A111,A111)=1,IF(COUNTIFS($A:$A,A111,$AA:$AA,"NO CUMPLE")&gt;0,"NO CUMPLE","CUMPLE"),"")</f>
        <v/>
      </c>
      <c r="AC111" s="9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18"/>
      <c r="BX111" s="18">
        <f>IF($X111="","",AE111/$X$10)</f>
        <v>0</v>
      </c>
      <c r="BY111" s="18">
        <f>IF($X111="","",AF111/$X$10)</f>
        <v>0</v>
      </c>
      <c r="BZ111" s="18">
        <f>IF($X111="","",AG111/$X$10)</f>
        <v>0</v>
      </c>
      <c r="CA111" s="18">
        <f>IF($X111="","",AH111/$X$10)</f>
        <v>0</v>
      </c>
      <c r="CB111" s="18">
        <f t="shared" si="9"/>
        <v>0</v>
      </c>
      <c r="CC111" s="18">
        <f>IF($X111="","",AJ111/$X$10)</f>
        <v>0</v>
      </c>
      <c r="CD111" s="18">
        <f>IF($X111="","",AK111/$X$10)</f>
        <v>0</v>
      </c>
      <c r="CE111" s="18">
        <f>IF($X111="","",AL111/$X$10)</f>
        <v>0</v>
      </c>
      <c r="CF111" s="18">
        <f>IF($X111="","",AM111/$X$10)</f>
        <v>0</v>
      </c>
      <c r="CG111" s="18">
        <f>IF($X111="","",AN111/$X$10)</f>
        <v>0</v>
      </c>
      <c r="CH111" s="18">
        <f>IF($X111="","",AO111/$X$10)</f>
        <v>0</v>
      </c>
      <c r="CI111" s="18">
        <f>IF($X111="","",AP111/$X$10)</f>
        <v>0</v>
      </c>
      <c r="CJ111" s="18">
        <f>IF($X111="","",AQ111/$X$10)</f>
        <v>0</v>
      </c>
      <c r="CK111" s="18">
        <f>IF($X111="","",AR111/$X$10)</f>
        <v>0</v>
      </c>
      <c r="CL111" s="18">
        <f>IF($X111="","",AS111/$X$10)</f>
        <v>0</v>
      </c>
      <c r="CM111" s="18">
        <f>IF($X111="","",AT111/$X$10)</f>
        <v>0</v>
      </c>
      <c r="CN111" s="18">
        <f>IF($X111="","",AU111/$X$10)</f>
        <v>0</v>
      </c>
      <c r="CO111" s="18">
        <f>IF($X111="","",AV111/$X$10)</f>
        <v>0</v>
      </c>
      <c r="CP111" s="18">
        <f>IF($X111="","",AW111/$X$10)</f>
        <v>0</v>
      </c>
      <c r="CQ111" s="18">
        <f>IF($X111="","",AX111/$X$10)</f>
        <v>0</v>
      </c>
      <c r="CR111" s="18">
        <f>IF($X111="","",AY111/$X$10)</f>
        <v>0</v>
      </c>
      <c r="CS111" s="18">
        <f>IF($X111="","",AZ111/$X$10)</f>
        <v>0</v>
      </c>
      <c r="CT111" s="18">
        <f>IF($X111="","",BA111/$X$10)</f>
        <v>0</v>
      </c>
      <c r="CU111" s="18">
        <f>IF($X111="","",BB111/$X$10)</f>
        <v>0</v>
      </c>
      <c r="CV111" s="18">
        <f>IF($X111="","",BC111/$X$10)</f>
        <v>0</v>
      </c>
      <c r="CW111" s="18">
        <f>IF($X111="","",BD111/$X$10)</f>
        <v>0</v>
      </c>
      <c r="CX111" s="18">
        <f>IF($X111="","",BE111/$X$10)</f>
        <v>0</v>
      </c>
      <c r="CY111" s="18">
        <f>IF($X111="","",BF111/$X$10)</f>
        <v>0</v>
      </c>
      <c r="CZ111" s="18">
        <f>IF($X111="","",BG111/$X$10)</f>
        <v>0</v>
      </c>
      <c r="DA111" s="18">
        <f>IF($X111="","",BH111/$X$10)</f>
        <v>0</v>
      </c>
      <c r="DB111" s="18">
        <f>IF($X111="","",BI111/$X$10)</f>
        <v>0</v>
      </c>
      <c r="DC111" s="18">
        <f>IF($X111="","",BJ111/$X$10)</f>
        <v>0</v>
      </c>
      <c r="DD111" s="18">
        <f>IF($X111="","",BK111/$X$10)</f>
        <v>0</v>
      </c>
      <c r="DE111" s="18">
        <f>IF($X111="","",BL111/$X$10)</f>
        <v>0</v>
      </c>
      <c r="DF111" s="18">
        <f>IF($X111="","",BM111/$X$10)</f>
        <v>0</v>
      </c>
      <c r="DG111" s="18">
        <f t="shared" si="10"/>
        <v>0</v>
      </c>
      <c r="DH111" s="18">
        <f>IF($X111="","",BO111/$X$10)</f>
        <v>0</v>
      </c>
      <c r="DI111" s="18">
        <f>IF($X111="","",BP111/$X$10)</f>
        <v>0</v>
      </c>
      <c r="DJ111" s="18">
        <f>IF($X111="","",BQ111/$X$10)</f>
        <v>0</v>
      </c>
      <c r="DK111" s="18">
        <f>IF($X111="","",BR111/$X$10)</f>
        <v>0</v>
      </c>
      <c r="DL111" s="18">
        <f>IF($X111="","",BS111/$X$10)</f>
        <v>0</v>
      </c>
      <c r="DM111" s="18">
        <f>IF($X111="","",BT111/$X$10)</f>
        <v>0</v>
      </c>
      <c r="DN111" s="18">
        <f t="shared" si="11"/>
        <v>0</v>
      </c>
      <c r="DO111" s="16">
        <f>IF($X111="","",SUM(Tabla152[[#This Row],[PODRIDO]],Tabla152[[#This Row],[HONGO]],Tabla152[[#This Row],[PICADO DE AVE CON PUDRICIÓN]],Tabla152[[#This Row],[FUMAGINA]])/$X$10)</f>
        <v>0</v>
      </c>
      <c r="DP111" s="16">
        <f>IF($X111="","",SUM(Tabla152[[#This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11" s="16">
        <f>IF($X111="","",SUM(Tabla152[[#This Row],[BLANDO]:[COLAPSADO]])/$X$10)</f>
        <v>0</v>
      </c>
      <c r="DR111" s="16">
        <f>IF($X111="","",SUM(Tabla152[[#This Row],[DESHIDRATADO LEVE]:[DESHIDRATADO INMADURO]])/$X$10)</f>
        <v>0</v>
      </c>
      <c r="DS111" s="18">
        <f t="shared" si="7"/>
        <v>0</v>
      </c>
      <c r="DT111" s="16">
        <f>IF($X111="","",SUM(Tabla152[[#This Row],[PRESENCIA DE LARVA]],Tabla152[[#This Row],[CHANCHITO BLANCO]])/$X$10)</f>
        <v>0</v>
      </c>
      <c r="DU111" s="18">
        <f>IF($X111="","",SUM(Tabla152[[#This Row],[ROJO GRADO 2 A MÁS]],Tabla152[[#This Row],[IMMADURO VERDE]],Tabla152[[#This Row],[DESORDEN POR MADURACIÓN]],Tabla152[[#This Row],[ARO PEDICELAR VERDE EXTREMO]])/$X$10)</f>
        <v>0</v>
      </c>
      <c r="DV111" s="16">
        <f>IF($X111="","",SUM(Tabla152[[#This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11" s="16">
        <f t="shared" si="8"/>
        <v>0</v>
      </c>
      <c r="DX111" s="16">
        <f>IF($X111="","",AJ111/$X$10)</f>
        <v>0</v>
      </c>
      <c r="DY111" s="16">
        <f>IF($X111="","",SUM(Tabla152[[#This Row],[PRESENCIA DE COROLA]],Tabla152[[#This Row],[PRESENCIA DE RESTO FLORAL VERDE]],Tabla152[[#This Row],[PRESENCIA DE PEDÚNCULO]])/$X$10)</f>
        <v>0</v>
      </c>
      <c r="DZ111" s="16">
        <f>IF($X111="","",SUM(Tabla152[[#This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12" spans="1:130" x14ac:dyDescent="0.3">
      <c r="A112" s="9">
        <f>IF(W112="","",IF(ROW()=10,1,IF(W112=W111,A111,MAX($A$9:A111)+1)))</f>
        <v>34</v>
      </c>
      <c r="B112" s="9">
        <f>WEEKNUM(Tabla152[[#This Row],[FECHA DE COSECHA]],21)</f>
        <v>36</v>
      </c>
      <c r="C112" s="9"/>
      <c r="D112" s="17">
        <v>46267</v>
      </c>
      <c r="E112" s="17">
        <v>46267</v>
      </c>
      <c r="F112" s="9">
        <v>1</v>
      </c>
      <c r="G112" s="9" t="s">
        <v>77</v>
      </c>
      <c r="H112" s="9" t="s">
        <v>144</v>
      </c>
      <c r="I112" s="9" t="s">
        <v>134</v>
      </c>
      <c r="J112" s="9" t="s">
        <v>135</v>
      </c>
      <c r="K112" s="9" t="s">
        <v>146</v>
      </c>
      <c r="L112" s="9" t="s">
        <v>131</v>
      </c>
      <c r="M112" s="9" t="s">
        <v>240</v>
      </c>
      <c r="N112" s="9" t="s">
        <v>145</v>
      </c>
      <c r="O112" s="9" t="s">
        <v>137</v>
      </c>
      <c r="P112" s="9" t="s">
        <v>243</v>
      </c>
      <c r="Q112" s="9"/>
      <c r="R112" s="9">
        <v>7</v>
      </c>
      <c r="S112" s="9">
        <v>78114711</v>
      </c>
      <c r="T112" t="s">
        <v>233</v>
      </c>
      <c r="U112" s="9" t="s">
        <v>147</v>
      </c>
      <c r="V112" s="9"/>
      <c r="W112" s="19" t="s">
        <v>186</v>
      </c>
      <c r="X112" s="9">
        <v>42</v>
      </c>
      <c r="Y112" s="9">
        <v>1</v>
      </c>
      <c r="Z112" s="9">
        <v>5</v>
      </c>
      <c r="AA112" s="9" t="str">
        <f>IF(Tabla152[[#This Row],[NOTA]]=15,"CUMPLE","NO CUMPLE")</f>
        <v>NO CUMPLE</v>
      </c>
      <c r="AB112" s="9" t="str">
        <f>IF(COUNTIF($A$10:A112,A112)=1,IF(COUNTIFS($A:$A,A112,$AA:$AA,"NO CUMPLE")&gt;0,"NO CUMPLE","CUMPLE"),"")</f>
        <v>NO CUMPLE</v>
      </c>
      <c r="AC112" s="9" t="s">
        <v>140</v>
      </c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7"/>
      <c r="AR112" s="7"/>
      <c r="AS112" s="7"/>
      <c r="AT112" s="7"/>
      <c r="AU112" s="7"/>
      <c r="AV112" s="7"/>
      <c r="AW112" s="7"/>
      <c r="AX112" s="7"/>
      <c r="AY112" s="7"/>
      <c r="AZ112" s="7">
        <v>1</v>
      </c>
      <c r="BA112" s="7"/>
      <c r="BB112" s="7"/>
      <c r="BC112" s="7">
        <v>1</v>
      </c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18"/>
      <c r="BX112" s="18">
        <f>IF($X112="","",AE112/$X$10)</f>
        <v>0</v>
      </c>
      <c r="BY112" s="18">
        <f>IF($X112="","",AF112/$X$10)</f>
        <v>0</v>
      </c>
      <c r="BZ112" s="18">
        <f>IF($X112="","",AG112/$X$10)</f>
        <v>0</v>
      </c>
      <c r="CA112" s="18">
        <f>IF($X112="","",AH112/$X$10)</f>
        <v>0</v>
      </c>
      <c r="CB112" s="18">
        <f t="shared" si="9"/>
        <v>0</v>
      </c>
      <c r="CC112" s="18">
        <f>IF($X112="","",AJ112/$X$10)</f>
        <v>0</v>
      </c>
      <c r="CD112" s="18">
        <f>IF($X112="","",AK112/$X$10)</f>
        <v>0</v>
      </c>
      <c r="CE112" s="18">
        <f>IF($X112="","",AL112/$X$10)</f>
        <v>0</v>
      </c>
      <c r="CF112" s="18">
        <f>IF($X112="","",AM112/$X$10)</f>
        <v>0</v>
      </c>
      <c r="CG112" s="18">
        <f>IF($X112="","",AN112/$X$10)</f>
        <v>0</v>
      </c>
      <c r="CH112" s="18">
        <f>IF($X112="","",AO112/$X$10)</f>
        <v>0</v>
      </c>
      <c r="CI112" s="18">
        <f>IF($X112="","",AP112/$X$10)</f>
        <v>0</v>
      </c>
      <c r="CJ112" s="18">
        <f>IF($X112="","",AQ112/$X$10)</f>
        <v>0</v>
      </c>
      <c r="CK112" s="18">
        <f>IF($X112="","",AR112/$X$10)</f>
        <v>0</v>
      </c>
      <c r="CL112" s="18">
        <f>IF($X112="","",AS112/$X$10)</f>
        <v>0</v>
      </c>
      <c r="CM112" s="18">
        <f>IF($X112="","",AT112/$X$10)</f>
        <v>0</v>
      </c>
      <c r="CN112" s="18">
        <f>IF($X112="","",AU112/$X$10)</f>
        <v>0</v>
      </c>
      <c r="CO112" s="18">
        <f>IF($X112="","",AV112/$X$10)</f>
        <v>0</v>
      </c>
      <c r="CP112" s="18">
        <f>IF($X112="","",AW112/$X$10)</f>
        <v>0</v>
      </c>
      <c r="CQ112" s="18">
        <f>IF($X112="","",AX112/$X$10)</f>
        <v>0</v>
      </c>
      <c r="CR112" s="18">
        <f>IF($X112="","",AY112/$X$10)</f>
        <v>0</v>
      </c>
      <c r="CS112" s="18">
        <f>IF($X112="","",AZ112/$X$10)</f>
        <v>1.5873015873015872E-2</v>
      </c>
      <c r="CT112" s="18">
        <f>IF($X112="","",BA112/$X$10)</f>
        <v>0</v>
      </c>
      <c r="CU112" s="18">
        <f>IF($X112="","",BB112/$X$10)</f>
        <v>0</v>
      </c>
      <c r="CV112" s="18">
        <f>IF($X112="","",BC112/$X$10)</f>
        <v>1.5873015873015872E-2</v>
      </c>
      <c r="CW112" s="18">
        <f>IF($X112="","",BD112/$X$10)</f>
        <v>0</v>
      </c>
      <c r="CX112" s="18">
        <f>IF($X112="","",BE112/$X$10)</f>
        <v>0</v>
      </c>
      <c r="CY112" s="18">
        <f>IF($X112="","",BF112/$X$10)</f>
        <v>0</v>
      </c>
      <c r="CZ112" s="18">
        <f>IF($X112="","",BG112/$X$10)</f>
        <v>0</v>
      </c>
      <c r="DA112" s="18">
        <f>IF($X112="","",BH112/$X$10)</f>
        <v>0</v>
      </c>
      <c r="DB112" s="18">
        <f>IF($X112="","",BI112/$X$10)</f>
        <v>0</v>
      </c>
      <c r="DC112" s="18">
        <f>IF($X112="","",BJ112/$X$10)</f>
        <v>0</v>
      </c>
      <c r="DD112" s="18">
        <f>IF($X112="","",BK112/$X$10)</f>
        <v>0</v>
      </c>
      <c r="DE112" s="18">
        <f>IF($X112="","",BL112/$X$10)</f>
        <v>0</v>
      </c>
      <c r="DF112" s="18">
        <f>IF($X112="","",BM112/$X$10)</f>
        <v>0</v>
      </c>
      <c r="DG112" s="18">
        <f t="shared" si="10"/>
        <v>0</v>
      </c>
      <c r="DH112" s="18">
        <f>IF($X112="","",BO112/$X$10)</f>
        <v>0</v>
      </c>
      <c r="DI112" s="18">
        <f>IF($X112="","",BP112/$X$10)</f>
        <v>0</v>
      </c>
      <c r="DJ112" s="18">
        <f>IF($X112="","",BQ112/$X$10)</f>
        <v>0</v>
      </c>
      <c r="DK112" s="18">
        <f>IF($X112="","",BR112/$X$10)</f>
        <v>0</v>
      </c>
      <c r="DL112" s="18">
        <f>IF($X112="","",BS112/$X$10)</f>
        <v>0</v>
      </c>
      <c r="DM112" s="18">
        <f>IF($X112="","",BT112/$X$10)</f>
        <v>0</v>
      </c>
      <c r="DN112" s="18">
        <f>IF($X112="","",BU112/$X$10)</f>
        <v>0</v>
      </c>
      <c r="DO112" s="16">
        <f>IF($X112="","",SUM(Tabla152[[#This Row],[PODRIDO]],Tabla152[[#This Row],[HONGO]],Tabla152[[#This Row],[PICADO DE AVE CON PUDRICIÓN]],Tabla152[[#This Row],[FUMAGINA]])/$X$10)</f>
        <v>0</v>
      </c>
      <c r="DP112" s="16">
        <f>IF($X112="","",SUM(Tabla152[[#This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1.5873015873015872E-2</v>
      </c>
      <c r="DQ112" s="16">
        <f>IF($X112="","",SUM(Tabla152[[#This Row],[BLANDO]:[COLAPSADO]])/$X$10)</f>
        <v>0</v>
      </c>
      <c r="DR112" s="16">
        <f>IF($X112="","",SUM(Tabla152[[#This Row],[DESHIDRATADO LEVE]:[DESHIDRATADO INMADURO]])/$X$10)</f>
        <v>0</v>
      </c>
      <c r="DS112" s="18">
        <f t="shared" si="7"/>
        <v>1.5873015873015872E-2</v>
      </c>
      <c r="DT112" s="16">
        <f>IF($X112="","",SUM(Tabla152[[#This Row],[PRESENCIA DE LARVA]],Tabla152[[#This Row],[CHANCHITO BLANCO]])/$X$10)</f>
        <v>0</v>
      </c>
      <c r="DU112" s="18">
        <f>IF($X112="","",SUM(Tabla152[[#This Row],[ROJO GRADO 2 A MÁS]],Tabla152[[#This Row],[IMMADURO VERDE]],Tabla152[[#This Row],[DESORDEN POR MADURACIÓN]],Tabla152[[#This Row],[ARO PEDICELAR VERDE EXTREMO]])/$X$10)</f>
        <v>0</v>
      </c>
      <c r="DV112" s="16">
        <f>IF($X112="","",SUM(Tabla152[[#This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12" s="16">
        <f t="shared" si="8"/>
        <v>0</v>
      </c>
      <c r="DX112" s="16">
        <f>IF($X112="","",AJ112/$X$10)</f>
        <v>0</v>
      </c>
      <c r="DY112" s="16">
        <f>IF($X112="","",SUM(Tabla152[[#This Row],[PRESENCIA DE COROLA]],Tabla152[[#This Row],[PRESENCIA DE RESTO FLORAL VERDE]],Tabla152[[#This Row],[PRESENCIA DE PEDÚNCULO]])/$X$10)</f>
        <v>0</v>
      </c>
      <c r="DZ112" s="16">
        <f>IF($X112="","",SUM(Tabla152[[#This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13" spans="1:130" x14ac:dyDescent="0.3">
      <c r="A113" s="9">
        <f>IF(W113="","",IF(ROW()=10,1,IF(W113=W112,A112,MAX($A$9:A112)+1)))</f>
        <v>34</v>
      </c>
      <c r="B113" s="9">
        <f>WEEKNUM(Tabla152[[#This Row],[FECHA DE COSECHA]],21)</f>
        <v>36</v>
      </c>
      <c r="C113" s="9"/>
      <c r="D113" s="17">
        <v>46267</v>
      </c>
      <c r="E113" s="17">
        <v>46267</v>
      </c>
      <c r="F113" s="9">
        <v>1</v>
      </c>
      <c r="G113" s="9" t="s">
        <v>77</v>
      </c>
      <c r="H113" s="9" t="s">
        <v>144</v>
      </c>
      <c r="I113" s="9" t="s">
        <v>134</v>
      </c>
      <c r="J113" s="9" t="s">
        <v>135</v>
      </c>
      <c r="K113" s="9" t="s">
        <v>146</v>
      </c>
      <c r="L113" s="9" t="s">
        <v>131</v>
      </c>
      <c r="M113" s="9" t="s">
        <v>240</v>
      </c>
      <c r="N113" s="9" t="s">
        <v>145</v>
      </c>
      <c r="O113" s="9" t="s">
        <v>137</v>
      </c>
      <c r="P113" s="9" t="s">
        <v>243</v>
      </c>
      <c r="Q113" s="9"/>
      <c r="R113" s="9">
        <v>7</v>
      </c>
      <c r="S113" s="9">
        <v>78114711</v>
      </c>
      <c r="T113" t="s">
        <v>233</v>
      </c>
      <c r="U113" s="9" t="s">
        <v>147</v>
      </c>
      <c r="V113" s="9"/>
      <c r="W113" s="19" t="s">
        <v>186</v>
      </c>
      <c r="X113" s="9">
        <v>42</v>
      </c>
      <c r="Y113" s="9">
        <v>2</v>
      </c>
      <c r="Z113" s="9">
        <v>5</v>
      </c>
      <c r="AA113" s="9" t="str">
        <f>IF(Tabla152[[#This Row],[NOTA]]=15,"CUMPLE","NO CUMPLE")</f>
        <v>NO CUMPLE</v>
      </c>
      <c r="AB113" s="9" t="str">
        <f>IF(COUNTIF($A$10:A113,A113)=1,IF(COUNTIFS($A:$A,A113,$AA:$AA,"NO CUMPLE")&gt;0,"NO CUMPLE","CUMPLE"),"")</f>
        <v/>
      </c>
      <c r="AC113" s="9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7"/>
      <c r="AR113" s="7"/>
      <c r="AS113" s="7"/>
      <c r="AT113" s="7"/>
      <c r="AU113" s="7"/>
      <c r="AV113" s="7"/>
      <c r="AW113" s="7">
        <v>1</v>
      </c>
      <c r="AX113" s="7">
        <v>1</v>
      </c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18"/>
      <c r="BX113" s="18">
        <f>IF($X113="","",AE113/$X$10)</f>
        <v>0</v>
      </c>
      <c r="BY113" s="18">
        <f>IF($X113="","",AF113/$X$10)</f>
        <v>0</v>
      </c>
      <c r="BZ113" s="18">
        <f>IF($X113="","",AG113/$X$10)</f>
        <v>0</v>
      </c>
      <c r="CA113" s="18">
        <f>IF($X113="","",AH113/$X$10)</f>
        <v>0</v>
      </c>
      <c r="CB113" s="18">
        <f t="shared" si="9"/>
        <v>0</v>
      </c>
      <c r="CC113" s="18">
        <f>IF($X113="","",AJ113/$X$10)</f>
        <v>0</v>
      </c>
      <c r="CD113" s="18">
        <f>IF($X113="","",AK113/$X$10)</f>
        <v>0</v>
      </c>
      <c r="CE113" s="18">
        <f>IF($X113="","",AL113/$X$10)</f>
        <v>0</v>
      </c>
      <c r="CF113" s="18">
        <f>IF($X113="","",AM113/$X$10)</f>
        <v>0</v>
      </c>
      <c r="CG113" s="18">
        <f>IF($X113="","",AN113/$X$10)</f>
        <v>0</v>
      </c>
      <c r="CH113" s="18">
        <f>IF($X113="","",AO113/$X$10)</f>
        <v>0</v>
      </c>
      <c r="CI113" s="18">
        <f>IF($X113="","",AP113/$X$10)</f>
        <v>0</v>
      </c>
      <c r="CJ113" s="18">
        <f>IF($X113="","",AQ113/$X$10)</f>
        <v>0</v>
      </c>
      <c r="CK113" s="18">
        <f>IF($X113="","",AR113/$X$10)</f>
        <v>0</v>
      </c>
      <c r="CL113" s="18">
        <f>IF($X113="","",AS113/$X$10)</f>
        <v>0</v>
      </c>
      <c r="CM113" s="18">
        <f>IF($X113="","",AT113/$X$10)</f>
        <v>0</v>
      </c>
      <c r="CN113" s="18">
        <f>IF($X113="","",AU113/$X$10)</f>
        <v>0</v>
      </c>
      <c r="CO113" s="18">
        <f>IF($X113="","",AV113/$X$10)</f>
        <v>0</v>
      </c>
      <c r="CP113" s="18">
        <f>IF($X113="","",AW113/$X$10)</f>
        <v>1.5873015873015872E-2</v>
      </c>
      <c r="CQ113" s="18">
        <f>IF($X113="","",AX113/$X$10)</f>
        <v>1.5873015873015872E-2</v>
      </c>
      <c r="CR113" s="18">
        <f>IF($X113="","",AY113/$X$10)</f>
        <v>0</v>
      </c>
      <c r="CS113" s="18">
        <f>IF($X113="","",AZ113/$X$10)</f>
        <v>0</v>
      </c>
      <c r="CT113" s="18">
        <f>IF($X113="","",BA113/$X$10)</f>
        <v>0</v>
      </c>
      <c r="CU113" s="18">
        <f>IF($X113="","",BB113/$X$10)</f>
        <v>0</v>
      </c>
      <c r="CV113" s="18">
        <f>IF($X113="","",BC113/$X$10)</f>
        <v>0</v>
      </c>
      <c r="CW113" s="18">
        <f>IF($X113="","",BD113/$X$10)</f>
        <v>0</v>
      </c>
      <c r="CX113" s="18">
        <f>IF($X113="","",BE113/$X$10)</f>
        <v>0</v>
      </c>
      <c r="CY113" s="18">
        <f>IF($X113="","",BF113/$X$10)</f>
        <v>0</v>
      </c>
      <c r="CZ113" s="18">
        <f>IF($X113="","",BG113/$X$10)</f>
        <v>0</v>
      </c>
      <c r="DA113" s="18">
        <f>IF($X113="","",BH113/$X$10)</f>
        <v>0</v>
      </c>
      <c r="DB113" s="18">
        <f>IF($X113="","",BI113/$X$10)</f>
        <v>0</v>
      </c>
      <c r="DC113" s="18">
        <f>IF($X113="","",BJ113/$X$10)</f>
        <v>0</v>
      </c>
      <c r="DD113" s="18">
        <f>IF($X113="","",BK113/$X$10)</f>
        <v>0</v>
      </c>
      <c r="DE113" s="18">
        <f>IF($X113="","",BL113/$X$10)</f>
        <v>0</v>
      </c>
      <c r="DF113" s="18">
        <f>IF($X113="","",BM113/$X$10)</f>
        <v>0</v>
      </c>
      <c r="DG113" s="18">
        <f t="shared" si="10"/>
        <v>0</v>
      </c>
      <c r="DH113" s="18">
        <f>IF($X113="","",BO113/$X$10)</f>
        <v>0</v>
      </c>
      <c r="DI113" s="18">
        <f>IF($X113="","",BP113/$X$10)</f>
        <v>0</v>
      </c>
      <c r="DJ113" s="18">
        <f>IF($X113="","",BQ113/$X$10)</f>
        <v>0</v>
      </c>
      <c r="DK113" s="18">
        <f>IF($X113="","",BR113/$X$10)</f>
        <v>0</v>
      </c>
      <c r="DL113" s="18">
        <f>IF($X113="","",BS113/$X$10)</f>
        <v>0</v>
      </c>
      <c r="DM113" s="18">
        <f>IF($X113="","",BT113/$X$10)</f>
        <v>0</v>
      </c>
      <c r="DN113" s="18">
        <f t="shared" ref="DN113:DN117" si="12">IF($X113="","",BU113/$X$10)</f>
        <v>0</v>
      </c>
      <c r="DO113" s="16">
        <f>IF($X113="","",SUM(Tabla152[[#This Row],[PODRIDO]],Tabla152[[#This Row],[HONGO]],Tabla152[[#This Row],[PICADO DE AVE CON PUDRICIÓN]],Tabla152[[#This Row],[FUMAGINA]])/$X$10)</f>
        <v>0</v>
      </c>
      <c r="DP113" s="16">
        <f>IF($X113="","",SUM(Tabla152[[#This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113" s="16">
        <f>IF($X113="","",SUM(Tabla152[[#This Row],[BLANDO]:[COLAPSADO]])/$X$10)</f>
        <v>0</v>
      </c>
      <c r="DR113" s="16">
        <f>IF($X113="","",SUM(Tabla152[[#This Row],[DESHIDRATADO LEVE]:[DESHIDRATADO INMADURO]])/$X$10)</f>
        <v>0</v>
      </c>
      <c r="DS113" s="18">
        <f t="shared" si="7"/>
        <v>0</v>
      </c>
      <c r="DT113" s="16">
        <f>IF($X113="","",SUM(Tabla152[[#This Row],[PRESENCIA DE LARVA]],Tabla152[[#This Row],[CHANCHITO BLANCO]])/$X$10)</f>
        <v>0</v>
      </c>
      <c r="DU113" s="18">
        <f>IF($X113="","",SUM(Tabla152[[#This Row],[ROJO GRADO 2 A MÁS]],Tabla152[[#This Row],[IMMADURO VERDE]],Tabla152[[#This Row],[DESORDEN POR MADURACIÓN]],Tabla152[[#This Row],[ARO PEDICELAR VERDE EXTREMO]])/$X$10)</f>
        <v>0</v>
      </c>
      <c r="DV113" s="16">
        <f>IF($X113="","",SUM(Tabla152[[#This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13" s="16">
        <f t="shared" si="8"/>
        <v>0</v>
      </c>
      <c r="DX113" s="16">
        <f>IF($X113="","",AJ113/$X$10)</f>
        <v>0</v>
      </c>
      <c r="DY113" s="16">
        <f>IF($X113="","",SUM(Tabla152[[#This Row],[PRESENCIA DE COROLA]],Tabla152[[#This Row],[PRESENCIA DE RESTO FLORAL VERDE]],Tabla152[[#This Row],[PRESENCIA DE PEDÚNCULO]])/$X$10)</f>
        <v>0</v>
      </c>
      <c r="DZ113" s="16">
        <f>IF($X113="","",SUM(Tabla152[[#This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14" spans="1:130" x14ac:dyDescent="0.3">
      <c r="A114" s="9">
        <f>IF(W114="","",IF(ROW()=10,1,IF(W114=W113,A113,MAX($A$9:A113)+1)))</f>
        <v>34</v>
      </c>
      <c r="B114" s="9">
        <f>WEEKNUM(Tabla152[[#This Row],[FECHA DE COSECHA]],21)</f>
        <v>36</v>
      </c>
      <c r="C114" s="9"/>
      <c r="D114" s="17">
        <v>46267</v>
      </c>
      <c r="E114" s="17">
        <v>46267</v>
      </c>
      <c r="F114" s="9">
        <v>1</v>
      </c>
      <c r="G114" s="9" t="s">
        <v>77</v>
      </c>
      <c r="H114" s="9" t="s">
        <v>144</v>
      </c>
      <c r="I114" s="9" t="s">
        <v>134</v>
      </c>
      <c r="J114" s="9" t="s">
        <v>135</v>
      </c>
      <c r="K114" s="9" t="s">
        <v>146</v>
      </c>
      <c r="L114" s="9" t="s">
        <v>131</v>
      </c>
      <c r="M114" s="9" t="s">
        <v>240</v>
      </c>
      <c r="N114" s="9" t="s">
        <v>145</v>
      </c>
      <c r="O114" s="9" t="s">
        <v>137</v>
      </c>
      <c r="P114" s="9" t="s">
        <v>243</v>
      </c>
      <c r="Q114" s="9"/>
      <c r="R114" s="9">
        <v>7</v>
      </c>
      <c r="S114" s="9">
        <v>78114711</v>
      </c>
      <c r="T114" t="s">
        <v>233</v>
      </c>
      <c r="U114" s="9" t="s">
        <v>147</v>
      </c>
      <c r="V114" s="9"/>
      <c r="W114" s="19" t="s">
        <v>186</v>
      </c>
      <c r="X114" s="9">
        <v>42</v>
      </c>
      <c r="Y114" s="9">
        <v>3</v>
      </c>
      <c r="Z114" s="9">
        <v>5</v>
      </c>
      <c r="AA114" s="9" t="str">
        <f>IF(Tabla152[[#This Row],[NOTA]]=15,"CUMPLE","NO CUMPLE")</f>
        <v>NO CUMPLE</v>
      </c>
      <c r="AB114" s="9" t="str">
        <f>IF(COUNTIF($A$10:A114,A114)=1,IF(COUNTIFS($A:$A,A114,$AA:$AA,"NO CUMPLE")&gt;0,"NO CUMPLE","CUMPLE"),"")</f>
        <v/>
      </c>
      <c r="AC114" s="9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7"/>
      <c r="AR114" s="7"/>
      <c r="AS114" s="7"/>
      <c r="AT114" s="7"/>
      <c r="AU114" s="7"/>
      <c r="AV114" s="7"/>
      <c r="AW114" s="7"/>
      <c r="AX114" s="7">
        <v>1</v>
      </c>
      <c r="AY114" s="7"/>
      <c r="AZ114" s="7">
        <v>1</v>
      </c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18"/>
      <c r="BX114" s="18">
        <f>IF($X114="","",AE114/$X$10)</f>
        <v>0</v>
      </c>
      <c r="BY114" s="18">
        <f>IF($X114="","",AF114/$X$10)</f>
        <v>0</v>
      </c>
      <c r="BZ114" s="18">
        <f>IF($X114="","",AG114/$X$10)</f>
        <v>0</v>
      </c>
      <c r="CA114" s="18">
        <f>IF($X114="","",AH114/$X$10)</f>
        <v>0</v>
      </c>
      <c r="CB114" s="18">
        <f t="shared" si="9"/>
        <v>0</v>
      </c>
      <c r="CC114" s="18">
        <f>IF($X114="","",AJ114/$X$10)</f>
        <v>0</v>
      </c>
      <c r="CD114" s="18">
        <f>IF($X114="","",AK114/$X$10)</f>
        <v>0</v>
      </c>
      <c r="CE114" s="18">
        <f>IF($X114="","",AL114/$X$10)</f>
        <v>0</v>
      </c>
      <c r="CF114" s="18">
        <f>IF($X114="","",AM114/$X$10)</f>
        <v>0</v>
      </c>
      <c r="CG114" s="18">
        <f>IF($X114="","",AN114/$X$10)</f>
        <v>0</v>
      </c>
      <c r="CH114" s="18">
        <f>IF($X114="","",AO114/$X$10)</f>
        <v>0</v>
      </c>
      <c r="CI114" s="18">
        <f>IF($X114="","",AP114/$X$10)</f>
        <v>0</v>
      </c>
      <c r="CJ114" s="18">
        <f>IF($X114="","",AQ114/$X$10)</f>
        <v>0</v>
      </c>
      <c r="CK114" s="18">
        <f>IF($X114="","",AR114/$X$10)</f>
        <v>0</v>
      </c>
      <c r="CL114" s="18">
        <f>IF($X114="","",AS114/$X$10)</f>
        <v>0</v>
      </c>
      <c r="CM114" s="18">
        <f>IF($X114="","",AT114/$X$10)</f>
        <v>0</v>
      </c>
      <c r="CN114" s="18">
        <f>IF($X114="","",AU114/$X$10)</f>
        <v>0</v>
      </c>
      <c r="CO114" s="18">
        <f>IF($X114="","",AV114/$X$10)</f>
        <v>0</v>
      </c>
      <c r="CP114" s="18">
        <f>IF($X114="","",AW114/$X$10)</f>
        <v>0</v>
      </c>
      <c r="CQ114" s="18">
        <f>IF($X114="","",AX114/$X$10)</f>
        <v>1.5873015873015872E-2</v>
      </c>
      <c r="CR114" s="18">
        <f>IF($X114="","",AY114/$X$10)</f>
        <v>0</v>
      </c>
      <c r="CS114" s="18">
        <f>IF($X114="","",AZ114/$X$10)</f>
        <v>1.5873015873015872E-2</v>
      </c>
      <c r="CT114" s="18">
        <f>IF($X114="","",BA114/$X$10)</f>
        <v>0</v>
      </c>
      <c r="CU114" s="18">
        <f>IF($X114="","",BB114/$X$10)</f>
        <v>0</v>
      </c>
      <c r="CV114" s="18">
        <f>IF($X114="","",BC114/$X$10)</f>
        <v>0</v>
      </c>
      <c r="CW114" s="18">
        <f>IF($X114="","",BD114/$X$10)</f>
        <v>0</v>
      </c>
      <c r="CX114" s="18">
        <f>IF($X114="","",BE114/$X$10)</f>
        <v>0</v>
      </c>
      <c r="CY114" s="18">
        <f>IF($X114="","",BF114/$X$10)</f>
        <v>0</v>
      </c>
      <c r="CZ114" s="18">
        <f>IF($X114="","",BG114/$X$10)</f>
        <v>0</v>
      </c>
      <c r="DA114" s="18">
        <f>IF($X114="","",BH114/$X$10)</f>
        <v>0</v>
      </c>
      <c r="DB114" s="18">
        <f>IF($X114="","",BI114/$X$10)</f>
        <v>0</v>
      </c>
      <c r="DC114" s="18">
        <f>IF($X114="","",BJ114/$X$10)</f>
        <v>0</v>
      </c>
      <c r="DD114" s="18">
        <f>IF($X114="","",BK114/$X$10)</f>
        <v>0</v>
      </c>
      <c r="DE114" s="18">
        <f>IF($X114="","",BL114/$X$10)</f>
        <v>0</v>
      </c>
      <c r="DF114" s="18">
        <f>IF($X114="","",BM114/$X$10)</f>
        <v>0</v>
      </c>
      <c r="DG114" s="18">
        <f t="shared" si="10"/>
        <v>0</v>
      </c>
      <c r="DH114" s="18">
        <f>IF($X114="","",BO114/$X$10)</f>
        <v>0</v>
      </c>
      <c r="DI114" s="18">
        <f>IF($X114="","",BP114/$X$10)</f>
        <v>0</v>
      </c>
      <c r="DJ114" s="18">
        <f>IF($X114="","",BQ114/$X$10)</f>
        <v>0</v>
      </c>
      <c r="DK114" s="18">
        <f>IF($X114="","",BR114/$X$10)</f>
        <v>0</v>
      </c>
      <c r="DL114" s="18">
        <f>IF($X114="","",BS114/$X$10)</f>
        <v>0</v>
      </c>
      <c r="DM114" s="18">
        <f>IF($X114="","",BT114/$X$10)</f>
        <v>0</v>
      </c>
      <c r="DN114" s="18">
        <f t="shared" si="12"/>
        <v>0</v>
      </c>
      <c r="DO114" s="16">
        <f>IF($X114="","",SUM(Tabla152[[#This Row],[PODRIDO]],Tabla152[[#This Row],[HONGO]],Tabla152[[#This Row],[PICADO DE AVE CON PUDRICIÓN]],Tabla152[[#This Row],[FUMAGINA]])/$X$10)</f>
        <v>0</v>
      </c>
      <c r="DP114" s="16">
        <f>IF($X114="","",SUM(Tabla152[[#This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114" s="16">
        <f>IF($X114="","",SUM(Tabla152[[#This Row],[BLANDO]:[COLAPSADO]])/$X$10)</f>
        <v>0</v>
      </c>
      <c r="DR114" s="16">
        <f>IF($X114="","",SUM(Tabla152[[#This Row],[DESHIDRATADO LEVE]:[DESHIDRATADO INMADURO]])/$X$10)</f>
        <v>0</v>
      </c>
      <c r="DS114" s="18">
        <f t="shared" si="7"/>
        <v>0</v>
      </c>
      <c r="DT114" s="16">
        <f>IF($X114="","",SUM(Tabla152[[#This Row],[PRESENCIA DE LARVA]],Tabla152[[#This Row],[CHANCHITO BLANCO]])/$X$10)</f>
        <v>0</v>
      </c>
      <c r="DU114" s="18">
        <f>IF($X114="","",SUM(Tabla152[[#This Row],[ROJO GRADO 2 A MÁS]],Tabla152[[#This Row],[IMMADURO VERDE]],Tabla152[[#This Row],[DESORDEN POR MADURACIÓN]],Tabla152[[#This Row],[ARO PEDICELAR VERDE EXTREMO]])/$X$10)</f>
        <v>0</v>
      </c>
      <c r="DV114" s="16">
        <f>IF($X114="","",SUM(Tabla152[[#This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14" s="16">
        <f t="shared" si="8"/>
        <v>0</v>
      </c>
      <c r="DX114" s="16">
        <f>IF($X114="","",AJ114/$X$10)</f>
        <v>0</v>
      </c>
      <c r="DY114" s="16">
        <f>IF($X114="","",SUM(Tabla152[[#This Row],[PRESENCIA DE COROLA]],Tabla152[[#This Row],[PRESENCIA DE RESTO FLORAL VERDE]],Tabla152[[#This Row],[PRESENCIA DE PEDÚNCULO]])/$X$10)</f>
        <v>0</v>
      </c>
      <c r="DZ114" s="16">
        <f>IF($X114="","",SUM(Tabla152[[#This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15" spans="1:130" x14ac:dyDescent="0.3">
      <c r="A115" s="9">
        <f>IF(W115="","",IF(ROW()=10,1,IF(W115=W114,A114,MAX($A$9:A114)+1)))</f>
        <v>35</v>
      </c>
      <c r="B115" s="9">
        <f>WEEKNUM(Tabla152[[#This Row],[FECHA DE COSECHA]],21)</f>
        <v>36</v>
      </c>
      <c r="C115" s="9"/>
      <c r="D115" s="17">
        <v>46267</v>
      </c>
      <c r="E115" s="17">
        <v>46267</v>
      </c>
      <c r="F115" s="9">
        <v>1</v>
      </c>
      <c r="G115" s="9" t="s">
        <v>77</v>
      </c>
      <c r="H115" s="9" t="s">
        <v>144</v>
      </c>
      <c r="I115" s="9" t="s">
        <v>134</v>
      </c>
      <c r="J115" s="9" t="s">
        <v>135</v>
      </c>
      <c r="K115" s="9" t="s">
        <v>146</v>
      </c>
      <c r="L115" s="9" t="s">
        <v>131</v>
      </c>
      <c r="M115" s="9" t="s">
        <v>240</v>
      </c>
      <c r="N115" s="9" t="s">
        <v>145</v>
      </c>
      <c r="O115" s="9" t="s">
        <v>137</v>
      </c>
      <c r="P115" s="9" t="s">
        <v>243</v>
      </c>
      <c r="Q115" s="9"/>
      <c r="R115" s="9">
        <v>7</v>
      </c>
      <c r="S115" s="9">
        <v>78114711</v>
      </c>
      <c r="T115" t="s">
        <v>233</v>
      </c>
      <c r="U115" s="9" t="s">
        <v>147</v>
      </c>
      <c r="V115" s="9"/>
      <c r="W115" s="19" t="s">
        <v>187</v>
      </c>
      <c r="X115" s="9">
        <v>42</v>
      </c>
      <c r="Y115" s="9">
        <v>1</v>
      </c>
      <c r="Z115" s="9">
        <v>5</v>
      </c>
      <c r="AA115" s="9" t="str">
        <f>IF(Tabla152[[#This Row],[NOTA]]=15,"CUMPLE","NO CUMPLE")</f>
        <v>NO CUMPLE</v>
      </c>
      <c r="AB115" s="9" t="str">
        <f>IF(COUNTIF($A$10:A115,A115)=1,IF(COUNTIFS($A:$A,A115,$AA:$AA,"NO CUMPLE")&gt;0,"NO CUMPLE","CUMPLE"),"")</f>
        <v>NO CUMPLE</v>
      </c>
      <c r="AC115" s="9" t="s">
        <v>140</v>
      </c>
      <c r="AD115" s="8">
        <v>1</v>
      </c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18"/>
      <c r="BX115" s="18">
        <f>IF($X115="","",AE115/$X$10)</f>
        <v>0</v>
      </c>
      <c r="BY115" s="18">
        <f>IF($X115="","",AF115/$X$10)</f>
        <v>0</v>
      </c>
      <c r="BZ115" s="18">
        <f>IF($X115="","",AG115/$X$10)</f>
        <v>0</v>
      </c>
      <c r="CA115" s="18">
        <f>IF($X115="","",AH115/$X$10)</f>
        <v>0</v>
      </c>
      <c r="CB115" s="18">
        <f t="shared" si="9"/>
        <v>0</v>
      </c>
      <c r="CC115" s="18">
        <f>IF($X115="","",AJ115/$X$10)</f>
        <v>0</v>
      </c>
      <c r="CD115" s="18">
        <f>IF($X115="","",AK115/$X$10)</f>
        <v>0</v>
      </c>
      <c r="CE115" s="18">
        <f>IF($X115="","",AL115/$X$10)</f>
        <v>0</v>
      </c>
      <c r="CF115" s="18">
        <f>IF($X115="","",AM115/$X$10)</f>
        <v>0</v>
      </c>
      <c r="CG115" s="18">
        <f>IF($X115="","",AN115/$X$10)</f>
        <v>0</v>
      </c>
      <c r="CH115" s="18">
        <f>IF($X115="","",AO115/$X$10)</f>
        <v>0</v>
      </c>
      <c r="CI115" s="18">
        <f>IF($X115="","",AP115/$X$10)</f>
        <v>0</v>
      </c>
      <c r="CJ115" s="18">
        <f>IF($X115="","",AQ115/$X$10)</f>
        <v>0</v>
      </c>
      <c r="CK115" s="18">
        <f>IF($X115="","",AR115/$X$10)</f>
        <v>0</v>
      </c>
      <c r="CL115" s="18">
        <f>IF($X115="","",AS115/$X$10)</f>
        <v>0</v>
      </c>
      <c r="CM115" s="18">
        <f>IF($X115="","",AT115/$X$10)</f>
        <v>0</v>
      </c>
      <c r="CN115" s="18">
        <f>IF($X115="","",AU115/$X$10)</f>
        <v>0</v>
      </c>
      <c r="CO115" s="18">
        <f>IF($X115="","",AV115/$X$10)</f>
        <v>0</v>
      </c>
      <c r="CP115" s="18">
        <f>IF($X115="","",AW115/$X$10)</f>
        <v>0</v>
      </c>
      <c r="CQ115" s="18">
        <f>IF($X115="","",AX115/$X$10)</f>
        <v>0</v>
      </c>
      <c r="CR115" s="18">
        <f>IF($X115="","",AY115/$X$10)</f>
        <v>0</v>
      </c>
      <c r="CS115" s="18">
        <f>IF($X115="","",AZ115/$X$10)</f>
        <v>0</v>
      </c>
      <c r="CT115" s="18">
        <f>IF($X115="","",BA115/$X$10)</f>
        <v>0</v>
      </c>
      <c r="CU115" s="18">
        <f>IF($X115="","",BB115/$X$10)</f>
        <v>0</v>
      </c>
      <c r="CV115" s="18">
        <f>IF($X115="","",BC115/$X$10)</f>
        <v>0</v>
      </c>
      <c r="CW115" s="18">
        <f>IF($X115="","",BD115/$X$10)</f>
        <v>0</v>
      </c>
      <c r="CX115" s="18">
        <f>IF($X115="","",BE115/$X$10)</f>
        <v>0</v>
      </c>
      <c r="CY115" s="18">
        <f>IF($X115="","",BF115/$X$10)</f>
        <v>0</v>
      </c>
      <c r="CZ115" s="18">
        <f>IF($X115="","",BG115/$X$10)</f>
        <v>0</v>
      </c>
      <c r="DA115" s="18">
        <f>IF($X115="","",BH115/$X$10)</f>
        <v>0</v>
      </c>
      <c r="DB115" s="18">
        <f>IF($X115="","",BI115/$X$10)</f>
        <v>0</v>
      </c>
      <c r="DC115" s="18">
        <f>IF($X115="","",BJ115/$X$10)</f>
        <v>0</v>
      </c>
      <c r="DD115" s="18">
        <f>IF($X115="","",BK115/$X$10)</f>
        <v>0</v>
      </c>
      <c r="DE115" s="18">
        <f>IF($X115="","",BL115/$X$10)</f>
        <v>0</v>
      </c>
      <c r="DF115" s="18">
        <f>IF($X115="","",BM115/$X$10)</f>
        <v>0</v>
      </c>
      <c r="DG115" s="18">
        <f t="shared" si="10"/>
        <v>0</v>
      </c>
      <c r="DH115" s="18">
        <f>IF($X115="","",BO115/$X$10)</f>
        <v>0</v>
      </c>
      <c r="DI115" s="18">
        <f>IF($X115="","",BP115/$X$10)</f>
        <v>0</v>
      </c>
      <c r="DJ115" s="18">
        <f>IF($X115="","",BQ115/$X$10)</f>
        <v>0</v>
      </c>
      <c r="DK115" s="18">
        <f>IF($X115="","",BR115/$X$10)</f>
        <v>0</v>
      </c>
      <c r="DL115" s="18">
        <f>IF($X115="","",BS115/$X$10)</f>
        <v>0</v>
      </c>
      <c r="DM115" s="18">
        <f>IF($X115="","",BT115/$X$10)</f>
        <v>0</v>
      </c>
      <c r="DN115" s="18">
        <f t="shared" si="12"/>
        <v>0</v>
      </c>
      <c r="DO115" s="16">
        <f>IF($X115="","",SUM(Tabla152[[#This Row],[PODRIDO]],Tabla152[[#This Row],[HONGO]],Tabla152[[#This Row],[PICADO DE AVE CON PUDRICIÓN]],Tabla152[[#This Row],[FUMAGINA]])/$X$10)</f>
        <v>0</v>
      </c>
      <c r="DP115" s="16">
        <f>IF($X115="","",SUM(Tabla152[[#This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15" s="16">
        <f>IF($X115="","",SUM(Tabla152[[#This Row],[BLANDO]:[COLAPSADO]])/$X$10)</f>
        <v>0</v>
      </c>
      <c r="DR115" s="16">
        <f>IF($X115="","",SUM(Tabla152[[#This Row],[DESHIDRATADO LEVE]:[DESHIDRATADO INMADURO]])/$X$10)</f>
        <v>0</v>
      </c>
      <c r="DS115" s="18">
        <f t="shared" si="7"/>
        <v>0</v>
      </c>
      <c r="DT115" s="16">
        <f>IF($X115="","",SUM(Tabla152[[#This Row],[PRESENCIA DE LARVA]],Tabla152[[#This Row],[CHANCHITO BLANCO]])/$X$10)</f>
        <v>0</v>
      </c>
      <c r="DU115" s="18">
        <f>IF($X115="","",SUM(Tabla152[[#This Row],[ROJO GRADO 2 A MÁS]],Tabla152[[#This Row],[IMMADURO VERDE]],Tabla152[[#This Row],[DESORDEN POR MADURACIÓN]],Tabla152[[#This Row],[ARO PEDICELAR VERDE EXTREMO]])/$X$10)</f>
        <v>0</v>
      </c>
      <c r="DV115" s="16">
        <f>IF($X115="","",SUM(Tabla152[[#This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15" s="16">
        <f t="shared" si="8"/>
        <v>0</v>
      </c>
      <c r="DX115" s="16">
        <f>IF($X115="","",AJ115/$X$10)</f>
        <v>0</v>
      </c>
      <c r="DY115" s="16">
        <f>IF($X115="","",SUM(Tabla152[[#This Row],[PRESENCIA DE COROLA]],Tabla152[[#This Row],[PRESENCIA DE RESTO FLORAL VERDE]],Tabla152[[#This Row],[PRESENCIA DE PEDÚNCULO]])/$X$10)</f>
        <v>0</v>
      </c>
      <c r="DZ115" s="16">
        <f>IF($X115="","",SUM(Tabla152[[#This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1.5873015873015872E-2</v>
      </c>
    </row>
    <row r="116" spans="1:130" x14ac:dyDescent="0.3">
      <c r="A116" s="9">
        <f>IF(W116="","",IF(ROW()=10,1,IF(W116=W115,A115,MAX($A$9:A115)+1)))</f>
        <v>35</v>
      </c>
      <c r="B116" s="9">
        <f>WEEKNUM(Tabla152[[#This Row],[FECHA DE COSECHA]],21)</f>
        <v>36</v>
      </c>
      <c r="C116" s="9"/>
      <c r="D116" s="17">
        <v>46267</v>
      </c>
      <c r="E116" s="17">
        <v>46267</v>
      </c>
      <c r="F116" s="9">
        <v>1</v>
      </c>
      <c r="G116" s="9" t="s">
        <v>77</v>
      </c>
      <c r="H116" s="9" t="s">
        <v>144</v>
      </c>
      <c r="I116" s="9" t="s">
        <v>134</v>
      </c>
      <c r="J116" s="9" t="s">
        <v>135</v>
      </c>
      <c r="K116" s="9" t="s">
        <v>146</v>
      </c>
      <c r="L116" s="9" t="s">
        <v>131</v>
      </c>
      <c r="M116" s="9" t="s">
        <v>240</v>
      </c>
      <c r="N116" s="9" t="s">
        <v>145</v>
      </c>
      <c r="O116" s="9" t="s">
        <v>137</v>
      </c>
      <c r="P116" s="9" t="s">
        <v>243</v>
      </c>
      <c r="Q116" s="9"/>
      <c r="R116" s="9">
        <v>7</v>
      </c>
      <c r="S116" s="9">
        <v>78114711</v>
      </c>
      <c r="T116" t="s">
        <v>233</v>
      </c>
      <c r="U116" s="9" t="s">
        <v>147</v>
      </c>
      <c r="V116" s="9"/>
      <c r="W116" s="19" t="s">
        <v>187</v>
      </c>
      <c r="X116" s="9">
        <v>42</v>
      </c>
      <c r="Y116" s="9">
        <v>2</v>
      </c>
      <c r="Z116" s="9">
        <v>5</v>
      </c>
      <c r="AA116" s="9" t="str">
        <f>IF(Tabla152[[#This Row],[NOTA]]=15,"CUMPLE","NO CUMPLE")</f>
        <v>NO CUMPLE</v>
      </c>
      <c r="AB116" s="9" t="str">
        <f>IF(COUNTIF($A$10:A116,A116)=1,IF(COUNTIFS($A:$A,A116,$AA:$AA,"NO CUMPLE")&gt;0,"NO CUMPLE","CUMPLE"),"")</f>
        <v/>
      </c>
      <c r="AC116" s="9"/>
      <c r="AD116" s="8"/>
      <c r="AE116" s="8"/>
      <c r="AF116" s="8"/>
      <c r="AG116" s="8"/>
      <c r="AH116" s="8"/>
      <c r="AI116" s="8"/>
      <c r="AJ116" s="8"/>
      <c r="AK116" s="8"/>
      <c r="AL116" s="8"/>
      <c r="AM116" s="8">
        <v>1</v>
      </c>
      <c r="AN116" s="8"/>
      <c r="AO116" s="8"/>
      <c r="AP116" s="8"/>
      <c r="AQ116" s="7"/>
      <c r="AR116" s="7"/>
      <c r="AS116" s="7"/>
      <c r="AT116" s="7"/>
      <c r="AU116" s="7">
        <v>1</v>
      </c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18"/>
      <c r="BX116" s="18">
        <f>IF($X116="","",AE116/$X$10)</f>
        <v>0</v>
      </c>
      <c r="BY116" s="18">
        <f>IF($X116="","",AF116/$X$10)</f>
        <v>0</v>
      </c>
      <c r="BZ116" s="18">
        <f>IF($X116="","",AG116/$X$10)</f>
        <v>0</v>
      </c>
      <c r="CA116" s="18">
        <f>IF($X116="","",AH116/$X$10)</f>
        <v>0</v>
      </c>
      <c r="CB116" s="18">
        <f t="shared" si="9"/>
        <v>0</v>
      </c>
      <c r="CC116" s="18">
        <f>IF($X116="","",AJ116/$X$10)</f>
        <v>0</v>
      </c>
      <c r="CD116" s="18">
        <f>IF($X116="","",AK116/$X$10)</f>
        <v>0</v>
      </c>
      <c r="CE116" s="18">
        <f>IF($X116="","",AL116/$X$10)</f>
        <v>0</v>
      </c>
      <c r="CF116" s="18">
        <f>IF($X116="","",AM116/$X$10)</f>
        <v>1.5873015873015872E-2</v>
      </c>
      <c r="CG116" s="18">
        <f>IF($X116="","",AN116/$X$10)</f>
        <v>0</v>
      </c>
      <c r="CH116" s="18">
        <f>IF($X116="","",AO116/$X$10)</f>
        <v>0</v>
      </c>
      <c r="CI116" s="18">
        <f>IF($X116="","",AP116/$X$10)</f>
        <v>0</v>
      </c>
      <c r="CJ116" s="18">
        <f>IF($X116="","",AQ116/$X$10)</f>
        <v>0</v>
      </c>
      <c r="CK116" s="18">
        <f>IF($X116="","",AR116/$X$10)</f>
        <v>0</v>
      </c>
      <c r="CL116" s="18">
        <f>IF($X116="","",AS116/$X$10)</f>
        <v>0</v>
      </c>
      <c r="CM116" s="18">
        <f>IF($X116="","",AT116/$X$10)</f>
        <v>0</v>
      </c>
      <c r="CN116" s="18">
        <f>IF($X116="","",AU116/$X$10)</f>
        <v>1.5873015873015872E-2</v>
      </c>
      <c r="CO116" s="18">
        <f>IF($X116="","",AV116/$X$10)</f>
        <v>0</v>
      </c>
      <c r="CP116" s="18">
        <f>IF($X116="","",AW116/$X$10)</f>
        <v>0</v>
      </c>
      <c r="CQ116" s="18">
        <f>IF($X116="","",AX116/$X$10)</f>
        <v>0</v>
      </c>
      <c r="CR116" s="18">
        <f>IF($X116="","",AY116/$X$10)</f>
        <v>0</v>
      </c>
      <c r="CS116" s="18">
        <f>IF($X116="","",AZ116/$X$10)</f>
        <v>0</v>
      </c>
      <c r="CT116" s="18">
        <f>IF($X116="","",BA116/$X$10)</f>
        <v>0</v>
      </c>
      <c r="CU116" s="18">
        <f>IF($X116="","",BB116/$X$10)</f>
        <v>0</v>
      </c>
      <c r="CV116" s="18">
        <f>IF($X116="","",BC116/$X$10)</f>
        <v>0</v>
      </c>
      <c r="CW116" s="18">
        <f>IF($X116="","",BD116/$X$10)</f>
        <v>0</v>
      </c>
      <c r="CX116" s="18">
        <f>IF($X116="","",BE116/$X$10)</f>
        <v>0</v>
      </c>
      <c r="CY116" s="18">
        <f>IF($X116="","",BF116/$X$10)</f>
        <v>0</v>
      </c>
      <c r="CZ116" s="18">
        <f>IF($X116="","",BG116/$X$10)</f>
        <v>0</v>
      </c>
      <c r="DA116" s="18">
        <f>IF($X116="","",BH116/$X$10)</f>
        <v>0</v>
      </c>
      <c r="DB116" s="18">
        <f>IF($X116="","",BI116/$X$10)</f>
        <v>0</v>
      </c>
      <c r="DC116" s="18">
        <f>IF($X116="","",BJ116/$X$10)</f>
        <v>0</v>
      </c>
      <c r="DD116" s="18">
        <f>IF($X116="","",BK116/$X$10)</f>
        <v>0</v>
      </c>
      <c r="DE116" s="18">
        <f>IF($X116="","",BL116/$X$10)</f>
        <v>0</v>
      </c>
      <c r="DF116" s="18">
        <f>IF($X116="","",BM116/$X$10)</f>
        <v>0</v>
      </c>
      <c r="DG116" s="18">
        <f t="shared" si="10"/>
        <v>0</v>
      </c>
      <c r="DH116" s="18">
        <f>IF($X116="","",BO116/$X$10)</f>
        <v>0</v>
      </c>
      <c r="DI116" s="18">
        <f>IF($X116="","",BP116/$X$10)</f>
        <v>0</v>
      </c>
      <c r="DJ116" s="18">
        <f>IF($X116="","",BQ116/$X$10)</f>
        <v>0</v>
      </c>
      <c r="DK116" s="18">
        <f>IF($X116="","",BR116/$X$10)</f>
        <v>0</v>
      </c>
      <c r="DL116" s="18">
        <f>IF($X116="","",BS116/$X$10)</f>
        <v>0</v>
      </c>
      <c r="DM116" s="18">
        <f>IF($X116="","",BT116/$X$10)</f>
        <v>0</v>
      </c>
      <c r="DN116" s="18">
        <f t="shared" si="12"/>
        <v>0</v>
      </c>
      <c r="DO116" s="16">
        <f>IF($X116="","",SUM(Tabla152[[#This Row],[PODRIDO]],Tabla152[[#This Row],[HONGO]],Tabla152[[#This Row],[PICADO DE AVE CON PUDRICIÓN]],Tabla152[[#This Row],[FUMAGINA]])/$X$10)</f>
        <v>0</v>
      </c>
      <c r="DP116" s="16">
        <f>IF($X116="","",SUM(Tabla152[[#This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1.5873015873015872E-2</v>
      </c>
      <c r="DQ116" s="16">
        <f>IF($X116="","",SUM(Tabla152[[#This Row],[BLANDO]:[COLAPSADO]])/$X$10)</f>
        <v>0</v>
      </c>
      <c r="DR116" s="16">
        <f>IF($X116="","",SUM(Tabla152[[#This Row],[DESHIDRATADO LEVE]:[DESHIDRATADO INMADURO]])/$X$10)</f>
        <v>0</v>
      </c>
      <c r="DS116" s="18">
        <f t="shared" si="7"/>
        <v>0</v>
      </c>
      <c r="DT116" s="16">
        <f>IF($X116="","",SUM(Tabla152[[#This Row],[PRESENCIA DE LARVA]],Tabla152[[#This Row],[CHANCHITO BLANCO]])/$X$10)</f>
        <v>0</v>
      </c>
      <c r="DU116" s="18">
        <f>IF($X116="","",SUM(Tabla152[[#This Row],[ROJO GRADO 2 A MÁS]],Tabla152[[#This Row],[IMMADURO VERDE]],Tabla152[[#This Row],[DESORDEN POR MADURACIÓN]],Tabla152[[#This Row],[ARO PEDICELAR VERDE EXTREMO]])/$X$10)</f>
        <v>0</v>
      </c>
      <c r="DV116" s="16">
        <f>IF($X116="","",SUM(Tabla152[[#This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16" s="16">
        <f t="shared" si="8"/>
        <v>0</v>
      </c>
      <c r="DX116" s="16">
        <f>IF($X116="","",AJ116/$X$10)</f>
        <v>0</v>
      </c>
      <c r="DY116" s="16">
        <f>IF($X116="","",SUM(Tabla152[[#This Row],[PRESENCIA DE COROLA]],Tabla152[[#This Row],[PRESENCIA DE RESTO FLORAL VERDE]],Tabla152[[#This Row],[PRESENCIA DE PEDÚNCULO]])/$X$10)</f>
        <v>0</v>
      </c>
      <c r="DZ116" s="16">
        <f>IF($X116="","",SUM(Tabla152[[#This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1.5873015873015872E-2</v>
      </c>
    </row>
    <row r="117" spans="1:130" x14ac:dyDescent="0.3">
      <c r="A117" s="9">
        <f>IF(W117="","",IF(ROW()=10,1,IF(W117=W116,A116,MAX($A$9:A116)+1)))</f>
        <v>35</v>
      </c>
      <c r="B117" s="9">
        <f>WEEKNUM(Tabla152[[#This Row],[FECHA DE COSECHA]],21)</f>
        <v>36</v>
      </c>
      <c r="C117" s="9"/>
      <c r="D117" s="17">
        <v>46267</v>
      </c>
      <c r="E117" s="17">
        <v>46267</v>
      </c>
      <c r="F117" s="9">
        <v>1</v>
      </c>
      <c r="G117" s="9" t="s">
        <v>77</v>
      </c>
      <c r="H117" s="9" t="s">
        <v>144</v>
      </c>
      <c r="I117" s="9" t="s">
        <v>134</v>
      </c>
      <c r="J117" s="9" t="s">
        <v>135</v>
      </c>
      <c r="K117" s="9" t="s">
        <v>146</v>
      </c>
      <c r="L117" s="9" t="s">
        <v>131</v>
      </c>
      <c r="M117" s="9" t="s">
        <v>240</v>
      </c>
      <c r="N117" s="9" t="s">
        <v>145</v>
      </c>
      <c r="O117" s="9" t="s">
        <v>137</v>
      </c>
      <c r="P117" s="9" t="s">
        <v>243</v>
      </c>
      <c r="Q117" s="9"/>
      <c r="R117" s="9">
        <v>7</v>
      </c>
      <c r="S117" s="9">
        <v>78114711</v>
      </c>
      <c r="T117" t="s">
        <v>233</v>
      </c>
      <c r="U117" s="9" t="s">
        <v>147</v>
      </c>
      <c r="V117" s="9"/>
      <c r="W117" s="19" t="s">
        <v>187</v>
      </c>
      <c r="X117" s="9">
        <v>42</v>
      </c>
      <c r="Y117" s="9">
        <v>3</v>
      </c>
      <c r="Z117" s="9">
        <v>5</v>
      </c>
      <c r="AA117" s="9" t="str">
        <f>IF(Tabla152[[#This Row],[NOTA]]=15,"CUMPLE","NO CUMPLE")</f>
        <v>NO CUMPLE</v>
      </c>
      <c r="AB117" s="9" t="str">
        <f>IF(COUNTIF($A$10:A117,A117)=1,IF(COUNTIFS($A:$A,A117,$AA:$AA,"NO CUMPLE")&gt;0,"NO CUMPLE","CUMPLE"),"")</f>
        <v/>
      </c>
      <c r="AC117" s="9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7"/>
      <c r="AR117" s="7"/>
      <c r="AS117" s="7"/>
      <c r="AT117" s="7"/>
      <c r="AU117" s="7"/>
      <c r="AV117" s="7"/>
      <c r="AW117" s="7">
        <v>1</v>
      </c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18"/>
      <c r="BX117" s="18">
        <f>IF($X117="","",AE117/$X$10)</f>
        <v>0</v>
      </c>
      <c r="BY117" s="18">
        <f>IF($X117="","",AF117/$X$10)</f>
        <v>0</v>
      </c>
      <c r="BZ117" s="18">
        <f>IF($X117="","",AG117/$X$10)</f>
        <v>0</v>
      </c>
      <c r="CA117" s="18">
        <f>IF($X117="","",AH117/$X$10)</f>
        <v>0</v>
      </c>
      <c r="CB117" s="18">
        <f t="shared" si="9"/>
        <v>0</v>
      </c>
      <c r="CC117" s="18">
        <f>IF($X117="","",AJ117/$X$10)</f>
        <v>0</v>
      </c>
      <c r="CD117" s="18">
        <f>IF($X117="","",AK117/$X$10)</f>
        <v>0</v>
      </c>
      <c r="CE117" s="18">
        <f>IF($X117="","",AL117/$X$10)</f>
        <v>0</v>
      </c>
      <c r="CF117" s="18">
        <f>IF($X117="","",AM117/$X$10)</f>
        <v>0</v>
      </c>
      <c r="CG117" s="18">
        <f>IF($X117="","",AN117/$X$10)</f>
        <v>0</v>
      </c>
      <c r="CH117" s="18">
        <f>IF($X117="","",AO117/$X$10)</f>
        <v>0</v>
      </c>
      <c r="CI117" s="18">
        <f>IF($X117="","",AP117/$X$10)</f>
        <v>0</v>
      </c>
      <c r="CJ117" s="18">
        <f>IF($X117="","",AQ117/$X$10)</f>
        <v>0</v>
      </c>
      <c r="CK117" s="18">
        <f>IF($X117="","",AR117/$X$10)</f>
        <v>0</v>
      </c>
      <c r="CL117" s="18">
        <f>IF($X117="","",AS117/$X$10)</f>
        <v>0</v>
      </c>
      <c r="CM117" s="18">
        <f>IF($X117="","",AT117/$X$10)</f>
        <v>0</v>
      </c>
      <c r="CN117" s="18">
        <f>IF($X117="","",AU117/$X$10)</f>
        <v>0</v>
      </c>
      <c r="CO117" s="18">
        <f>IF($X117="","",AV117/$X$10)</f>
        <v>0</v>
      </c>
      <c r="CP117" s="18">
        <f>IF($X117="","",AW117/$X$10)</f>
        <v>1.5873015873015872E-2</v>
      </c>
      <c r="CQ117" s="18">
        <f>IF($X117="","",AX117/$X$10)</f>
        <v>0</v>
      </c>
      <c r="CR117" s="18">
        <f>IF($X117="","",AY117/$X$10)</f>
        <v>0</v>
      </c>
      <c r="CS117" s="18">
        <f>IF($X117="","",AZ117/$X$10)</f>
        <v>0</v>
      </c>
      <c r="CT117" s="18">
        <f>IF($X117="","",BA117/$X$10)</f>
        <v>0</v>
      </c>
      <c r="CU117" s="18">
        <f>IF($X117="","",BB117/$X$10)</f>
        <v>0</v>
      </c>
      <c r="CV117" s="18">
        <f>IF($X117="","",BC117/$X$10)</f>
        <v>0</v>
      </c>
      <c r="CW117" s="18">
        <f>IF($X117="","",BD117/$X$10)</f>
        <v>0</v>
      </c>
      <c r="CX117" s="18">
        <f>IF($X117="","",BE117/$X$10)</f>
        <v>0</v>
      </c>
      <c r="CY117" s="18">
        <f>IF($X117="","",BF117/$X$10)</f>
        <v>0</v>
      </c>
      <c r="CZ117" s="18">
        <f>IF($X117="","",BG117/$X$10)</f>
        <v>0</v>
      </c>
      <c r="DA117" s="18">
        <f>IF($X117="","",BH117/$X$10)</f>
        <v>0</v>
      </c>
      <c r="DB117" s="18">
        <f>IF($X117="","",BI117/$X$10)</f>
        <v>0</v>
      </c>
      <c r="DC117" s="18">
        <f>IF($X117="","",BJ117/$X$10)</f>
        <v>0</v>
      </c>
      <c r="DD117" s="18">
        <f>IF($X117="","",BK117/$X$10)</f>
        <v>0</v>
      </c>
      <c r="DE117" s="18">
        <f>IF($X117="","",BL117/$X$10)</f>
        <v>0</v>
      </c>
      <c r="DF117" s="18">
        <f>IF($X117="","",BM117/$X$10)</f>
        <v>0</v>
      </c>
      <c r="DG117" s="18">
        <f t="shared" si="10"/>
        <v>0</v>
      </c>
      <c r="DH117" s="18">
        <f>IF($X117="","",BO117/$X$10)</f>
        <v>0</v>
      </c>
      <c r="DI117" s="18">
        <f>IF($X117="","",BP117/$X$10)</f>
        <v>0</v>
      </c>
      <c r="DJ117" s="18">
        <f>IF($X117="","",BQ117/$X$10)</f>
        <v>0</v>
      </c>
      <c r="DK117" s="18">
        <f>IF($X117="","",BR117/$X$10)</f>
        <v>0</v>
      </c>
      <c r="DL117" s="18">
        <f>IF($X117="","",BS117/$X$10)</f>
        <v>0</v>
      </c>
      <c r="DM117" s="18">
        <f>IF($X117="","",BT117/$X$10)</f>
        <v>0</v>
      </c>
      <c r="DN117" s="18">
        <f t="shared" si="12"/>
        <v>0</v>
      </c>
      <c r="DO117" s="16">
        <f>IF($X117="","",SUM(Tabla152[[#This Row],[PODRIDO]],Tabla152[[#This Row],[HONGO]],Tabla152[[#This Row],[PICADO DE AVE CON PUDRICIÓN]],Tabla152[[#This Row],[FUMAGINA]])/$X$10)</f>
        <v>0</v>
      </c>
      <c r="DP117" s="16">
        <f>IF($X117="","",SUM(Tabla152[[#This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1.5873015873015872E-2</v>
      </c>
      <c r="DQ117" s="16">
        <f>IF($X117="","",SUM(Tabla152[[#This Row],[BLANDO]:[COLAPSADO]])/$X$10)</f>
        <v>0</v>
      </c>
      <c r="DR117" s="16">
        <f>IF($X117="","",SUM(Tabla152[[#This Row],[DESHIDRATADO LEVE]:[DESHIDRATADO INMADURO]])/$X$10)</f>
        <v>0</v>
      </c>
      <c r="DS117" s="18">
        <f t="shared" si="7"/>
        <v>0</v>
      </c>
      <c r="DT117" s="16">
        <f>IF($X117="","",SUM(Tabla152[[#This Row],[PRESENCIA DE LARVA]],Tabla152[[#This Row],[CHANCHITO BLANCO]])/$X$10)</f>
        <v>0</v>
      </c>
      <c r="DU117" s="18">
        <f>IF($X117="","",SUM(Tabla152[[#This Row],[ROJO GRADO 2 A MÁS]],Tabla152[[#This Row],[IMMADURO VERDE]],Tabla152[[#This Row],[DESORDEN POR MADURACIÓN]],Tabla152[[#This Row],[ARO PEDICELAR VERDE EXTREMO]])/$X$10)</f>
        <v>0</v>
      </c>
      <c r="DV117" s="16">
        <f>IF($X117="","",SUM(Tabla152[[#This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17" s="16">
        <f t="shared" si="8"/>
        <v>0</v>
      </c>
      <c r="DX117" s="16">
        <f>IF($X117="","",AJ117/$X$10)</f>
        <v>0</v>
      </c>
      <c r="DY117" s="16">
        <f>IF($X117="","",SUM(Tabla152[[#This Row],[PRESENCIA DE COROLA]],Tabla152[[#This Row],[PRESENCIA DE RESTO FLORAL VERDE]],Tabla152[[#This Row],[PRESENCIA DE PEDÚNCULO]])/$X$10)</f>
        <v>0</v>
      </c>
      <c r="DZ117" s="16">
        <f>IF($X117="","",SUM(Tabla152[[#This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18" spans="1:130" x14ac:dyDescent="0.3">
      <c r="A118" s="9">
        <f>IF(W118="","",IF(ROW()=10,1,IF(W118=W117,A117,MAX($A$9:A117)+1)))</f>
        <v>36</v>
      </c>
      <c r="B118" s="9">
        <f>WEEKNUM(Tabla152[[#This Row],[FECHA DE COSECHA]],21)</f>
        <v>36</v>
      </c>
      <c r="C118" s="9"/>
      <c r="D118" s="17">
        <v>46268</v>
      </c>
      <c r="E118" s="17">
        <v>46268</v>
      </c>
      <c r="F118" s="9">
        <v>1</v>
      </c>
      <c r="G118" s="9" t="s">
        <v>77</v>
      </c>
      <c r="H118" s="9" t="s">
        <v>144</v>
      </c>
      <c r="I118" s="9" t="s">
        <v>188</v>
      </c>
      <c r="J118" s="9" t="s">
        <v>135</v>
      </c>
      <c r="K118" s="9" t="s">
        <v>146</v>
      </c>
      <c r="L118" s="9" t="s">
        <v>131</v>
      </c>
      <c r="M118" s="9" t="s">
        <v>239</v>
      </c>
      <c r="N118" s="9" t="s">
        <v>136</v>
      </c>
      <c r="O118" s="9" t="s">
        <v>137</v>
      </c>
      <c r="P118" s="9" t="s">
        <v>243</v>
      </c>
      <c r="Q118" s="9"/>
      <c r="R118" s="9">
        <v>7</v>
      </c>
      <c r="S118">
        <v>75459229</v>
      </c>
      <c r="T118" t="s">
        <v>234</v>
      </c>
      <c r="U118" s="9" t="s">
        <v>147</v>
      </c>
      <c r="V118" s="9"/>
      <c r="W118" t="s">
        <v>189</v>
      </c>
      <c r="X118" s="9">
        <v>66</v>
      </c>
      <c r="Y118" s="9">
        <v>1</v>
      </c>
      <c r="Z118" s="9">
        <v>15</v>
      </c>
      <c r="AA118" s="9" t="str">
        <f>IF(Tabla152[[#This Row],[NOTA]]=15,"CUMPLE","NO CUMPLE")</f>
        <v>CUMPLE</v>
      </c>
      <c r="AB118" s="9" t="str">
        <f>IF(COUNTIF($A$10:A118,A118)=1,IF(COUNTIFS($A:$A,A118,$AA:$AA,"NO CUMPLE")&gt;0,"NO CUMPLE","CUMPLE"),"")</f>
        <v>NO CUMPLE</v>
      </c>
      <c r="AC118" s="9" t="s">
        <v>150</v>
      </c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7"/>
      <c r="AR118" s="7"/>
      <c r="AS118" s="7"/>
      <c r="AT118" s="7"/>
      <c r="AU118" s="7"/>
      <c r="AV118" s="7"/>
      <c r="AW118" s="7">
        <v>2</v>
      </c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18"/>
      <c r="BX118" s="18">
        <f>IF($X118="","",AE118/$X$10)</f>
        <v>0</v>
      </c>
      <c r="BY118" s="18">
        <f>IF($X118="","",AF118/$X$10)</f>
        <v>0</v>
      </c>
      <c r="BZ118" s="18">
        <f>IF($X118="","",AG118/$X$10)</f>
        <v>0</v>
      </c>
      <c r="CA118" s="18">
        <f>IF($X118="","",AH118/$X$10)</f>
        <v>0</v>
      </c>
      <c r="CB118" s="18">
        <f t="shared" si="9"/>
        <v>0</v>
      </c>
      <c r="CC118" s="18">
        <f>IF($X118="","",AJ118/$X$10)</f>
        <v>0</v>
      </c>
      <c r="CD118" s="18">
        <f>IF($X118="","",AK118/$X$10)</f>
        <v>0</v>
      </c>
      <c r="CE118" s="18">
        <f>IF($X118="","",AL118/$X$10)</f>
        <v>0</v>
      </c>
      <c r="CF118" s="18">
        <f>IF($X118="","",AM118/$X$10)</f>
        <v>0</v>
      </c>
      <c r="CG118" s="18">
        <f>IF($X118="","",AN118/$X$10)</f>
        <v>0</v>
      </c>
      <c r="CH118" s="18">
        <f>IF($X118="","",AO118/$X$10)</f>
        <v>0</v>
      </c>
      <c r="CI118" s="18">
        <f>IF($X118="","",AP118/$X$10)</f>
        <v>0</v>
      </c>
      <c r="CJ118" s="18">
        <f>IF($X118="","",AQ118/$X$10)</f>
        <v>0</v>
      </c>
      <c r="CK118" s="18">
        <f>IF($X118="","",AR118/$X$10)</f>
        <v>0</v>
      </c>
      <c r="CL118" s="18">
        <f>IF($X118="","",AS118/$X$10)</f>
        <v>0</v>
      </c>
      <c r="CM118" s="18">
        <f>IF($X118="","",AT118/$X$10)</f>
        <v>0</v>
      </c>
      <c r="CN118" s="18">
        <f>IF($X118="","",AU118/$X$10)</f>
        <v>0</v>
      </c>
      <c r="CO118" s="18">
        <f>IF($X118="","",AV118/$X$10)</f>
        <v>0</v>
      </c>
      <c r="CP118" s="18">
        <f>IF($X118="","",AW118/$X$10)</f>
        <v>3.1746031746031744E-2</v>
      </c>
      <c r="CQ118" s="18">
        <f>IF($X118="","",AX118/$X$10)</f>
        <v>0</v>
      </c>
      <c r="CR118" s="18">
        <f>IF($X118="","",AY118/$X$10)</f>
        <v>0</v>
      </c>
      <c r="CS118" s="18">
        <f>IF($X118="","",AZ118/$X$10)</f>
        <v>0</v>
      </c>
      <c r="CT118" s="18">
        <f>IF($X118="","",BA118/$X$10)</f>
        <v>0</v>
      </c>
      <c r="CU118" s="18">
        <f>IF($X118="","",BB118/$X$10)</f>
        <v>0</v>
      </c>
      <c r="CV118" s="18">
        <f>IF($X118="","",BC118/$X$10)</f>
        <v>0</v>
      </c>
      <c r="CW118" s="18">
        <f>IF($X118="","",BD118/$X$10)</f>
        <v>0</v>
      </c>
      <c r="CX118" s="18">
        <f>IF($X118="","",BE118/$X$10)</f>
        <v>0</v>
      </c>
      <c r="CY118" s="18">
        <f>IF($X118="","",BF118/$X$10)</f>
        <v>0</v>
      </c>
      <c r="CZ118" s="18">
        <f>IF($X118="","",BG118/$X$10)</f>
        <v>0</v>
      </c>
      <c r="DA118" s="18">
        <f>IF($X118="","",BH118/$X$10)</f>
        <v>0</v>
      </c>
      <c r="DB118" s="18">
        <f>IF($X118="","",BI118/$X$10)</f>
        <v>0</v>
      </c>
      <c r="DC118" s="18">
        <f>IF($X118="","",BJ118/$X$10)</f>
        <v>0</v>
      </c>
      <c r="DD118" s="18">
        <f>IF($X118="","",BK118/$X$10)</f>
        <v>0</v>
      </c>
      <c r="DE118" s="18">
        <f>IF($X118="","",BL118/$X$10)</f>
        <v>0</v>
      </c>
      <c r="DF118" s="18">
        <f>IF($X118="","",BM118/$X$10)</f>
        <v>0</v>
      </c>
      <c r="DG118" s="18">
        <f t="shared" si="10"/>
        <v>0</v>
      </c>
      <c r="DH118" s="18">
        <f>IF($X118="","",BO118/$X$10)</f>
        <v>0</v>
      </c>
      <c r="DI118" s="18">
        <f>IF($X118="","",BP118/$X$10)</f>
        <v>0</v>
      </c>
      <c r="DJ118" s="18">
        <f>IF($X118="","",BQ118/$X$10)</f>
        <v>0</v>
      </c>
      <c r="DK118" s="18">
        <f>IF($X118="","",BR118/$X$10)</f>
        <v>0</v>
      </c>
      <c r="DL118" s="18">
        <f>IF($X118="","",BS118/$X$10)</f>
        <v>0</v>
      </c>
      <c r="DM118" s="18">
        <f>IF($X118="","",BT118/$X$10)</f>
        <v>0</v>
      </c>
      <c r="DN118" s="18">
        <f>IF($X118="","",BU118/$X$10)</f>
        <v>0</v>
      </c>
      <c r="DO118" s="16">
        <f>IF($X118="","",SUM(Tabla152[[#This Row],[PODRIDO]],Tabla152[[#This Row],[HONGO]],Tabla152[[#This Row],[PICADO DE AVE CON PUDRICIÓN]],Tabla152[[#This Row],[FUMAGINA]])/$X$10)</f>
        <v>0</v>
      </c>
      <c r="DP118" s="16">
        <f>IF($X118="","",SUM(Tabla152[[#This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118" s="16">
        <f>IF($X118="","",SUM(Tabla152[[#This Row],[BLANDO]:[COLAPSADO]])/$X$10)</f>
        <v>0</v>
      </c>
      <c r="DR118" s="16">
        <f>IF($X118="","",SUM(Tabla152[[#This Row],[DESHIDRATADO LEVE]:[DESHIDRATADO INMADURO]])/$X$10)</f>
        <v>0</v>
      </c>
      <c r="DS118" s="18">
        <f t="shared" si="7"/>
        <v>0</v>
      </c>
      <c r="DT118" s="16">
        <f>IF($X118="","",SUM(Tabla152[[#This Row],[PRESENCIA DE LARVA]],Tabla152[[#This Row],[CHANCHITO BLANCO]])/$X$10)</f>
        <v>0</v>
      </c>
      <c r="DU118" s="18">
        <f>IF($X118="","",SUM(Tabla152[[#This Row],[ROJO GRADO 2 A MÁS]],Tabla152[[#This Row],[IMMADURO VERDE]],Tabla152[[#This Row],[DESORDEN POR MADURACIÓN]],Tabla152[[#This Row],[ARO PEDICELAR VERDE EXTREMO]])/$X$10)</f>
        <v>0</v>
      </c>
      <c r="DV118" s="16">
        <f>IF($X118="","",SUM(Tabla152[[#This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18" s="16">
        <f t="shared" si="8"/>
        <v>0</v>
      </c>
      <c r="DX118" s="16">
        <f>IF($X118="","",AJ118/$X$10)</f>
        <v>0</v>
      </c>
      <c r="DY118" s="16">
        <f>IF($X118="","",SUM(Tabla152[[#This Row],[PRESENCIA DE COROLA]],Tabla152[[#This Row],[PRESENCIA DE RESTO FLORAL VERDE]],Tabla152[[#This Row],[PRESENCIA DE PEDÚNCULO]])/$X$10)</f>
        <v>0</v>
      </c>
      <c r="DZ118" s="16">
        <f>IF($X118="","",SUM(Tabla152[[#This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19" spans="1:130" x14ac:dyDescent="0.3">
      <c r="A119" s="9">
        <f>IF(W119="","",IF(ROW()=10,1,IF(W119=W118,A118,MAX($A$9:A118)+1)))</f>
        <v>36</v>
      </c>
      <c r="B119" s="9">
        <f>WEEKNUM(Tabla152[[#This Row],[FECHA DE COSECHA]],21)</f>
        <v>36</v>
      </c>
      <c r="C119" s="9"/>
      <c r="D119" s="17">
        <v>46268</v>
      </c>
      <c r="E119" s="17">
        <v>46268</v>
      </c>
      <c r="F119" s="9">
        <v>1</v>
      </c>
      <c r="G119" s="9" t="s">
        <v>77</v>
      </c>
      <c r="H119" s="9" t="s">
        <v>144</v>
      </c>
      <c r="I119" s="9" t="s">
        <v>188</v>
      </c>
      <c r="J119" s="9" t="s">
        <v>135</v>
      </c>
      <c r="K119" s="9" t="s">
        <v>146</v>
      </c>
      <c r="L119" s="9" t="s">
        <v>131</v>
      </c>
      <c r="M119" s="9" t="s">
        <v>239</v>
      </c>
      <c r="N119" s="9" t="s">
        <v>136</v>
      </c>
      <c r="O119" s="9" t="s">
        <v>137</v>
      </c>
      <c r="P119" s="9" t="s">
        <v>243</v>
      </c>
      <c r="Q119" s="9"/>
      <c r="R119" s="9">
        <v>7</v>
      </c>
      <c r="S119">
        <v>75459229</v>
      </c>
      <c r="T119" t="s">
        <v>234</v>
      </c>
      <c r="U119" s="9" t="s">
        <v>147</v>
      </c>
      <c r="V119" s="9"/>
      <c r="W119" t="s">
        <v>189</v>
      </c>
      <c r="X119" s="9">
        <v>66</v>
      </c>
      <c r="Y119" s="9">
        <v>2</v>
      </c>
      <c r="Z119" s="9">
        <v>15</v>
      </c>
      <c r="AA119" s="9" t="str">
        <f>IF(Tabla152[[#This Row],[NOTA]]=15,"CUMPLE","NO CUMPLE")</f>
        <v>CUMPLE</v>
      </c>
      <c r="AB119" s="9" t="str">
        <f>IF(COUNTIF($A$10:A119,A119)=1,IF(COUNTIFS($A:$A,A119,$AA:$AA,"NO CUMPLE")&gt;0,"NO CUMPLE","CUMPLE"),"")</f>
        <v/>
      </c>
      <c r="AC119" s="9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18"/>
      <c r="BX119" s="18">
        <f>IF($X119="","",AE119/$X$10)</f>
        <v>0</v>
      </c>
      <c r="BY119" s="18">
        <f>IF($X119="","",AF119/$X$10)</f>
        <v>0</v>
      </c>
      <c r="BZ119" s="18">
        <f>IF($X119="","",AG119/$X$10)</f>
        <v>0</v>
      </c>
      <c r="CA119" s="18">
        <f>IF($X119="","",AH119/$X$10)</f>
        <v>0</v>
      </c>
      <c r="CB119" s="18">
        <f t="shared" si="9"/>
        <v>0</v>
      </c>
      <c r="CC119" s="18">
        <f>IF($X119="","",AJ119/$X$10)</f>
        <v>0</v>
      </c>
      <c r="CD119" s="18">
        <f>IF($X119="","",AK119/$X$10)</f>
        <v>0</v>
      </c>
      <c r="CE119" s="18">
        <f>IF($X119="","",AL119/$X$10)</f>
        <v>0</v>
      </c>
      <c r="CF119" s="18">
        <f>IF($X119="","",AM119/$X$10)</f>
        <v>0</v>
      </c>
      <c r="CG119" s="18">
        <f>IF($X119="","",AN119/$X$10)</f>
        <v>0</v>
      </c>
      <c r="CH119" s="18">
        <f>IF($X119="","",AO119/$X$10)</f>
        <v>0</v>
      </c>
      <c r="CI119" s="18">
        <f>IF($X119="","",AP119/$X$10)</f>
        <v>0</v>
      </c>
      <c r="CJ119" s="18">
        <f>IF($X119="","",AQ119/$X$10)</f>
        <v>0</v>
      </c>
      <c r="CK119" s="18">
        <f>IF($X119="","",AR119/$X$10)</f>
        <v>0</v>
      </c>
      <c r="CL119" s="18">
        <f>IF($X119="","",AS119/$X$10)</f>
        <v>0</v>
      </c>
      <c r="CM119" s="18">
        <f>IF($X119="","",AT119/$X$10)</f>
        <v>0</v>
      </c>
      <c r="CN119" s="18">
        <f>IF($X119="","",AU119/$X$10)</f>
        <v>0</v>
      </c>
      <c r="CO119" s="18">
        <f>IF($X119="","",AV119/$X$10)</f>
        <v>0</v>
      </c>
      <c r="CP119" s="18">
        <f>IF($X119="","",AW119/$X$10)</f>
        <v>0</v>
      </c>
      <c r="CQ119" s="18">
        <f>IF($X119="","",AX119/$X$10)</f>
        <v>0</v>
      </c>
      <c r="CR119" s="18">
        <f>IF($X119="","",AY119/$X$10)</f>
        <v>0</v>
      </c>
      <c r="CS119" s="18">
        <f>IF($X119="","",AZ119/$X$10)</f>
        <v>0</v>
      </c>
      <c r="CT119" s="18">
        <f>IF($X119="","",BA119/$X$10)</f>
        <v>0</v>
      </c>
      <c r="CU119" s="18">
        <f>IF($X119="","",BB119/$X$10)</f>
        <v>0</v>
      </c>
      <c r="CV119" s="18">
        <f>IF($X119="","",BC119/$X$10)</f>
        <v>0</v>
      </c>
      <c r="CW119" s="18">
        <f>IF($X119="","",BD119/$X$10)</f>
        <v>0</v>
      </c>
      <c r="CX119" s="18">
        <f>IF($X119="","",BE119/$X$10)</f>
        <v>0</v>
      </c>
      <c r="CY119" s="18">
        <f>IF($X119="","",BF119/$X$10)</f>
        <v>0</v>
      </c>
      <c r="CZ119" s="18">
        <f>IF($X119="","",BG119/$X$10)</f>
        <v>0</v>
      </c>
      <c r="DA119" s="18">
        <f>IF($X119="","",BH119/$X$10)</f>
        <v>0</v>
      </c>
      <c r="DB119" s="18">
        <f>IF($X119="","",BI119/$X$10)</f>
        <v>0</v>
      </c>
      <c r="DC119" s="18">
        <f>IF($X119="","",BJ119/$X$10)</f>
        <v>0</v>
      </c>
      <c r="DD119" s="18">
        <f>IF($X119="","",BK119/$X$10)</f>
        <v>0</v>
      </c>
      <c r="DE119" s="18">
        <f>IF($X119="","",BL119/$X$10)</f>
        <v>0</v>
      </c>
      <c r="DF119" s="18">
        <f>IF($X119="","",BM119/$X$10)</f>
        <v>0</v>
      </c>
      <c r="DG119" s="18">
        <f t="shared" si="10"/>
        <v>0</v>
      </c>
      <c r="DH119" s="18">
        <f>IF($X119="","",BO119/$X$10)</f>
        <v>0</v>
      </c>
      <c r="DI119" s="18">
        <f>IF($X119="","",BP119/$X$10)</f>
        <v>0</v>
      </c>
      <c r="DJ119" s="18">
        <f>IF($X119="","",BQ119/$X$10)</f>
        <v>0</v>
      </c>
      <c r="DK119" s="18">
        <f>IF($X119="","",BR119/$X$10)</f>
        <v>0</v>
      </c>
      <c r="DL119" s="18">
        <f>IF($X119="","",BS119/$X$10)</f>
        <v>0</v>
      </c>
      <c r="DM119" s="18">
        <f>IF($X119="","",BT119/$X$10)</f>
        <v>0</v>
      </c>
      <c r="DN119" s="18">
        <f t="shared" ref="DN119:DN135" si="13">IF($X119="","",BU119/$X$10)</f>
        <v>0</v>
      </c>
      <c r="DO119" s="16">
        <f>IF($X119="","",SUM(Tabla152[[#This Row],[PODRIDO]],Tabla152[[#This Row],[HONGO]],Tabla152[[#This Row],[PICADO DE AVE CON PUDRICIÓN]],Tabla152[[#This Row],[FUMAGINA]])/$X$10)</f>
        <v>0</v>
      </c>
      <c r="DP119" s="16">
        <f>IF($X119="","",SUM(Tabla152[[#This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19" s="16">
        <f>IF($X119="","",SUM(Tabla152[[#This Row],[BLANDO]:[COLAPSADO]])/$X$10)</f>
        <v>0</v>
      </c>
      <c r="DR119" s="16">
        <f>IF($X119="","",SUM(Tabla152[[#This Row],[DESHIDRATADO LEVE]:[DESHIDRATADO INMADURO]])/$X$10)</f>
        <v>0</v>
      </c>
      <c r="DS119" s="18">
        <f t="shared" si="7"/>
        <v>0</v>
      </c>
      <c r="DT119" s="16">
        <f>IF($X119="","",SUM(Tabla152[[#This Row],[PRESENCIA DE LARVA]],Tabla152[[#This Row],[CHANCHITO BLANCO]])/$X$10)</f>
        <v>0</v>
      </c>
      <c r="DU119" s="18">
        <f>IF($X119="","",SUM(Tabla152[[#This Row],[ROJO GRADO 2 A MÁS]],Tabla152[[#This Row],[IMMADURO VERDE]],Tabla152[[#This Row],[DESORDEN POR MADURACIÓN]],Tabla152[[#This Row],[ARO PEDICELAR VERDE EXTREMO]])/$X$10)</f>
        <v>0</v>
      </c>
      <c r="DV119" s="16">
        <f>IF($X119="","",SUM(Tabla152[[#This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19" s="16">
        <f t="shared" si="8"/>
        <v>0</v>
      </c>
      <c r="DX119" s="16">
        <f>IF($X119="","",AJ119/$X$10)</f>
        <v>0</v>
      </c>
      <c r="DY119" s="16">
        <f>IF($X119="","",SUM(Tabla152[[#This Row],[PRESENCIA DE COROLA]],Tabla152[[#This Row],[PRESENCIA DE RESTO FLORAL VERDE]],Tabla152[[#This Row],[PRESENCIA DE PEDÚNCULO]])/$X$10)</f>
        <v>0</v>
      </c>
      <c r="DZ119" s="16">
        <f>IF($X119="","",SUM(Tabla152[[#This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20" spans="1:130" x14ac:dyDescent="0.3">
      <c r="A120" s="9">
        <f>IF(W120="","",IF(ROW()=10,1,IF(W120=W119,A119,MAX($A$9:A119)+1)))</f>
        <v>36</v>
      </c>
      <c r="B120" s="9">
        <f>WEEKNUM(Tabla152[[#This Row],[FECHA DE COSECHA]],21)</f>
        <v>36</v>
      </c>
      <c r="C120" s="9"/>
      <c r="D120" s="17">
        <v>46268</v>
      </c>
      <c r="E120" s="17">
        <v>46268</v>
      </c>
      <c r="F120" s="9">
        <v>1</v>
      </c>
      <c r="G120" s="9" t="s">
        <v>77</v>
      </c>
      <c r="H120" s="9" t="s">
        <v>144</v>
      </c>
      <c r="I120" s="9" t="s">
        <v>188</v>
      </c>
      <c r="J120" s="9" t="s">
        <v>135</v>
      </c>
      <c r="K120" s="9" t="s">
        <v>146</v>
      </c>
      <c r="L120" s="9" t="s">
        <v>131</v>
      </c>
      <c r="M120" s="9" t="s">
        <v>239</v>
      </c>
      <c r="N120" s="9" t="s">
        <v>136</v>
      </c>
      <c r="O120" s="9" t="s">
        <v>137</v>
      </c>
      <c r="P120" s="9" t="s">
        <v>243</v>
      </c>
      <c r="Q120" s="9"/>
      <c r="R120" s="9">
        <v>7</v>
      </c>
      <c r="S120">
        <v>75459229</v>
      </c>
      <c r="T120" t="s">
        <v>234</v>
      </c>
      <c r="U120" s="9" t="s">
        <v>147</v>
      </c>
      <c r="V120" s="9"/>
      <c r="W120" t="s">
        <v>189</v>
      </c>
      <c r="X120" s="9">
        <v>66</v>
      </c>
      <c r="Y120" s="9">
        <v>3</v>
      </c>
      <c r="Z120" s="9">
        <v>5</v>
      </c>
      <c r="AA120" s="9" t="str">
        <f>IF(Tabla152[[#This Row],[NOTA]]=15,"CUMPLE","NO CUMPLE")</f>
        <v>NO CUMPLE</v>
      </c>
      <c r="AB120" s="9" t="str">
        <f>IF(COUNTIF($A$10:A120,A120)=1,IF(COUNTIFS($A:$A,A120,$AA:$AA,"NO CUMPLE")&gt;0,"NO CUMPLE","CUMPLE"),"")</f>
        <v/>
      </c>
      <c r="AC120" s="9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18"/>
      <c r="BX120" s="18">
        <f>IF($X120="","",AE120/$X$10)</f>
        <v>0</v>
      </c>
      <c r="BY120" s="18">
        <f>IF($X120="","",AF120/$X$10)</f>
        <v>0</v>
      </c>
      <c r="BZ120" s="18">
        <f>IF($X120="","",AG120/$X$10)</f>
        <v>0</v>
      </c>
      <c r="CA120" s="18">
        <f>IF($X120="","",AH120/$X$10)</f>
        <v>0</v>
      </c>
      <c r="CB120" s="18">
        <f t="shared" si="9"/>
        <v>0</v>
      </c>
      <c r="CC120" s="18">
        <f>IF($X120="","",AJ120/$X$10)</f>
        <v>0</v>
      </c>
      <c r="CD120" s="18">
        <f>IF($X120="","",AK120/$X$10)</f>
        <v>0</v>
      </c>
      <c r="CE120" s="18">
        <f>IF($X120="","",AL120/$X$10)</f>
        <v>0</v>
      </c>
      <c r="CF120" s="18">
        <f>IF($X120="","",AM120/$X$10)</f>
        <v>0</v>
      </c>
      <c r="CG120" s="18">
        <f>IF($X120="","",AN120/$X$10)</f>
        <v>0</v>
      </c>
      <c r="CH120" s="18">
        <f>IF($X120="","",AO120/$X$10)</f>
        <v>0</v>
      </c>
      <c r="CI120" s="18">
        <f>IF($X120="","",AP120/$X$10)</f>
        <v>0</v>
      </c>
      <c r="CJ120" s="18">
        <f>IF($X120="","",AQ120/$X$10)</f>
        <v>0</v>
      </c>
      <c r="CK120" s="18">
        <f>IF($X120="","",AR120/$X$10)</f>
        <v>0</v>
      </c>
      <c r="CL120" s="18">
        <f>IF($X120="","",AS120/$X$10)</f>
        <v>0</v>
      </c>
      <c r="CM120" s="18">
        <f>IF($X120="","",AT120/$X$10)</f>
        <v>0</v>
      </c>
      <c r="CN120" s="18">
        <f>IF($X120="","",AU120/$X$10)</f>
        <v>0</v>
      </c>
      <c r="CO120" s="18">
        <f>IF($X120="","",AV120/$X$10)</f>
        <v>0</v>
      </c>
      <c r="CP120" s="18">
        <f>IF($X120="","",AW120/$X$10)</f>
        <v>0</v>
      </c>
      <c r="CQ120" s="18">
        <f>IF($X120="","",AX120/$X$10)</f>
        <v>0</v>
      </c>
      <c r="CR120" s="18">
        <f>IF($X120="","",AY120/$X$10)</f>
        <v>0</v>
      </c>
      <c r="CS120" s="18">
        <f>IF($X120="","",AZ120/$X$10)</f>
        <v>0</v>
      </c>
      <c r="CT120" s="18">
        <f>IF($X120="","",BA120/$X$10)</f>
        <v>0</v>
      </c>
      <c r="CU120" s="18">
        <f>IF($X120="","",BB120/$X$10)</f>
        <v>0</v>
      </c>
      <c r="CV120" s="18">
        <f>IF($X120="","",BC120/$X$10)</f>
        <v>0</v>
      </c>
      <c r="CW120" s="18">
        <f>IF($X120="","",BD120/$X$10)</f>
        <v>0</v>
      </c>
      <c r="CX120" s="18">
        <f>IF($X120="","",BE120/$X$10)</f>
        <v>0</v>
      </c>
      <c r="CY120" s="18">
        <f>IF($X120="","",BF120/$X$10)</f>
        <v>0</v>
      </c>
      <c r="CZ120" s="18">
        <f>IF($X120="","",BG120/$X$10)</f>
        <v>0</v>
      </c>
      <c r="DA120" s="18">
        <f>IF($X120="","",BH120/$X$10)</f>
        <v>0</v>
      </c>
      <c r="DB120" s="18">
        <f>IF($X120="","",BI120/$X$10)</f>
        <v>0</v>
      </c>
      <c r="DC120" s="18">
        <f>IF($X120="","",BJ120/$X$10)</f>
        <v>0</v>
      </c>
      <c r="DD120" s="18">
        <f>IF($X120="","",BK120/$X$10)</f>
        <v>0</v>
      </c>
      <c r="DE120" s="18">
        <f>IF($X120="","",BL120/$X$10)</f>
        <v>0</v>
      </c>
      <c r="DF120" s="18">
        <f>IF($X120="","",BM120/$X$10)</f>
        <v>0</v>
      </c>
      <c r="DG120" s="18">
        <f t="shared" si="10"/>
        <v>0</v>
      </c>
      <c r="DH120" s="18">
        <f>IF($X120="","",BO120/$X$10)</f>
        <v>0</v>
      </c>
      <c r="DI120" s="18">
        <f>IF($X120="","",BP120/$X$10)</f>
        <v>0</v>
      </c>
      <c r="DJ120" s="18">
        <f>IF($X120="","",BQ120/$X$10)</f>
        <v>0</v>
      </c>
      <c r="DK120" s="18">
        <f>IF($X120="","",BR120/$X$10)</f>
        <v>0</v>
      </c>
      <c r="DL120" s="18">
        <f>IF($X120="","",BS120/$X$10)</f>
        <v>0</v>
      </c>
      <c r="DM120" s="18">
        <f>IF($X120="","",BT120/$X$10)</f>
        <v>0</v>
      </c>
      <c r="DN120" s="18">
        <f t="shared" si="13"/>
        <v>0</v>
      </c>
      <c r="DO120" s="16">
        <f>IF($X120="","",SUM(Tabla152[[#This Row],[PODRIDO]],Tabla152[[#This Row],[HONGO]],Tabla152[[#This Row],[PICADO DE AVE CON PUDRICIÓN]],Tabla152[[#This Row],[FUMAGINA]])/$X$10)</f>
        <v>0</v>
      </c>
      <c r="DP120" s="16">
        <f>IF($X120="","",SUM(Tabla152[[#This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20" s="16">
        <f>IF($X120="","",SUM(Tabla152[[#This Row],[BLANDO]:[COLAPSADO]])/$X$10)</f>
        <v>0</v>
      </c>
      <c r="DR120" s="16">
        <f>IF($X120="","",SUM(Tabla152[[#This Row],[DESHIDRATADO LEVE]:[DESHIDRATADO INMADURO]])/$X$10)</f>
        <v>0</v>
      </c>
      <c r="DS120" s="18">
        <f t="shared" si="7"/>
        <v>0</v>
      </c>
      <c r="DT120" s="16">
        <f>IF($X120="","",SUM(Tabla152[[#This Row],[PRESENCIA DE LARVA]],Tabla152[[#This Row],[CHANCHITO BLANCO]])/$X$10)</f>
        <v>0</v>
      </c>
      <c r="DU120" s="18">
        <f>IF($X120="","",SUM(Tabla152[[#This Row],[ROJO GRADO 2 A MÁS]],Tabla152[[#This Row],[IMMADURO VERDE]],Tabla152[[#This Row],[DESORDEN POR MADURACIÓN]],Tabla152[[#This Row],[ARO PEDICELAR VERDE EXTREMO]])/$X$10)</f>
        <v>0</v>
      </c>
      <c r="DV120" s="16">
        <f>IF($X120="","",SUM(Tabla152[[#This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20" s="16">
        <f t="shared" si="8"/>
        <v>0</v>
      </c>
      <c r="DX120" s="16">
        <f>IF($X120="","",AJ120/$X$10)</f>
        <v>0</v>
      </c>
      <c r="DY120" s="16">
        <f>IF($X120="","",SUM(Tabla152[[#This Row],[PRESENCIA DE COROLA]],Tabla152[[#This Row],[PRESENCIA DE RESTO FLORAL VERDE]],Tabla152[[#This Row],[PRESENCIA DE PEDÚNCULO]])/$X$10)</f>
        <v>0</v>
      </c>
      <c r="DZ120" s="16">
        <f>IF($X120="","",SUM(Tabla152[[#This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21" spans="1:130" x14ac:dyDescent="0.3">
      <c r="A121" s="9">
        <f>IF(W121="","",IF(ROW()=10,1,IF(W121=W120,A120,MAX($A$9:A120)+1)))</f>
        <v>37</v>
      </c>
      <c r="B121" s="9">
        <f>WEEKNUM(Tabla152[[#This Row],[FECHA DE COSECHA]],21)</f>
        <v>36</v>
      </c>
      <c r="C121" s="9"/>
      <c r="D121" s="17">
        <v>46268</v>
      </c>
      <c r="E121" s="17">
        <v>46268</v>
      </c>
      <c r="F121" s="9">
        <v>1</v>
      </c>
      <c r="G121" s="9" t="s">
        <v>77</v>
      </c>
      <c r="H121" s="9" t="s">
        <v>144</v>
      </c>
      <c r="I121" s="9" t="s">
        <v>188</v>
      </c>
      <c r="J121" s="9" t="s">
        <v>135</v>
      </c>
      <c r="K121" s="9" t="s">
        <v>146</v>
      </c>
      <c r="L121" s="9" t="s">
        <v>131</v>
      </c>
      <c r="M121" s="9" t="s">
        <v>239</v>
      </c>
      <c r="N121" s="9" t="s">
        <v>136</v>
      </c>
      <c r="O121" s="9" t="s">
        <v>137</v>
      </c>
      <c r="P121" s="9" t="s">
        <v>243</v>
      </c>
      <c r="Q121" s="9"/>
      <c r="R121" s="9">
        <v>7</v>
      </c>
      <c r="S121">
        <v>75459229</v>
      </c>
      <c r="T121" t="s">
        <v>234</v>
      </c>
      <c r="U121" s="9" t="s">
        <v>147</v>
      </c>
      <c r="V121" s="9"/>
      <c r="W121" t="s">
        <v>190</v>
      </c>
      <c r="X121" s="9">
        <v>66</v>
      </c>
      <c r="Y121" s="9">
        <v>1</v>
      </c>
      <c r="Z121" s="9">
        <v>5</v>
      </c>
      <c r="AA121" s="9" t="str">
        <f>IF(Tabla152[[#This Row],[NOTA]]=15,"CUMPLE","NO CUMPLE")</f>
        <v>NO CUMPLE</v>
      </c>
      <c r="AB121" s="9" t="str">
        <f>IF(COUNTIF($A$10:A121,A121)=1,IF(COUNTIFS($A:$A,A121,$AA:$AA,"NO CUMPLE")&gt;0,"NO CUMPLE","CUMPLE"),"")</f>
        <v>NO CUMPLE</v>
      </c>
      <c r="AC121" s="9" t="s">
        <v>150</v>
      </c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7"/>
      <c r="AR121" s="7"/>
      <c r="AS121" s="7"/>
      <c r="AT121" s="7"/>
      <c r="AU121" s="7"/>
      <c r="AV121" s="7"/>
      <c r="AW121" s="7">
        <v>1</v>
      </c>
      <c r="AX121" s="7"/>
      <c r="AY121" s="7"/>
      <c r="AZ121" s="7">
        <v>1</v>
      </c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18"/>
      <c r="BX121" s="18">
        <f>IF($X121="","",AE121/$X$10)</f>
        <v>0</v>
      </c>
      <c r="BY121" s="18">
        <f>IF($X121="","",AF121/$X$10)</f>
        <v>0</v>
      </c>
      <c r="BZ121" s="18">
        <f>IF($X121="","",AG121/$X$10)</f>
        <v>0</v>
      </c>
      <c r="CA121" s="18">
        <f>IF($X121="","",AH121/$X$10)</f>
        <v>0</v>
      </c>
      <c r="CB121" s="18">
        <f t="shared" si="9"/>
        <v>0</v>
      </c>
      <c r="CC121" s="18">
        <f>IF($X121="","",AJ121/$X$10)</f>
        <v>0</v>
      </c>
      <c r="CD121" s="18">
        <f>IF($X121="","",AK121/$X$10)</f>
        <v>0</v>
      </c>
      <c r="CE121" s="18">
        <f>IF($X121="","",AL121/$X$10)</f>
        <v>0</v>
      </c>
      <c r="CF121" s="18">
        <f>IF($X121="","",AM121/$X$10)</f>
        <v>0</v>
      </c>
      <c r="CG121" s="18">
        <f>IF($X121="","",AN121/$X$10)</f>
        <v>0</v>
      </c>
      <c r="CH121" s="18">
        <f>IF($X121="","",AO121/$X$10)</f>
        <v>0</v>
      </c>
      <c r="CI121" s="18">
        <f>IF($X121="","",AP121/$X$10)</f>
        <v>0</v>
      </c>
      <c r="CJ121" s="18">
        <f>IF($X121="","",AQ121/$X$10)</f>
        <v>0</v>
      </c>
      <c r="CK121" s="18">
        <f>IF($X121="","",AR121/$X$10)</f>
        <v>0</v>
      </c>
      <c r="CL121" s="18">
        <f>IF($X121="","",AS121/$X$10)</f>
        <v>0</v>
      </c>
      <c r="CM121" s="18">
        <f>IF($X121="","",AT121/$X$10)</f>
        <v>0</v>
      </c>
      <c r="CN121" s="18">
        <f>IF($X121="","",AU121/$X$10)</f>
        <v>0</v>
      </c>
      <c r="CO121" s="18">
        <f>IF($X121="","",AV121/$X$10)</f>
        <v>0</v>
      </c>
      <c r="CP121" s="18">
        <f>IF($X121="","",AW121/$X$10)</f>
        <v>1.5873015873015872E-2</v>
      </c>
      <c r="CQ121" s="18">
        <f>IF($X121="","",AX121/$X$10)</f>
        <v>0</v>
      </c>
      <c r="CR121" s="18">
        <f>IF($X121="","",AY121/$X$10)</f>
        <v>0</v>
      </c>
      <c r="CS121" s="18">
        <f>IF($X121="","",AZ121/$X$10)</f>
        <v>1.5873015873015872E-2</v>
      </c>
      <c r="CT121" s="18">
        <f>IF($X121="","",BA121/$X$10)</f>
        <v>0</v>
      </c>
      <c r="CU121" s="18">
        <f>IF($X121="","",BB121/$X$10)</f>
        <v>0</v>
      </c>
      <c r="CV121" s="18">
        <f>IF($X121="","",BC121/$X$10)</f>
        <v>0</v>
      </c>
      <c r="CW121" s="18">
        <f>IF($X121="","",BD121/$X$10)</f>
        <v>0</v>
      </c>
      <c r="CX121" s="18">
        <f>IF($X121="","",BE121/$X$10)</f>
        <v>0</v>
      </c>
      <c r="CY121" s="18">
        <f>IF($X121="","",BF121/$X$10)</f>
        <v>0</v>
      </c>
      <c r="CZ121" s="18">
        <f>IF($X121="","",BG121/$X$10)</f>
        <v>0</v>
      </c>
      <c r="DA121" s="18">
        <f>IF($X121="","",BH121/$X$10)</f>
        <v>0</v>
      </c>
      <c r="DB121" s="18">
        <f>IF($X121="","",BI121/$X$10)</f>
        <v>0</v>
      </c>
      <c r="DC121" s="18">
        <f>IF($X121="","",BJ121/$X$10)</f>
        <v>0</v>
      </c>
      <c r="DD121" s="18">
        <f>IF($X121="","",BK121/$X$10)</f>
        <v>0</v>
      </c>
      <c r="DE121" s="18">
        <f>IF($X121="","",BL121/$X$10)</f>
        <v>0</v>
      </c>
      <c r="DF121" s="18">
        <f>IF($X121="","",BM121/$X$10)</f>
        <v>0</v>
      </c>
      <c r="DG121" s="18">
        <f t="shared" si="10"/>
        <v>0</v>
      </c>
      <c r="DH121" s="18">
        <f>IF($X121="","",BO121/$X$10)</f>
        <v>0</v>
      </c>
      <c r="DI121" s="18">
        <f>IF($X121="","",BP121/$X$10)</f>
        <v>0</v>
      </c>
      <c r="DJ121" s="18">
        <f>IF($X121="","",BQ121/$X$10)</f>
        <v>0</v>
      </c>
      <c r="DK121" s="18">
        <f>IF($X121="","",BR121/$X$10)</f>
        <v>0</v>
      </c>
      <c r="DL121" s="18">
        <f>IF($X121="","",BS121/$X$10)</f>
        <v>0</v>
      </c>
      <c r="DM121" s="18">
        <f>IF($X121="","",BT121/$X$10)</f>
        <v>0</v>
      </c>
      <c r="DN121" s="18">
        <f t="shared" si="13"/>
        <v>0</v>
      </c>
      <c r="DO121" s="16">
        <f>IF($X121="","",SUM(Tabla152[[#This Row],[PODRIDO]],Tabla152[[#This Row],[HONGO]],Tabla152[[#This Row],[PICADO DE AVE CON PUDRICIÓN]],Tabla152[[#This Row],[FUMAGINA]])/$X$10)</f>
        <v>0</v>
      </c>
      <c r="DP121" s="16">
        <f>IF($X121="","",SUM(Tabla152[[#This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121" s="16">
        <f>IF($X121="","",SUM(Tabla152[[#This Row],[BLANDO]:[COLAPSADO]])/$X$10)</f>
        <v>0</v>
      </c>
      <c r="DR121" s="16">
        <f>IF($X121="","",SUM(Tabla152[[#This Row],[DESHIDRATADO LEVE]:[DESHIDRATADO INMADURO]])/$X$10)</f>
        <v>0</v>
      </c>
      <c r="DS121" s="18">
        <f t="shared" si="7"/>
        <v>0</v>
      </c>
      <c r="DT121" s="16">
        <f>IF($X121="","",SUM(Tabla152[[#This Row],[PRESENCIA DE LARVA]],Tabla152[[#This Row],[CHANCHITO BLANCO]])/$X$10)</f>
        <v>0</v>
      </c>
      <c r="DU121" s="18">
        <f>IF($X121="","",SUM(Tabla152[[#This Row],[ROJO GRADO 2 A MÁS]],Tabla152[[#This Row],[IMMADURO VERDE]],Tabla152[[#This Row],[DESORDEN POR MADURACIÓN]],Tabla152[[#This Row],[ARO PEDICELAR VERDE EXTREMO]])/$X$10)</f>
        <v>0</v>
      </c>
      <c r="DV121" s="16">
        <f>IF($X121="","",SUM(Tabla152[[#This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21" s="16">
        <f t="shared" si="8"/>
        <v>0</v>
      </c>
      <c r="DX121" s="16">
        <f>IF($X121="","",AJ121/$X$10)</f>
        <v>0</v>
      </c>
      <c r="DY121" s="16">
        <f>IF($X121="","",SUM(Tabla152[[#This Row],[PRESENCIA DE COROLA]],Tabla152[[#This Row],[PRESENCIA DE RESTO FLORAL VERDE]],Tabla152[[#This Row],[PRESENCIA DE PEDÚNCULO]])/$X$10)</f>
        <v>0</v>
      </c>
      <c r="DZ121" s="16">
        <f>IF($X121="","",SUM(Tabla152[[#This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22" spans="1:130" x14ac:dyDescent="0.3">
      <c r="A122" s="9">
        <f>IF(W122="","",IF(ROW()=10,1,IF(W122=W121,A121,MAX($A$9:A121)+1)))</f>
        <v>37</v>
      </c>
      <c r="B122" s="9">
        <f>WEEKNUM(Tabla152[[#This Row],[FECHA DE COSECHA]],21)</f>
        <v>36</v>
      </c>
      <c r="C122" s="9"/>
      <c r="D122" s="17">
        <v>46268</v>
      </c>
      <c r="E122" s="17">
        <v>46268</v>
      </c>
      <c r="F122" s="9">
        <v>1</v>
      </c>
      <c r="G122" s="9" t="s">
        <v>77</v>
      </c>
      <c r="H122" s="9" t="s">
        <v>144</v>
      </c>
      <c r="I122" s="9" t="s">
        <v>188</v>
      </c>
      <c r="J122" s="9" t="s">
        <v>135</v>
      </c>
      <c r="K122" s="9" t="s">
        <v>146</v>
      </c>
      <c r="L122" s="9" t="s">
        <v>131</v>
      </c>
      <c r="M122" s="9" t="s">
        <v>239</v>
      </c>
      <c r="N122" s="9" t="s">
        <v>136</v>
      </c>
      <c r="O122" s="9" t="s">
        <v>137</v>
      </c>
      <c r="P122" s="9" t="s">
        <v>243</v>
      </c>
      <c r="Q122" s="9"/>
      <c r="R122" s="9">
        <v>7</v>
      </c>
      <c r="S122">
        <v>75459229</v>
      </c>
      <c r="T122" t="s">
        <v>234</v>
      </c>
      <c r="U122" s="9" t="s">
        <v>147</v>
      </c>
      <c r="V122" s="9"/>
      <c r="W122" t="s">
        <v>190</v>
      </c>
      <c r="X122" s="9">
        <v>66</v>
      </c>
      <c r="Y122" s="9">
        <v>2</v>
      </c>
      <c r="Z122" s="9">
        <v>5</v>
      </c>
      <c r="AA122" s="9" t="str">
        <f>IF(Tabla152[[#This Row],[NOTA]]=15,"CUMPLE","NO CUMPLE")</f>
        <v>NO CUMPLE</v>
      </c>
      <c r="AB122" s="9" t="str">
        <f>IF(COUNTIF($A$10:A122,A122)=1,IF(COUNTIFS($A:$A,A122,$AA:$AA,"NO CUMPLE")&gt;0,"NO CUMPLE","CUMPLE"),"")</f>
        <v/>
      </c>
      <c r="AC122" s="9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7"/>
      <c r="AR122" s="7"/>
      <c r="AS122" s="7"/>
      <c r="AT122" s="7"/>
      <c r="AU122" s="7"/>
      <c r="AV122" s="7"/>
      <c r="AW122" s="7">
        <v>3</v>
      </c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18"/>
      <c r="BX122" s="18">
        <f>IF($X122="","",AE122/$X$10)</f>
        <v>0</v>
      </c>
      <c r="BY122" s="18">
        <f>IF($X122="","",AF122/$X$10)</f>
        <v>0</v>
      </c>
      <c r="BZ122" s="18">
        <f>IF($X122="","",AG122/$X$10)</f>
        <v>0</v>
      </c>
      <c r="CA122" s="18">
        <f>IF($X122="","",AH122/$X$10)</f>
        <v>0</v>
      </c>
      <c r="CB122" s="18">
        <f t="shared" si="9"/>
        <v>0</v>
      </c>
      <c r="CC122" s="18">
        <f>IF($X122="","",AJ122/$X$10)</f>
        <v>0</v>
      </c>
      <c r="CD122" s="18">
        <f>IF($X122="","",AK122/$X$10)</f>
        <v>0</v>
      </c>
      <c r="CE122" s="18">
        <f>IF($X122="","",AL122/$X$10)</f>
        <v>0</v>
      </c>
      <c r="CF122" s="18">
        <f>IF($X122="","",AM122/$X$10)</f>
        <v>0</v>
      </c>
      <c r="CG122" s="18">
        <f>IF($X122="","",AN122/$X$10)</f>
        <v>0</v>
      </c>
      <c r="CH122" s="18">
        <f>IF($X122="","",AO122/$X$10)</f>
        <v>0</v>
      </c>
      <c r="CI122" s="18">
        <f>IF($X122="","",AP122/$X$10)</f>
        <v>0</v>
      </c>
      <c r="CJ122" s="18">
        <f>IF($X122="","",AQ122/$X$10)</f>
        <v>0</v>
      </c>
      <c r="CK122" s="18">
        <f>IF($X122="","",AR122/$X$10)</f>
        <v>0</v>
      </c>
      <c r="CL122" s="18">
        <f>IF($X122="","",AS122/$X$10)</f>
        <v>0</v>
      </c>
      <c r="CM122" s="18">
        <f>IF($X122="","",AT122/$X$10)</f>
        <v>0</v>
      </c>
      <c r="CN122" s="18">
        <f>IF($X122="","",AU122/$X$10)</f>
        <v>0</v>
      </c>
      <c r="CO122" s="18">
        <f>IF($X122="","",AV122/$X$10)</f>
        <v>0</v>
      </c>
      <c r="CP122" s="18">
        <f>IF($X122="","",AW122/$X$10)</f>
        <v>4.7619047619047616E-2</v>
      </c>
      <c r="CQ122" s="18">
        <f>IF($X122="","",AX122/$X$10)</f>
        <v>0</v>
      </c>
      <c r="CR122" s="18">
        <f>IF($X122="","",AY122/$X$10)</f>
        <v>0</v>
      </c>
      <c r="CS122" s="18">
        <f>IF($X122="","",AZ122/$X$10)</f>
        <v>0</v>
      </c>
      <c r="CT122" s="18">
        <f>IF($X122="","",BA122/$X$10)</f>
        <v>0</v>
      </c>
      <c r="CU122" s="18">
        <f>IF($X122="","",BB122/$X$10)</f>
        <v>0</v>
      </c>
      <c r="CV122" s="18">
        <f>IF($X122="","",BC122/$X$10)</f>
        <v>0</v>
      </c>
      <c r="CW122" s="18">
        <f>IF($X122="","",BD122/$X$10)</f>
        <v>0</v>
      </c>
      <c r="CX122" s="18">
        <f>IF($X122="","",BE122/$X$10)</f>
        <v>0</v>
      </c>
      <c r="CY122" s="18">
        <f>IF($X122="","",BF122/$X$10)</f>
        <v>0</v>
      </c>
      <c r="CZ122" s="18">
        <f>IF($X122="","",BG122/$X$10)</f>
        <v>0</v>
      </c>
      <c r="DA122" s="18">
        <f>IF($X122="","",BH122/$X$10)</f>
        <v>0</v>
      </c>
      <c r="DB122" s="18">
        <f>IF($X122="","",BI122/$X$10)</f>
        <v>0</v>
      </c>
      <c r="DC122" s="18">
        <f>IF($X122="","",BJ122/$X$10)</f>
        <v>0</v>
      </c>
      <c r="DD122" s="18">
        <f>IF($X122="","",BK122/$X$10)</f>
        <v>0</v>
      </c>
      <c r="DE122" s="18">
        <f>IF($X122="","",BL122/$X$10)</f>
        <v>0</v>
      </c>
      <c r="DF122" s="18">
        <f>IF($X122="","",BM122/$X$10)</f>
        <v>0</v>
      </c>
      <c r="DG122" s="18">
        <f t="shared" si="10"/>
        <v>0</v>
      </c>
      <c r="DH122" s="18">
        <f>IF($X122="","",BO122/$X$10)</f>
        <v>0</v>
      </c>
      <c r="DI122" s="18">
        <f>IF($X122="","",BP122/$X$10)</f>
        <v>0</v>
      </c>
      <c r="DJ122" s="18">
        <f>IF($X122="","",BQ122/$X$10)</f>
        <v>0</v>
      </c>
      <c r="DK122" s="18">
        <f>IF($X122="","",BR122/$X$10)</f>
        <v>0</v>
      </c>
      <c r="DL122" s="18">
        <f>IF($X122="","",BS122/$X$10)</f>
        <v>0</v>
      </c>
      <c r="DM122" s="18">
        <f>IF($X122="","",BT122/$X$10)</f>
        <v>0</v>
      </c>
      <c r="DN122" s="18">
        <f t="shared" si="13"/>
        <v>0</v>
      </c>
      <c r="DO122" s="16">
        <f>IF($X122="","",SUM(Tabla152[[#This Row],[PODRIDO]],Tabla152[[#This Row],[HONGO]],Tabla152[[#This Row],[PICADO DE AVE CON PUDRICIÓN]],Tabla152[[#This Row],[FUMAGINA]])/$X$10)</f>
        <v>0</v>
      </c>
      <c r="DP122" s="16">
        <f>IF($X122="","",SUM(Tabla152[[#This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4.7619047619047616E-2</v>
      </c>
      <c r="DQ122" s="16">
        <f>IF($X122="","",SUM(Tabla152[[#This Row],[BLANDO]:[COLAPSADO]])/$X$10)</f>
        <v>0</v>
      </c>
      <c r="DR122" s="16">
        <f>IF($X122="","",SUM(Tabla152[[#This Row],[DESHIDRATADO LEVE]:[DESHIDRATADO INMADURO]])/$X$10)</f>
        <v>0</v>
      </c>
      <c r="DS122" s="18">
        <f t="shared" si="7"/>
        <v>0</v>
      </c>
      <c r="DT122" s="16">
        <f>IF($X122="","",SUM(Tabla152[[#This Row],[PRESENCIA DE LARVA]],Tabla152[[#This Row],[CHANCHITO BLANCO]])/$X$10)</f>
        <v>0</v>
      </c>
      <c r="DU122" s="18">
        <f>IF($X122="","",SUM(Tabla152[[#This Row],[ROJO GRADO 2 A MÁS]],Tabla152[[#This Row],[IMMADURO VERDE]],Tabla152[[#This Row],[DESORDEN POR MADURACIÓN]],Tabla152[[#This Row],[ARO PEDICELAR VERDE EXTREMO]])/$X$10)</f>
        <v>0</v>
      </c>
      <c r="DV122" s="16">
        <f>IF($X122="","",SUM(Tabla152[[#This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22" s="16">
        <f t="shared" si="8"/>
        <v>0</v>
      </c>
      <c r="DX122" s="16">
        <f>IF($X122="","",AJ122/$X$10)</f>
        <v>0</v>
      </c>
      <c r="DY122" s="16">
        <f>IF($X122="","",SUM(Tabla152[[#This Row],[PRESENCIA DE COROLA]],Tabla152[[#This Row],[PRESENCIA DE RESTO FLORAL VERDE]],Tabla152[[#This Row],[PRESENCIA DE PEDÚNCULO]])/$X$10)</f>
        <v>0</v>
      </c>
      <c r="DZ122" s="16">
        <f>IF($X122="","",SUM(Tabla152[[#This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23" spans="1:130" x14ac:dyDescent="0.3">
      <c r="A123" s="9">
        <f>IF(W123="","",IF(ROW()=10,1,IF(W123=W122,A122,MAX($A$9:A122)+1)))</f>
        <v>37</v>
      </c>
      <c r="B123" s="9">
        <f>WEEKNUM(Tabla152[[#This Row],[FECHA DE COSECHA]],21)</f>
        <v>36</v>
      </c>
      <c r="C123" s="9"/>
      <c r="D123" s="17">
        <v>46268</v>
      </c>
      <c r="E123" s="17">
        <v>46268</v>
      </c>
      <c r="F123" s="9">
        <v>1</v>
      </c>
      <c r="G123" s="9" t="s">
        <v>77</v>
      </c>
      <c r="H123" s="9" t="s">
        <v>144</v>
      </c>
      <c r="I123" s="9" t="s">
        <v>188</v>
      </c>
      <c r="J123" s="9" t="s">
        <v>135</v>
      </c>
      <c r="K123" s="9" t="s">
        <v>146</v>
      </c>
      <c r="L123" s="9" t="s">
        <v>131</v>
      </c>
      <c r="M123" s="9" t="s">
        <v>239</v>
      </c>
      <c r="N123" s="9" t="s">
        <v>136</v>
      </c>
      <c r="O123" s="9" t="s">
        <v>137</v>
      </c>
      <c r="P123" s="9" t="s">
        <v>243</v>
      </c>
      <c r="Q123" s="9"/>
      <c r="R123" s="9">
        <v>7</v>
      </c>
      <c r="S123">
        <v>75459229</v>
      </c>
      <c r="T123" t="s">
        <v>234</v>
      </c>
      <c r="U123" s="9" t="s">
        <v>147</v>
      </c>
      <c r="V123" s="9"/>
      <c r="W123" t="s">
        <v>190</v>
      </c>
      <c r="X123" s="9">
        <v>66</v>
      </c>
      <c r="Y123" s="9">
        <v>3</v>
      </c>
      <c r="Z123" s="9">
        <v>15</v>
      </c>
      <c r="AA123" s="9" t="str">
        <f>IF(Tabla152[[#This Row],[NOTA]]=15,"CUMPLE","NO CUMPLE")</f>
        <v>CUMPLE</v>
      </c>
      <c r="AB123" s="9" t="str">
        <f>IF(COUNTIF($A$10:A123,A123)=1,IF(COUNTIFS($A:$A,A123,$AA:$AA,"NO CUMPLE")&gt;0,"NO CUMPLE","CUMPLE"),"")</f>
        <v/>
      </c>
      <c r="AC123" s="9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18"/>
      <c r="BX123" s="18">
        <f>IF($X123="","",AE123/$X$10)</f>
        <v>0</v>
      </c>
      <c r="BY123" s="18">
        <f>IF($X123="","",AF123/$X$10)</f>
        <v>0</v>
      </c>
      <c r="BZ123" s="18">
        <f>IF($X123="","",AG123/$X$10)</f>
        <v>0</v>
      </c>
      <c r="CA123" s="18">
        <f>IF($X123="","",AH123/$X$10)</f>
        <v>0</v>
      </c>
      <c r="CB123" s="18">
        <f t="shared" si="9"/>
        <v>0</v>
      </c>
      <c r="CC123" s="18">
        <f>IF($X123="","",AJ123/$X$10)</f>
        <v>0</v>
      </c>
      <c r="CD123" s="18">
        <f>IF($X123="","",AK123/$X$10)</f>
        <v>0</v>
      </c>
      <c r="CE123" s="18">
        <f>IF($X123="","",AL123/$X$10)</f>
        <v>0</v>
      </c>
      <c r="CF123" s="18">
        <f>IF($X123="","",AM123/$X$10)</f>
        <v>0</v>
      </c>
      <c r="CG123" s="18">
        <f>IF($X123="","",AN123/$X$10)</f>
        <v>0</v>
      </c>
      <c r="CH123" s="18">
        <f>IF($X123="","",AO123/$X$10)</f>
        <v>0</v>
      </c>
      <c r="CI123" s="18">
        <f>IF($X123="","",AP123/$X$10)</f>
        <v>0</v>
      </c>
      <c r="CJ123" s="18">
        <f>IF($X123="","",AQ123/$X$10)</f>
        <v>0</v>
      </c>
      <c r="CK123" s="18">
        <f>IF($X123="","",AR123/$X$10)</f>
        <v>0</v>
      </c>
      <c r="CL123" s="18">
        <f>IF($X123="","",AS123/$X$10)</f>
        <v>0</v>
      </c>
      <c r="CM123" s="18">
        <f>IF($X123="","",AT123/$X$10)</f>
        <v>0</v>
      </c>
      <c r="CN123" s="18">
        <f>IF($X123="","",AU123/$X$10)</f>
        <v>0</v>
      </c>
      <c r="CO123" s="18">
        <f>IF($X123="","",AV123/$X$10)</f>
        <v>0</v>
      </c>
      <c r="CP123" s="18">
        <f>IF($X123="","",AW123/$X$10)</f>
        <v>0</v>
      </c>
      <c r="CQ123" s="18">
        <f>IF($X123="","",AX123/$X$10)</f>
        <v>0</v>
      </c>
      <c r="CR123" s="18">
        <f>IF($X123="","",AY123/$X$10)</f>
        <v>0</v>
      </c>
      <c r="CS123" s="18">
        <f>IF($X123="","",AZ123/$X$10)</f>
        <v>0</v>
      </c>
      <c r="CT123" s="18">
        <f>IF($X123="","",BA123/$X$10)</f>
        <v>0</v>
      </c>
      <c r="CU123" s="18">
        <f>IF($X123="","",BB123/$X$10)</f>
        <v>0</v>
      </c>
      <c r="CV123" s="18">
        <f>IF($X123="","",BC123/$X$10)</f>
        <v>0</v>
      </c>
      <c r="CW123" s="18">
        <f>IF($X123="","",BD123/$X$10)</f>
        <v>0</v>
      </c>
      <c r="CX123" s="18">
        <f>IF($X123="","",BE123/$X$10)</f>
        <v>0</v>
      </c>
      <c r="CY123" s="18">
        <f>IF($X123="","",BF123/$X$10)</f>
        <v>0</v>
      </c>
      <c r="CZ123" s="18">
        <f>IF($X123="","",BG123/$X$10)</f>
        <v>0</v>
      </c>
      <c r="DA123" s="18">
        <f>IF($X123="","",BH123/$X$10)</f>
        <v>0</v>
      </c>
      <c r="DB123" s="18">
        <f>IF($X123="","",BI123/$X$10)</f>
        <v>0</v>
      </c>
      <c r="DC123" s="18">
        <f>IF($X123="","",BJ123/$X$10)</f>
        <v>0</v>
      </c>
      <c r="DD123" s="18">
        <f>IF($X123="","",BK123/$X$10)</f>
        <v>0</v>
      </c>
      <c r="DE123" s="18">
        <f>IF($X123="","",BL123/$X$10)</f>
        <v>0</v>
      </c>
      <c r="DF123" s="18">
        <f>IF($X123="","",BM123/$X$10)</f>
        <v>0</v>
      </c>
      <c r="DG123" s="18">
        <f t="shared" si="10"/>
        <v>0</v>
      </c>
      <c r="DH123" s="18">
        <f>IF($X123="","",BO123/$X$10)</f>
        <v>0</v>
      </c>
      <c r="DI123" s="18">
        <f>IF($X123="","",BP123/$X$10)</f>
        <v>0</v>
      </c>
      <c r="DJ123" s="18">
        <f>IF($X123="","",BQ123/$X$10)</f>
        <v>0</v>
      </c>
      <c r="DK123" s="18">
        <f>IF($X123="","",BR123/$X$10)</f>
        <v>0</v>
      </c>
      <c r="DL123" s="18">
        <f>IF($X123="","",BS123/$X$10)</f>
        <v>0</v>
      </c>
      <c r="DM123" s="18">
        <f>IF($X123="","",BT123/$X$10)</f>
        <v>0</v>
      </c>
      <c r="DN123" s="18">
        <f t="shared" si="13"/>
        <v>0</v>
      </c>
      <c r="DO123" s="16">
        <f>IF($X123="","",SUM(Tabla152[[#This Row],[PODRIDO]],Tabla152[[#This Row],[HONGO]],Tabla152[[#This Row],[PICADO DE AVE CON PUDRICIÓN]],Tabla152[[#This Row],[FUMAGINA]])/$X$10)</f>
        <v>0</v>
      </c>
      <c r="DP123" s="16">
        <f>IF($X123="","",SUM(Tabla152[[#This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23" s="16">
        <f>IF($X123="","",SUM(Tabla152[[#This Row],[BLANDO]:[COLAPSADO]])/$X$10)</f>
        <v>0</v>
      </c>
      <c r="DR123" s="16">
        <f>IF($X123="","",SUM(Tabla152[[#This Row],[DESHIDRATADO LEVE]:[DESHIDRATADO INMADURO]])/$X$10)</f>
        <v>0</v>
      </c>
      <c r="DS123" s="18">
        <f t="shared" si="7"/>
        <v>0</v>
      </c>
      <c r="DT123" s="16">
        <f>IF($X123="","",SUM(Tabla152[[#This Row],[PRESENCIA DE LARVA]],Tabla152[[#This Row],[CHANCHITO BLANCO]])/$X$10)</f>
        <v>0</v>
      </c>
      <c r="DU123" s="18">
        <f>IF($X123="","",SUM(Tabla152[[#This Row],[ROJO GRADO 2 A MÁS]],Tabla152[[#This Row],[IMMADURO VERDE]],Tabla152[[#This Row],[DESORDEN POR MADURACIÓN]],Tabla152[[#This Row],[ARO PEDICELAR VERDE EXTREMO]])/$X$10)</f>
        <v>0</v>
      </c>
      <c r="DV123" s="16">
        <f>IF($X123="","",SUM(Tabla152[[#This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23" s="16">
        <f t="shared" si="8"/>
        <v>0</v>
      </c>
      <c r="DX123" s="16">
        <f>IF($X123="","",AJ123/$X$10)</f>
        <v>0</v>
      </c>
      <c r="DY123" s="16">
        <f>IF($X123="","",SUM(Tabla152[[#This Row],[PRESENCIA DE COROLA]],Tabla152[[#This Row],[PRESENCIA DE RESTO FLORAL VERDE]],Tabla152[[#This Row],[PRESENCIA DE PEDÚNCULO]])/$X$10)</f>
        <v>0</v>
      </c>
      <c r="DZ123" s="16">
        <f>IF($X123="","",SUM(Tabla152[[#This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24" spans="1:130" x14ac:dyDescent="0.3">
      <c r="A124" s="9">
        <f>IF(W124="","",IF(ROW()=10,1,IF(W124=W123,A123,MAX($A$9:A123)+1)))</f>
        <v>38</v>
      </c>
      <c r="B124" s="9">
        <f>WEEKNUM(Tabla152[[#This Row],[FECHA DE COSECHA]],21)</f>
        <v>36</v>
      </c>
      <c r="C124" s="9"/>
      <c r="D124" s="17">
        <v>46268</v>
      </c>
      <c r="E124" s="17">
        <v>46268</v>
      </c>
      <c r="F124" s="9">
        <v>1</v>
      </c>
      <c r="G124" s="9" t="s">
        <v>77</v>
      </c>
      <c r="H124" s="9" t="s">
        <v>144</v>
      </c>
      <c r="I124" s="9" t="s">
        <v>188</v>
      </c>
      <c r="J124" s="9" t="s">
        <v>135</v>
      </c>
      <c r="K124" s="9" t="s">
        <v>146</v>
      </c>
      <c r="L124" s="9" t="s">
        <v>131</v>
      </c>
      <c r="M124" s="9" t="s">
        <v>239</v>
      </c>
      <c r="N124" s="9" t="s">
        <v>136</v>
      </c>
      <c r="O124" s="9" t="s">
        <v>137</v>
      </c>
      <c r="P124" s="9" t="s">
        <v>243</v>
      </c>
      <c r="Q124" s="9"/>
      <c r="R124" s="9">
        <v>7</v>
      </c>
      <c r="S124">
        <v>75459229</v>
      </c>
      <c r="T124" t="s">
        <v>234</v>
      </c>
      <c r="U124" s="9" t="s">
        <v>147</v>
      </c>
      <c r="V124" s="9"/>
      <c r="W124" t="s">
        <v>191</v>
      </c>
      <c r="X124" s="9">
        <v>66</v>
      </c>
      <c r="Y124" s="9">
        <v>1</v>
      </c>
      <c r="Z124" s="9">
        <v>5</v>
      </c>
      <c r="AA124" s="9" t="str">
        <f>IF(Tabla152[[#This Row],[NOTA]]=15,"CUMPLE","NO CUMPLE")</f>
        <v>NO CUMPLE</v>
      </c>
      <c r="AB124" s="9" t="str">
        <f>IF(COUNTIF($A$10:A124,A124)=1,IF(COUNTIFS($A:$A,A124,$AA:$AA,"NO CUMPLE")&gt;0,"NO CUMPLE","CUMPLE"),"")</f>
        <v>NO CUMPLE</v>
      </c>
      <c r="AC124" s="9" t="s">
        <v>140</v>
      </c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7"/>
      <c r="AR124" s="7"/>
      <c r="AS124" s="7"/>
      <c r="AT124" s="7"/>
      <c r="AU124" s="7"/>
      <c r="AV124" s="7"/>
      <c r="AW124" s="7">
        <v>3</v>
      </c>
      <c r="AX124" s="7"/>
      <c r="AY124" s="7"/>
      <c r="AZ124" s="7"/>
      <c r="BA124" s="7"/>
      <c r="BB124" s="7"/>
      <c r="BC124" s="7">
        <v>2</v>
      </c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18"/>
      <c r="BX124" s="18">
        <f>IF($X124="","",AE124/$X$10)</f>
        <v>0</v>
      </c>
      <c r="BY124" s="18">
        <f>IF($X124="","",AF124/$X$10)</f>
        <v>0</v>
      </c>
      <c r="BZ124" s="18">
        <f>IF($X124="","",AG124/$X$10)</f>
        <v>0</v>
      </c>
      <c r="CA124" s="18">
        <f>IF($X124="","",AH124/$X$10)</f>
        <v>0</v>
      </c>
      <c r="CB124" s="18">
        <f t="shared" si="9"/>
        <v>0</v>
      </c>
      <c r="CC124" s="18">
        <f>IF($X124="","",AJ124/$X$10)</f>
        <v>0</v>
      </c>
      <c r="CD124" s="18">
        <f>IF($X124="","",AK124/$X$10)</f>
        <v>0</v>
      </c>
      <c r="CE124" s="18">
        <f>IF($X124="","",AL124/$X$10)</f>
        <v>0</v>
      </c>
      <c r="CF124" s="18">
        <f>IF($X124="","",AM124/$X$10)</f>
        <v>0</v>
      </c>
      <c r="CG124" s="18">
        <f>IF($X124="","",AN124/$X$10)</f>
        <v>0</v>
      </c>
      <c r="CH124" s="18">
        <f>IF($X124="","",AO124/$X$10)</f>
        <v>0</v>
      </c>
      <c r="CI124" s="18">
        <f>IF($X124="","",AP124/$X$10)</f>
        <v>0</v>
      </c>
      <c r="CJ124" s="18">
        <f>IF($X124="","",AQ124/$X$10)</f>
        <v>0</v>
      </c>
      <c r="CK124" s="18">
        <f>IF($X124="","",AR124/$X$10)</f>
        <v>0</v>
      </c>
      <c r="CL124" s="18">
        <f>IF($X124="","",AS124/$X$10)</f>
        <v>0</v>
      </c>
      <c r="CM124" s="18">
        <f>IF($X124="","",AT124/$X$10)</f>
        <v>0</v>
      </c>
      <c r="CN124" s="18">
        <f>IF($X124="","",AU124/$X$10)</f>
        <v>0</v>
      </c>
      <c r="CO124" s="18">
        <f>IF($X124="","",AV124/$X$10)</f>
        <v>0</v>
      </c>
      <c r="CP124" s="18">
        <f>IF($X124="","",AW124/$X$10)</f>
        <v>4.7619047619047616E-2</v>
      </c>
      <c r="CQ124" s="18">
        <f>IF($X124="","",AX124/$X$10)</f>
        <v>0</v>
      </c>
      <c r="CR124" s="18">
        <f>IF($X124="","",AY124/$X$10)</f>
        <v>0</v>
      </c>
      <c r="CS124" s="18">
        <f>IF($X124="","",AZ124/$X$10)</f>
        <v>0</v>
      </c>
      <c r="CT124" s="18">
        <f>IF($X124="","",BA124/$X$10)</f>
        <v>0</v>
      </c>
      <c r="CU124" s="18">
        <f>IF($X124="","",BB124/$X$10)</f>
        <v>0</v>
      </c>
      <c r="CV124" s="18">
        <f>IF($X124="","",BC124/$X$10)</f>
        <v>3.1746031746031744E-2</v>
      </c>
      <c r="CW124" s="18">
        <f>IF($X124="","",BD124/$X$10)</f>
        <v>0</v>
      </c>
      <c r="CX124" s="18">
        <f>IF($X124="","",BE124/$X$10)</f>
        <v>0</v>
      </c>
      <c r="CY124" s="18">
        <f>IF($X124="","",BF124/$X$10)</f>
        <v>0</v>
      </c>
      <c r="CZ124" s="18">
        <f>IF($X124="","",BG124/$X$10)</f>
        <v>0</v>
      </c>
      <c r="DA124" s="18">
        <f>IF($X124="","",BH124/$X$10)</f>
        <v>0</v>
      </c>
      <c r="DB124" s="18">
        <f>IF($X124="","",BI124/$X$10)</f>
        <v>0</v>
      </c>
      <c r="DC124" s="18">
        <f>IF($X124="","",BJ124/$X$10)</f>
        <v>0</v>
      </c>
      <c r="DD124" s="18">
        <f>IF($X124="","",BK124/$X$10)</f>
        <v>0</v>
      </c>
      <c r="DE124" s="18">
        <f>IF($X124="","",BL124/$X$10)</f>
        <v>0</v>
      </c>
      <c r="DF124" s="18">
        <f>IF($X124="","",BM124/$X$10)</f>
        <v>0</v>
      </c>
      <c r="DG124" s="18">
        <f t="shared" si="10"/>
        <v>0</v>
      </c>
      <c r="DH124" s="18">
        <f>IF($X124="","",BO124/$X$10)</f>
        <v>0</v>
      </c>
      <c r="DI124" s="18">
        <f>IF($X124="","",BP124/$X$10)</f>
        <v>0</v>
      </c>
      <c r="DJ124" s="18">
        <f>IF($X124="","",BQ124/$X$10)</f>
        <v>0</v>
      </c>
      <c r="DK124" s="18">
        <f>IF($X124="","",BR124/$X$10)</f>
        <v>0</v>
      </c>
      <c r="DL124" s="18">
        <f>IF($X124="","",BS124/$X$10)</f>
        <v>0</v>
      </c>
      <c r="DM124" s="18">
        <f>IF($X124="","",BT124/$X$10)</f>
        <v>0</v>
      </c>
      <c r="DN124" s="18">
        <f t="shared" si="13"/>
        <v>0</v>
      </c>
      <c r="DO124" s="16">
        <f>IF($X124="","",SUM(Tabla152[[#This Row],[PODRIDO]],Tabla152[[#This Row],[HONGO]],Tabla152[[#This Row],[PICADO DE AVE CON PUDRICIÓN]],Tabla152[[#This Row],[FUMAGINA]])/$X$10)</f>
        <v>0</v>
      </c>
      <c r="DP124" s="16">
        <f>IF($X124="","",SUM(Tabla152[[#This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4.7619047619047616E-2</v>
      </c>
      <c r="DQ124" s="16">
        <f>IF($X124="","",SUM(Tabla152[[#This Row],[BLANDO]:[COLAPSADO]])/$X$10)</f>
        <v>0</v>
      </c>
      <c r="DR124" s="16">
        <f>IF($X124="","",SUM(Tabla152[[#This Row],[DESHIDRATADO LEVE]:[DESHIDRATADO INMADURO]])/$X$10)</f>
        <v>0</v>
      </c>
      <c r="DS124" s="18">
        <f t="shared" si="7"/>
        <v>3.1746031746031744E-2</v>
      </c>
      <c r="DT124" s="16">
        <f>IF($X124="","",SUM(Tabla152[[#This Row],[PRESENCIA DE LARVA]],Tabla152[[#This Row],[CHANCHITO BLANCO]])/$X$10)</f>
        <v>0</v>
      </c>
      <c r="DU124" s="18">
        <f>IF($X124="","",SUM(Tabla152[[#This Row],[ROJO GRADO 2 A MÁS]],Tabla152[[#This Row],[IMMADURO VERDE]],Tabla152[[#This Row],[DESORDEN POR MADURACIÓN]],Tabla152[[#This Row],[ARO PEDICELAR VERDE EXTREMO]])/$X$10)</f>
        <v>0</v>
      </c>
      <c r="DV124" s="16">
        <f>IF($X124="","",SUM(Tabla152[[#This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24" s="16">
        <f t="shared" si="8"/>
        <v>0</v>
      </c>
      <c r="DX124" s="16">
        <f>IF($X124="","",AJ124/$X$10)</f>
        <v>0</v>
      </c>
      <c r="DY124" s="16">
        <f>IF($X124="","",SUM(Tabla152[[#This Row],[PRESENCIA DE COROLA]],Tabla152[[#This Row],[PRESENCIA DE RESTO FLORAL VERDE]],Tabla152[[#This Row],[PRESENCIA DE PEDÚNCULO]])/$X$10)</f>
        <v>0</v>
      </c>
      <c r="DZ124" s="16">
        <f>IF($X124="","",SUM(Tabla152[[#This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25" spans="1:130" x14ac:dyDescent="0.3">
      <c r="A125" s="9">
        <f>IF(W125="","",IF(ROW()=10,1,IF(W125=W124,A124,MAX($A$9:A124)+1)))</f>
        <v>38</v>
      </c>
      <c r="B125" s="9">
        <f>WEEKNUM(Tabla152[[#This Row],[FECHA DE COSECHA]],21)</f>
        <v>36</v>
      </c>
      <c r="C125" s="9"/>
      <c r="D125" s="17">
        <v>46268</v>
      </c>
      <c r="E125" s="17">
        <v>46268</v>
      </c>
      <c r="F125" s="9">
        <v>1</v>
      </c>
      <c r="G125" s="9" t="s">
        <v>77</v>
      </c>
      <c r="H125" s="9" t="s">
        <v>144</v>
      </c>
      <c r="I125" s="9" t="s">
        <v>188</v>
      </c>
      <c r="J125" s="9" t="s">
        <v>135</v>
      </c>
      <c r="K125" s="9" t="s">
        <v>146</v>
      </c>
      <c r="L125" s="9" t="s">
        <v>131</v>
      </c>
      <c r="M125" s="9" t="s">
        <v>239</v>
      </c>
      <c r="N125" s="9" t="s">
        <v>136</v>
      </c>
      <c r="O125" s="9" t="s">
        <v>137</v>
      </c>
      <c r="P125" s="9" t="s">
        <v>243</v>
      </c>
      <c r="Q125" s="9"/>
      <c r="R125" s="9">
        <v>7</v>
      </c>
      <c r="S125">
        <v>75459229</v>
      </c>
      <c r="T125" t="s">
        <v>234</v>
      </c>
      <c r="U125" s="9" t="s">
        <v>147</v>
      </c>
      <c r="V125" s="9"/>
      <c r="W125" t="s">
        <v>191</v>
      </c>
      <c r="X125" s="9">
        <v>66</v>
      </c>
      <c r="Y125" s="9">
        <v>2</v>
      </c>
      <c r="Z125" s="9">
        <v>5</v>
      </c>
      <c r="AA125" s="9" t="str">
        <f>IF(Tabla152[[#This Row],[NOTA]]=15,"CUMPLE","NO CUMPLE")</f>
        <v>NO CUMPLE</v>
      </c>
      <c r="AB125" s="9" t="str">
        <f>IF(COUNTIF($A$10:A125,A125)=1,IF(COUNTIFS($A:$A,A125,$AA:$AA,"NO CUMPLE")&gt;0,"NO CUMPLE","CUMPLE"),"")</f>
        <v/>
      </c>
      <c r="AC125" s="9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7"/>
      <c r="AR125" s="7"/>
      <c r="AS125" s="7"/>
      <c r="AT125" s="7"/>
      <c r="AU125" s="7"/>
      <c r="AV125" s="7"/>
      <c r="AW125" s="7">
        <v>3</v>
      </c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18"/>
      <c r="BX125" s="18">
        <f>IF($X125="","",AE125/$X$10)</f>
        <v>0</v>
      </c>
      <c r="BY125" s="18">
        <f>IF($X125="","",AF125/$X$10)</f>
        <v>0</v>
      </c>
      <c r="BZ125" s="18">
        <f>IF($X125="","",AG125/$X$10)</f>
        <v>0</v>
      </c>
      <c r="CA125" s="18">
        <f>IF($X125="","",AH125/$X$10)</f>
        <v>0</v>
      </c>
      <c r="CB125" s="18">
        <f t="shared" si="9"/>
        <v>0</v>
      </c>
      <c r="CC125" s="18">
        <f>IF($X125="","",AJ125/$X$10)</f>
        <v>0</v>
      </c>
      <c r="CD125" s="18">
        <f>IF($X125="","",AK125/$X$10)</f>
        <v>0</v>
      </c>
      <c r="CE125" s="18">
        <f>IF($X125="","",AL125/$X$10)</f>
        <v>0</v>
      </c>
      <c r="CF125" s="18">
        <f>IF($X125="","",AM125/$X$10)</f>
        <v>0</v>
      </c>
      <c r="CG125" s="18">
        <f>IF($X125="","",AN125/$X$10)</f>
        <v>0</v>
      </c>
      <c r="CH125" s="18">
        <f>IF($X125="","",AO125/$X$10)</f>
        <v>0</v>
      </c>
      <c r="CI125" s="18">
        <f>IF($X125="","",AP125/$X$10)</f>
        <v>0</v>
      </c>
      <c r="CJ125" s="18">
        <f>IF($X125="","",AQ125/$X$10)</f>
        <v>0</v>
      </c>
      <c r="CK125" s="18">
        <f>IF($X125="","",AR125/$X$10)</f>
        <v>0</v>
      </c>
      <c r="CL125" s="18">
        <f>IF($X125="","",AS125/$X$10)</f>
        <v>0</v>
      </c>
      <c r="CM125" s="18">
        <f>IF($X125="","",AT125/$X$10)</f>
        <v>0</v>
      </c>
      <c r="CN125" s="18">
        <f>IF($X125="","",AU125/$X$10)</f>
        <v>0</v>
      </c>
      <c r="CO125" s="18">
        <f>IF($X125="","",AV125/$X$10)</f>
        <v>0</v>
      </c>
      <c r="CP125" s="18">
        <f>IF($X125="","",AW125/$X$10)</f>
        <v>4.7619047619047616E-2</v>
      </c>
      <c r="CQ125" s="18">
        <f>IF($X125="","",AX125/$X$10)</f>
        <v>0</v>
      </c>
      <c r="CR125" s="18">
        <f>IF($X125="","",AY125/$X$10)</f>
        <v>0</v>
      </c>
      <c r="CS125" s="18">
        <f>IF($X125="","",AZ125/$X$10)</f>
        <v>0</v>
      </c>
      <c r="CT125" s="18">
        <f>IF($X125="","",BA125/$X$10)</f>
        <v>0</v>
      </c>
      <c r="CU125" s="18">
        <f>IF($X125="","",BB125/$X$10)</f>
        <v>0</v>
      </c>
      <c r="CV125" s="18">
        <f>IF($X125="","",BC125/$X$10)</f>
        <v>0</v>
      </c>
      <c r="CW125" s="18">
        <f>IF($X125="","",BD125/$X$10)</f>
        <v>0</v>
      </c>
      <c r="CX125" s="18">
        <f>IF($X125="","",BE125/$X$10)</f>
        <v>0</v>
      </c>
      <c r="CY125" s="18">
        <f>IF($X125="","",BF125/$X$10)</f>
        <v>0</v>
      </c>
      <c r="CZ125" s="18">
        <f>IF($X125="","",BG125/$X$10)</f>
        <v>0</v>
      </c>
      <c r="DA125" s="18">
        <f>IF($X125="","",BH125/$X$10)</f>
        <v>0</v>
      </c>
      <c r="DB125" s="18">
        <f>IF($X125="","",BI125/$X$10)</f>
        <v>0</v>
      </c>
      <c r="DC125" s="18">
        <f>IF($X125="","",BJ125/$X$10)</f>
        <v>0</v>
      </c>
      <c r="DD125" s="18">
        <f>IF($X125="","",BK125/$X$10)</f>
        <v>0</v>
      </c>
      <c r="DE125" s="18">
        <f>IF($X125="","",BL125/$X$10)</f>
        <v>0</v>
      </c>
      <c r="DF125" s="18">
        <f>IF($X125="","",BM125/$X$10)</f>
        <v>0</v>
      </c>
      <c r="DG125" s="18">
        <f t="shared" si="10"/>
        <v>0</v>
      </c>
      <c r="DH125" s="18">
        <f>IF($X125="","",BO125/$X$10)</f>
        <v>0</v>
      </c>
      <c r="DI125" s="18">
        <f>IF($X125="","",BP125/$X$10)</f>
        <v>0</v>
      </c>
      <c r="DJ125" s="18">
        <f>IF($X125="","",BQ125/$X$10)</f>
        <v>0</v>
      </c>
      <c r="DK125" s="18">
        <f>IF($X125="","",BR125/$X$10)</f>
        <v>0</v>
      </c>
      <c r="DL125" s="18">
        <f>IF($X125="","",BS125/$X$10)</f>
        <v>0</v>
      </c>
      <c r="DM125" s="18">
        <f>IF($X125="","",BT125/$X$10)</f>
        <v>0</v>
      </c>
      <c r="DN125" s="18">
        <f t="shared" si="13"/>
        <v>0</v>
      </c>
      <c r="DO125" s="16">
        <f>IF($X125="","",SUM(Tabla152[[#This Row],[PODRIDO]],Tabla152[[#This Row],[HONGO]],Tabla152[[#This Row],[PICADO DE AVE CON PUDRICIÓN]],Tabla152[[#This Row],[FUMAGINA]])/$X$10)</f>
        <v>0</v>
      </c>
      <c r="DP125" s="16">
        <f>IF($X125="","",SUM(Tabla152[[#This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4.7619047619047616E-2</v>
      </c>
      <c r="DQ125" s="16">
        <f>IF($X125="","",SUM(Tabla152[[#This Row],[BLANDO]:[COLAPSADO]])/$X$10)</f>
        <v>0</v>
      </c>
      <c r="DR125" s="16">
        <f>IF($X125="","",SUM(Tabla152[[#This Row],[DESHIDRATADO LEVE]:[DESHIDRATADO INMADURO]])/$X$10)</f>
        <v>0</v>
      </c>
      <c r="DS125" s="18">
        <f t="shared" si="7"/>
        <v>0</v>
      </c>
      <c r="DT125" s="16">
        <f>IF($X125="","",SUM(Tabla152[[#This Row],[PRESENCIA DE LARVA]],Tabla152[[#This Row],[CHANCHITO BLANCO]])/$X$10)</f>
        <v>0</v>
      </c>
      <c r="DU125" s="18">
        <f>IF($X125="","",SUM(Tabla152[[#This Row],[ROJO GRADO 2 A MÁS]],Tabla152[[#This Row],[IMMADURO VERDE]],Tabla152[[#This Row],[DESORDEN POR MADURACIÓN]],Tabla152[[#This Row],[ARO PEDICELAR VERDE EXTREMO]])/$X$10)</f>
        <v>0</v>
      </c>
      <c r="DV125" s="16">
        <f>IF($X125="","",SUM(Tabla152[[#This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25" s="16">
        <f t="shared" si="8"/>
        <v>0</v>
      </c>
      <c r="DX125" s="16">
        <f>IF($X125="","",AJ125/$X$10)</f>
        <v>0</v>
      </c>
      <c r="DY125" s="16">
        <f>IF($X125="","",SUM(Tabla152[[#This Row],[PRESENCIA DE COROLA]],Tabla152[[#This Row],[PRESENCIA DE RESTO FLORAL VERDE]],Tabla152[[#This Row],[PRESENCIA DE PEDÚNCULO]])/$X$10)</f>
        <v>0</v>
      </c>
      <c r="DZ125" s="16">
        <f>IF($X125="","",SUM(Tabla152[[#This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26" spans="1:130" x14ac:dyDescent="0.3">
      <c r="A126" s="9">
        <f>IF(W126="","",IF(ROW()=10,1,IF(W126=W125,A125,MAX($A$9:A125)+1)))</f>
        <v>38</v>
      </c>
      <c r="B126" s="9">
        <f>WEEKNUM(Tabla152[[#This Row],[FECHA DE COSECHA]],21)</f>
        <v>36</v>
      </c>
      <c r="C126" s="9"/>
      <c r="D126" s="17">
        <v>46268</v>
      </c>
      <c r="E126" s="17">
        <v>46268</v>
      </c>
      <c r="F126" s="9">
        <v>1</v>
      </c>
      <c r="G126" s="9" t="s">
        <v>77</v>
      </c>
      <c r="H126" s="9" t="s">
        <v>144</v>
      </c>
      <c r="I126" s="9" t="s">
        <v>188</v>
      </c>
      <c r="J126" s="9" t="s">
        <v>135</v>
      </c>
      <c r="K126" s="9" t="s">
        <v>146</v>
      </c>
      <c r="L126" s="9" t="s">
        <v>131</v>
      </c>
      <c r="M126" s="9" t="s">
        <v>239</v>
      </c>
      <c r="N126" s="9" t="s">
        <v>136</v>
      </c>
      <c r="O126" s="9" t="s">
        <v>137</v>
      </c>
      <c r="P126" s="9" t="s">
        <v>243</v>
      </c>
      <c r="Q126" s="9"/>
      <c r="R126" s="9">
        <v>7</v>
      </c>
      <c r="S126">
        <v>75459229</v>
      </c>
      <c r="T126" t="s">
        <v>234</v>
      </c>
      <c r="U126" s="9" t="s">
        <v>147</v>
      </c>
      <c r="V126" s="9"/>
      <c r="W126" t="s">
        <v>191</v>
      </c>
      <c r="X126" s="9">
        <v>66</v>
      </c>
      <c r="Y126" s="9">
        <v>3</v>
      </c>
      <c r="Z126" s="9">
        <v>5</v>
      </c>
      <c r="AA126" s="9" t="str">
        <f>IF(Tabla152[[#This Row],[NOTA]]=15,"CUMPLE","NO CUMPLE")</f>
        <v>NO CUMPLE</v>
      </c>
      <c r="AB126" s="9" t="str">
        <f>IF(COUNTIF($A$10:A126,A126)=1,IF(COUNTIFS($A:$A,A126,$AA:$AA,"NO CUMPLE")&gt;0,"NO CUMPLE","CUMPLE"),"")</f>
        <v/>
      </c>
      <c r="AC126" s="9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7"/>
      <c r="AR126" s="7"/>
      <c r="AS126" s="7"/>
      <c r="AT126" s="7"/>
      <c r="AU126" s="7"/>
      <c r="AV126" s="7"/>
      <c r="AW126" s="7">
        <v>2</v>
      </c>
      <c r="AX126" s="7">
        <v>1</v>
      </c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18"/>
      <c r="BX126" s="18">
        <f>IF($X126="","",AE126/$X$10)</f>
        <v>0</v>
      </c>
      <c r="BY126" s="18">
        <f>IF($X126="","",AF126/$X$10)</f>
        <v>0</v>
      </c>
      <c r="BZ126" s="18">
        <f>IF($X126="","",AG126/$X$10)</f>
        <v>0</v>
      </c>
      <c r="CA126" s="18">
        <f>IF($X126="","",AH126/$X$10)</f>
        <v>0</v>
      </c>
      <c r="CB126" s="18">
        <f t="shared" si="9"/>
        <v>0</v>
      </c>
      <c r="CC126" s="18">
        <f>IF($X126="","",AJ126/$X$10)</f>
        <v>0</v>
      </c>
      <c r="CD126" s="18">
        <f>IF($X126="","",AK126/$X$10)</f>
        <v>0</v>
      </c>
      <c r="CE126" s="18">
        <f>IF($X126="","",AL126/$X$10)</f>
        <v>0</v>
      </c>
      <c r="CF126" s="18">
        <f>IF($X126="","",AM126/$X$10)</f>
        <v>0</v>
      </c>
      <c r="CG126" s="18">
        <f>IF($X126="","",AN126/$X$10)</f>
        <v>0</v>
      </c>
      <c r="CH126" s="18">
        <f>IF($X126="","",AO126/$X$10)</f>
        <v>0</v>
      </c>
      <c r="CI126" s="18">
        <f>IF($X126="","",AP126/$X$10)</f>
        <v>0</v>
      </c>
      <c r="CJ126" s="18">
        <f>IF($X126="","",AQ126/$X$10)</f>
        <v>0</v>
      </c>
      <c r="CK126" s="18">
        <f>IF($X126="","",AR126/$X$10)</f>
        <v>0</v>
      </c>
      <c r="CL126" s="18">
        <f>IF($X126="","",AS126/$X$10)</f>
        <v>0</v>
      </c>
      <c r="CM126" s="18">
        <f>IF($X126="","",AT126/$X$10)</f>
        <v>0</v>
      </c>
      <c r="CN126" s="18">
        <f>IF($X126="","",AU126/$X$10)</f>
        <v>0</v>
      </c>
      <c r="CO126" s="18">
        <f>IF($X126="","",AV126/$X$10)</f>
        <v>0</v>
      </c>
      <c r="CP126" s="18">
        <f>IF($X126="","",AW126/$X$10)</f>
        <v>3.1746031746031744E-2</v>
      </c>
      <c r="CQ126" s="18">
        <f>IF($X126="","",AX126/$X$10)</f>
        <v>1.5873015873015872E-2</v>
      </c>
      <c r="CR126" s="18">
        <f>IF($X126="","",AY126/$X$10)</f>
        <v>0</v>
      </c>
      <c r="CS126" s="18">
        <f>IF($X126="","",AZ126/$X$10)</f>
        <v>0</v>
      </c>
      <c r="CT126" s="18">
        <f>IF($X126="","",BA126/$X$10)</f>
        <v>0</v>
      </c>
      <c r="CU126" s="18">
        <f>IF($X126="","",BB126/$X$10)</f>
        <v>0</v>
      </c>
      <c r="CV126" s="18">
        <f>IF($X126="","",BC126/$X$10)</f>
        <v>0</v>
      </c>
      <c r="CW126" s="18">
        <f>IF($X126="","",BD126/$X$10)</f>
        <v>0</v>
      </c>
      <c r="CX126" s="18">
        <f>IF($X126="","",BE126/$X$10)</f>
        <v>0</v>
      </c>
      <c r="CY126" s="18">
        <f>IF($X126="","",BF126/$X$10)</f>
        <v>0</v>
      </c>
      <c r="CZ126" s="18">
        <f>IF($X126="","",BG126/$X$10)</f>
        <v>0</v>
      </c>
      <c r="DA126" s="18">
        <f>IF($X126="","",BH126/$X$10)</f>
        <v>0</v>
      </c>
      <c r="DB126" s="18">
        <f>IF($X126="","",BI126/$X$10)</f>
        <v>0</v>
      </c>
      <c r="DC126" s="18">
        <f>IF($X126="","",BJ126/$X$10)</f>
        <v>0</v>
      </c>
      <c r="DD126" s="18">
        <f>IF($X126="","",BK126/$X$10)</f>
        <v>0</v>
      </c>
      <c r="DE126" s="18">
        <f>IF($X126="","",BL126/$X$10)</f>
        <v>0</v>
      </c>
      <c r="DF126" s="18">
        <f>IF($X126="","",BM126/$X$10)</f>
        <v>0</v>
      </c>
      <c r="DG126" s="18">
        <f t="shared" si="10"/>
        <v>0</v>
      </c>
      <c r="DH126" s="18">
        <f>IF($X126="","",BO126/$X$10)</f>
        <v>0</v>
      </c>
      <c r="DI126" s="18">
        <f>IF($X126="","",BP126/$X$10)</f>
        <v>0</v>
      </c>
      <c r="DJ126" s="18">
        <f>IF($X126="","",BQ126/$X$10)</f>
        <v>0</v>
      </c>
      <c r="DK126" s="18">
        <f>IF($X126="","",BR126/$X$10)</f>
        <v>0</v>
      </c>
      <c r="DL126" s="18">
        <f>IF($X126="","",BS126/$X$10)</f>
        <v>0</v>
      </c>
      <c r="DM126" s="18">
        <f>IF($X126="","",BT126/$X$10)</f>
        <v>0</v>
      </c>
      <c r="DN126" s="18">
        <f t="shared" si="13"/>
        <v>0</v>
      </c>
      <c r="DO126" s="16">
        <f>IF($X126="","",SUM(Tabla152[[#This Row],[PODRIDO]],Tabla152[[#This Row],[HONGO]],Tabla152[[#This Row],[PICADO DE AVE CON PUDRICIÓN]],Tabla152[[#This Row],[FUMAGINA]])/$X$10)</f>
        <v>0</v>
      </c>
      <c r="DP126" s="16">
        <f>IF($X126="","",SUM(Tabla152[[#This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4.7619047619047616E-2</v>
      </c>
      <c r="DQ126" s="16">
        <f>IF($X126="","",SUM(Tabla152[[#This Row],[BLANDO]:[COLAPSADO]])/$X$10)</f>
        <v>0</v>
      </c>
      <c r="DR126" s="16">
        <f>IF($X126="","",SUM(Tabla152[[#This Row],[DESHIDRATADO LEVE]:[DESHIDRATADO INMADURO]])/$X$10)</f>
        <v>0</v>
      </c>
      <c r="DS126" s="18">
        <f t="shared" si="7"/>
        <v>0</v>
      </c>
      <c r="DT126" s="16">
        <f>IF($X126="","",SUM(Tabla152[[#This Row],[PRESENCIA DE LARVA]],Tabla152[[#This Row],[CHANCHITO BLANCO]])/$X$10)</f>
        <v>0</v>
      </c>
      <c r="DU126" s="18">
        <f>IF($X126="","",SUM(Tabla152[[#This Row],[ROJO GRADO 2 A MÁS]],Tabla152[[#This Row],[IMMADURO VERDE]],Tabla152[[#This Row],[DESORDEN POR MADURACIÓN]],Tabla152[[#This Row],[ARO PEDICELAR VERDE EXTREMO]])/$X$10)</f>
        <v>0</v>
      </c>
      <c r="DV126" s="16">
        <f>IF($X126="","",SUM(Tabla152[[#This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26" s="16">
        <f t="shared" si="8"/>
        <v>0</v>
      </c>
      <c r="DX126" s="16">
        <f>IF($X126="","",AJ126/$X$10)</f>
        <v>0</v>
      </c>
      <c r="DY126" s="16">
        <f>IF($X126="","",SUM(Tabla152[[#This Row],[PRESENCIA DE COROLA]],Tabla152[[#This Row],[PRESENCIA DE RESTO FLORAL VERDE]],Tabla152[[#This Row],[PRESENCIA DE PEDÚNCULO]])/$X$10)</f>
        <v>0</v>
      </c>
      <c r="DZ126" s="16">
        <f>IF($X126="","",SUM(Tabla152[[#This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27" spans="1:130" x14ac:dyDescent="0.3">
      <c r="A127" s="9">
        <f>IF(W127="","",IF(ROW()=10,1,IF(W127=W126,A126,MAX($A$9:A126)+1)))</f>
        <v>39</v>
      </c>
      <c r="B127" s="9">
        <f>WEEKNUM(Tabla152[[#This Row],[FECHA DE COSECHA]],21)</f>
        <v>36</v>
      </c>
      <c r="C127" s="9"/>
      <c r="D127" s="17">
        <v>46268</v>
      </c>
      <c r="E127" s="17">
        <v>46268</v>
      </c>
      <c r="F127" s="9">
        <v>1</v>
      </c>
      <c r="G127" s="9" t="s">
        <v>77</v>
      </c>
      <c r="H127" s="9" t="s">
        <v>144</v>
      </c>
      <c r="I127" s="9" t="s">
        <v>188</v>
      </c>
      <c r="J127" s="9" t="s">
        <v>135</v>
      </c>
      <c r="K127" s="9" t="s">
        <v>146</v>
      </c>
      <c r="L127" s="9" t="s">
        <v>131</v>
      </c>
      <c r="M127" s="9" t="s">
        <v>239</v>
      </c>
      <c r="N127" s="9" t="s">
        <v>136</v>
      </c>
      <c r="O127" s="9" t="s">
        <v>137</v>
      </c>
      <c r="P127" s="9" t="s">
        <v>243</v>
      </c>
      <c r="Q127" s="9"/>
      <c r="R127" s="9">
        <v>7</v>
      </c>
      <c r="S127">
        <v>75459229</v>
      </c>
      <c r="T127" t="s">
        <v>234</v>
      </c>
      <c r="U127" s="9" t="s">
        <v>147</v>
      </c>
      <c r="V127" s="9"/>
      <c r="W127" s="19" t="s">
        <v>192</v>
      </c>
      <c r="X127" s="9">
        <v>66</v>
      </c>
      <c r="Y127" s="9">
        <v>1</v>
      </c>
      <c r="Z127" s="9">
        <v>5</v>
      </c>
      <c r="AA127" s="9" t="str">
        <f>IF(Tabla152[[#This Row],[NOTA]]=15,"CUMPLE","NO CUMPLE")</f>
        <v>NO CUMPLE</v>
      </c>
      <c r="AB127" s="9" t="str">
        <f>IF(COUNTIF($A$10:A127,A127)=1,IF(COUNTIFS($A:$A,A127,$AA:$AA,"NO CUMPLE")&gt;0,"NO CUMPLE","CUMPLE"),"")</f>
        <v>NO CUMPLE</v>
      </c>
      <c r="AC127" s="9" t="s">
        <v>140</v>
      </c>
      <c r="AD127" s="8"/>
      <c r="AE127" s="8"/>
      <c r="AF127" s="8"/>
      <c r="AG127" s="8"/>
      <c r="AH127" s="8"/>
      <c r="AI127" s="8"/>
      <c r="AJ127" s="8"/>
      <c r="AK127" s="8"/>
      <c r="AL127" s="8"/>
      <c r="AM127" s="8">
        <v>1</v>
      </c>
      <c r="AN127" s="8"/>
      <c r="AO127" s="8"/>
      <c r="AP127" s="8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18"/>
      <c r="BX127" s="18">
        <f>IF($X127="","",AE127/$X$10)</f>
        <v>0</v>
      </c>
      <c r="BY127" s="18">
        <f>IF($X127="","",AF127/$X$10)</f>
        <v>0</v>
      </c>
      <c r="BZ127" s="18">
        <f>IF($X127="","",AG127/$X$10)</f>
        <v>0</v>
      </c>
      <c r="CA127" s="18">
        <f>IF($X127="","",AH127/$X$10)</f>
        <v>0</v>
      </c>
      <c r="CB127" s="18">
        <f t="shared" si="9"/>
        <v>0</v>
      </c>
      <c r="CC127" s="18">
        <f>IF($X127="","",AJ127/$X$10)</f>
        <v>0</v>
      </c>
      <c r="CD127" s="18">
        <f>IF($X127="","",AK127/$X$10)</f>
        <v>0</v>
      </c>
      <c r="CE127" s="18">
        <f>IF($X127="","",AL127/$X$10)</f>
        <v>0</v>
      </c>
      <c r="CF127" s="18">
        <f>IF($X127="","",AM127/$X$10)</f>
        <v>1.5873015873015872E-2</v>
      </c>
      <c r="CG127" s="18">
        <f>IF($X127="","",AN127/$X$10)</f>
        <v>0</v>
      </c>
      <c r="CH127" s="18">
        <f>IF($X127="","",AO127/$X$10)</f>
        <v>0</v>
      </c>
      <c r="CI127" s="18">
        <f>IF($X127="","",AP127/$X$10)</f>
        <v>0</v>
      </c>
      <c r="CJ127" s="18">
        <f>IF($X127="","",AQ127/$X$10)</f>
        <v>0</v>
      </c>
      <c r="CK127" s="18">
        <f>IF($X127="","",AR127/$X$10)</f>
        <v>0</v>
      </c>
      <c r="CL127" s="18">
        <f>IF($X127="","",AS127/$X$10)</f>
        <v>0</v>
      </c>
      <c r="CM127" s="18">
        <f>IF($X127="","",AT127/$X$10)</f>
        <v>0</v>
      </c>
      <c r="CN127" s="18">
        <f>IF($X127="","",AU127/$X$10)</f>
        <v>0</v>
      </c>
      <c r="CO127" s="18">
        <f>IF($X127="","",AV127/$X$10)</f>
        <v>0</v>
      </c>
      <c r="CP127" s="18">
        <f>IF($X127="","",AW127/$X$10)</f>
        <v>0</v>
      </c>
      <c r="CQ127" s="18">
        <f>IF($X127="","",AX127/$X$10)</f>
        <v>0</v>
      </c>
      <c r="CR127" s="18">
        <f>IF($X127="","",AY127/$X$10)</f>
        <v>0</v>
      </c>
      <c r="CS127" s="18">
        <f>IF($X127="","",AZ127/$X$10)</f>
        <v>0</v>
      </c>
      <c r="CT127" s="18">
        <f>IF($X127="","",BA127/$X$10)</f>
        <v>0</v>
      </c>
      <c r="CU127" s="18">
        <f>IF($X127="","",BB127/$X$10)</f>
        <v>0</v>
      </c>
      <c r="CV127" s="18">
        <f>IF($X127="","",BC127/$X$10)</f>
        <v>0</v>
      </c>
      <c r="CW127" s="18">
        <f>IF($X127="","",BD127/$X$10)</f>
        <v>0</v>
      </c>
      <c r="CX127" s="18">
        <f>IF($X127="","",BE127/$X$10)</f>
        <v>0</v>
      </c>
      <c r="CY127" s="18">
        <f>IF($X127="","",BF127/$X$10)</f>
        <v>0</v>
      </c>
      <c r="CZ127" s="18">
        <f>IF($X127="","",BG127/$X$10)</f>
        <v>0</v>
      </c>
      <c r="DA127" s="18">
        <f>IF($X127="","",BH127/$X$10)</f>
        <v>0</v>
      </c>
      <c r="DB127" s="18">
        <f>IF($X127="","",BI127/$X$10)</f>
        <v>0</v>
      </c>
      <c r="DC127" s="18">
        <f>IF($X127="","",BJ127/$X$10)</f>
        <v>0</v>
      </c>
      <c r="DD127" s="18">
        <f>IF($X127="","",BK127/$X$10)</f>
        <v>0</v>
      </c>
      <c r="DE127" s="18">
        <f>IF($X127="","",BL127/$X$10)</f>
        <v>0</v>
      </c>
      <c r="DF127" s="18">
        <f>IF($X127="","",BM127/$X$10)</f>
        <v>0</v>
      </c>
      <c r="DG127" s="18">
        <f t="shared" si="10"/>
        <v>0</v>
      </c>
      <c r="DH127" s="18">
        <f>IF($X127="","",BO127/$X$10)</f>
        <v>0</v>
      </c>
      <c r="DI127" s="18">
        <f>IF($X127="","",BP127/$X$10)</f>
        <v>0</v>
      </c>
      <c r="DJ127" s="18">
        <f>IF($X127="","",BQ127/$X$10)</f>
        <v>0</v>
      </c>
      <c r="DK127" s="18">
        <f>IF($X127="","",BR127/$X$10)</f>
        <v>0</v>
      </c>
      <c r="DL127" s="18">
        <f>IF($X127="","",BS127/$X$10)</f>
        <v>0</v>
      </c>
      <c r="DM127" s="18">
        <f>IF($X127="","",BT127/$X$10)</f>
        <v>0</v>
      </c>
      <c r="DN127" s="18">
        <f t="shared" si="13"/>
        <v>0</v>
      </c>
      <c r="DO127" s="16">
        <f>IF($X127="","",SUM(Tabla152[[#This Row],[PODRIDO]],Tabla152[[#This Row],[HONGO]],Tabla152[[#This Row],[PICADO DE AVE CON PUDRICIÓN]],Tabla152[[#This Row],[FUMAGINA]])/$X$10)</f>
        <v>0</v>
      </c>
      <c r="DP127" s="16">
        <f>IF($X127="","",SUM(Tabla152[[#This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27" s="16">
        <f>IF($X127="","",SUM(Tabla152[[#This Row],[BLANDO]:[COLAPSADO]])/$X$10)</f>
        <v>0</v>
      </c>
      <c r="DR127" s="16">
        <f>IF($X127="","",SUM(Tabla152[[#This Row],[DESHIDRATADO LEVE]:[DESHIDRATADO INMADURO]])/$X$10)</f>
        <v>0</v>
      </c>
      <c r="DS127" s="18">
        <f t="shared" si="7"/>
        <v>0</v>
      </c>
      <c r="DT127" s="16">
        <f>IF($X127="","",SUM(Tabla152[[#This Row],[PRESENCIA DE LARVA]],Tabla152[[#This Row],[CHANCHITO BLANCO]])/$X$10)</f>
        <v>0</v>
      </c>
      <c r="DU127" s="18">
        <f>IF($X127="","",SUM(Tabla152[[#This Row],[ROJO GRADO 2 A MÁS]],Tabla152[[#This Row],[IMMADURO VERDE]],Tabla152[[#This Row],[DESORDEN POR MADURACIÓN]],Tabla152[[#This Row],[ARO PEDICELAR VERDE EXTREMO]])/$X$10)</f>
        <v>0</v>
      </c>
      <c r="DV127" s="16">
        <f>IF($X127="","",SUM(Tabla152[[#This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27" s="16">
        <f t="shared" si="8"/>
        <v>0</v>
      </c>
      <c r="DX127" s="16">
        <f>IF($X127="","",AJ127/$X$10)</f>
        <v>0</v>
      </c>
      <c r="DY127" s="16">
        <f>IF($X127="","",SUM(Tabla152[[#This Row],[PRESENCIA DE COROLA]],Tabla152[[#This Row],[PRESENCIA DE RESTO FLORAL VERDE]],Tabla152[[#This Row],[PRESENCIA DE PEDÚNCULO]])/$X$10)</f>
        <v>0</v>
      </c>
      <c r="DZ127" s="16">
        <f>IF($X127="","",SUM(Tabla152[[#This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1.5873015873015872E-2</v>
      </c>
    </row>
    <row r="128" spans="1:130" x14ac:dyDescent="0.3">
      <c r="A128" s="9">
        <f>IF(W128="","",IF(ROW()=10,1,IF(W128=W127,A127,MAX($A$9:A127)+1)))</f>
        <v>39</v>
      </c>
      <c r="B128" s="9">
        <f>WEEKNUM(Tabla152[[#This Row],[FECHA DE COSECHA]],21)</f>
        <v>36</v>
      </c>
      <c r="C128" s="9"/>
      <c r="D128" s="17">
        <v>46268</v>
      </c>
      <c r="E128" s="17">
        <v>46268</v>
      </c>
      <c r="F128" s="9">
        <v>1</v>
      </c>
      <c r="G128" s="9" t="s">
        <v>77</v>
      </c>
      <c r="H128" s="9" t="s">
        <v>144</v>
      </c>
      <c r="I128" s="9" t="s">
        <v>188</v>
      </c>
      <c r="J128" s="9" t="s">
        <v>135</v>
      </c>
      <c r="K128" s="9" t="s">
        <v>146</v>
      </c>
      <c r="L128" s="9" t="s">
        <v>131</v>
      </c>
      <c r="M128" s="9" t="s">
        <v>239</v>
      </c>
      <c r="N128" s="9" t="s">
        <v>136</v>
      </c>
      <c r="O128" s="9" t="s">
        <v>137</v>
      </c>
      <c r="P128" s="9" t="s">
        <v>243</v>
      </c>
      <c r="Q128" s="9"/>
      <c r="R128" s="9">
        <v>7</v>
      </c>
      <c r="S128">
        <v>75459229</v>
      </c>
      <c r="T128" t="s">
        <v>234</v>
      </c>
      <c r="U128" s="9" t="s">
        <v>147</v>
      </c>
      <c r="V128" s="9"/>
      <c r="W128" s="19" t="s">
        <v>192</v>
      </c>
      <c r="X128" s="9">
        <v>66</v>
      </c>
      <c r="Y128" s="9">
        <v>2</v>
      </c>
      <c r="Z128" s="9">
        <v>5</v>
      </c>
      <c r="AA128" s="9" t="str">
        <f>IF(Tabla152[[#This Row],[NOTA]]=15,"CUMPLE","NO CUMPLE")</f>
        <v>NO CUMPLE</v>
      </c>
      <c r="AB128" s="9" t="str">
        <f>IF(COUNTIF($A$10:A128,A128)=1,IF(COUNTIFS($A:$A,A128,$AA:$AA,"NO CUMPLE")&gt;0,"NO CUMPLE","CUMPLE"),"")</f>
        <v/>
      </c>
      <c r="AC128" s="9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7"/>
      <c r="AR128" s="7"/>
      <c r="AS128" s="7"/>
      <c r="AT128" s="7"/>
      <c r="AU128" s="7"/>
      <c r="AV128" s="7"/>
      <c r="AW128" s="7">
        <v>3</v>
      </c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18"/>
      <c r="BX128" s="18">
        <f>IF($X128="","",AE128/$X$10)</f>
        <v>0</v>
      </c>
      <c r="BY128" s="18">
        <f>IF($X128="","",AF128/$X$10)</f>
        <v>0</v>
      </c>
      <c r="BZ128" s="18">
        <f>IF($X128="","",AG128/$X$10)</f>
        <v>0</v>
      </c>
      <c r="CA128" s="18">
        <f>IF($X128="","",AH128/$X$10)</f>
        <v>0</v>
      </c>
      <c r="CB128" s="18">
        <f t="shared" si="9"/>
        <v>0</v>
      </c>
      <c r="CC128" s="18">
        <f>IF($X128="","",AJ128/$X$10)</f>
        <v>0</v>
      </c>
      <c r="CD128" s="18">
        <f>IF($X128="","",AK128/$X$10)</f>
        <v>0</v>
      </c>
      <c r="CE128" s="18">
        <f>IF($X128="","",AL128/$X$10)</f>
        <v>0</v>
      </c>
      <c r="CF128" s="18">
        <f>IF($X128="","",AM128/$X$10)</f>
        <v>0</v>
      </c>
      <c r="CG128" s="18">
        <f>IF($X128="","",AN128/$X$10)</f>
        <v>0</v>
      </c>
      <c r="CH128" s="18">
        <f>IF($X128="","",AO128/$X$10)</f>
        <v>0</v>
      </c>
      <c r="CI128" s="18">
        <f>IF($X128="","",AP128/$X$10)</f>
        <v>0</v>
      </c>
      <c r="CJ128" s="18">
        <f>IF($X128="","",AQ128/$X$10)</f>
        <v>0</v>
      </c>
      <c r="CK128" s="18">
        <f>IF($X128="","",AR128/$X$10)</f>
        <v>0</v>
      </c>
      <c r="CL128" s="18">
        <f>IF($X128="","",AS128/$X$10)</f>
        <v>0</v>
      </c>
      <c r="CM128" s="18">
        <f>IF($X128="","",AT128/$X$10)</f>
        <v>0</v>
      </c>
      <c r="CN128" s="18">
        <f>IF($X128="","",AU128/$X$10)</f>
        <v>0</v>
      </c>
      <c r="CO128" s="18">
        <f>IF($X128="","",AV128/$X$10)</f>
        <v>0</v>
      </c>
      <c r="CP128" s="18">
        <f>IF($X128="","",AW128/$X$10)</f>
        <v>4.7619047619047616E-2</v>
      </c>
      <c r="CQ128" s="18">
        <f>IF($X128="","",AX128/$X$10)</f>
        <v>0</v>
      </c>
      <c r="CR128" s="18">
        <f>IF($X128="","",AY128/$X$10)</f>
        <v>0</v>
      </c>
      <c r="CS128" s="18">
        <f>IF($X128="","",AZ128/$X$10)</f>
        <v>0</v>
      </c>
      <c r="CT128" s="18">
        <f>IF($X128="","",BA128/$X$10)</f>
        <v>0</v>
      </c>
      <c r="CU128" s="18">
        <f>IF($X128="","",BB128/$X$10)</f>
        <v>0</v>
      </c>
      <c r="CV128" s="18">
        <f>IF($X128="","",BC128/$X$10)</f>
        <v>0</v>
      </c>
      <c r="CW128" s="18">
        <f>IF($X128="","",BD128/$X$10)</f>
        <v>0</v>
      </c>
      <c r="CX128" s="18">
        <f>IF($X128="","",BE128/$X$10)</f>
        <v>0</v>
      </c>
      <c r="CY128" s="18">
        <f>IF($X128="","",BF128/$X$10)</f>
        <v>0</v>
      </c>
      <c r="CZ128" s="18">
        <f>IF($X128="","",BG128/$X$10)</f>
        <v>0</v>
      </c>
      <c r="DA128" s="18">
        <f>IF($X128="","",BH128/$X$10)</f>
        <v>0</v>
      </c>
      <c r="DB128" s="18">
        <f>IF($X128="","",BI128/$X$10)</f>
        <v>0</v>
      </c>
      <c r="DC128" s="18">
        <f>IF($X128="","",BJ128/$X$10)</f>
        <v>0</v>
      </c>
      <c r="DD128" s="18">
        <f>IF($X128="","",BK128/$X$10)</f>
        <v>0</v>
      </c>
      <c r="DE128" s="18">
        <f>IF($X128="","",BL128/$X$10)</f>
        <v>0</v>
      </c>
      <c r="DF128" s="18">
        <f>IF($X128="","",BM128/$X$10)</f>
        <v>0</v>
      </c>
      <c r="DG128" s="18">
        <f t="shared" si="10"/>
        <v>0</v>
      </c>
      <c r="DH128" s="18">
        <f>IF($X128="","",BO128/$X$10)</f>
        <v>0</v>
      </c>
      <c r="DI128" s="18">
        <f>IF($X128="","",BP128/$X$10)</f>
        <v>0</v>
      </c>
      <c r="DJ128" s="18">
        <f>IF($X128="","",BQ128/$X$10)</f>
        <v>0</v>
      </c>
      <c r="DK128" s="18">
        <f>IF($X128="","",BR128/$X$10)</f>
        <v>0</v>
      </c>
      <c r="DL128" s="18">
        <f>IF($X128="","",BS128/$X$10)</f>
        <v>0</v>
      </c>
      <c r="DM128" s="18">
        <f>IF($X128="","",BT128/$X$10)</f>
        <v>0</v>
      </c>
      <c r="DN128" s="18">
        <f t="shared" si="13"/>
        <v>0</v>
      </c>
      <c r="DO128" s="16">
        <f>IF($X128="","",SUM(Tabla152[[#This Row],[PODRIDO]],Tabla152[[#This Row],[HONGO]],Tabla152[[#This Row],[PICADO DE AVE CON PUDRICIÓN]],Tabla152[[#This Row],[FUMAGINA]])/$X$10)</f>
        <v>0</v>
      </c>
      <c r="DP128" s="16">
        <f>IF($X128="","",SUM(Tabla152[[#This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4.7619047619047616E-2</v>
      </c>
      <c r="DQ128" s="16">
        <f>IF($X128="","",SUM(Tabla152[[#This Row],[BLANDO]:[COLAPSADO]])/$X$10)</f>
        <v>0</v>
      </c>
      <c r="DR128" s="16">
        <f>IF($X128="","",SUM(Tabla152[[#This Row],[DESHIDRATADO LEVE]:[DESHIDRATADO INMADURO]])/$X$10)</f>
        <v>0</v>
      </c>
      <c r="DS128" s="18">
        <f t="shared" si="7"/>
        <v>0</v>
      </c>
      <c r="DT128" s="16">
        <f>IF($X128="","",SUM(Tabla152[[#This Row],[PRESENCIA DE LARVA]],Tabla152[[#This Row],[CHANCHITO BLANCO]])/$X$10)</f>
        <v>0</v>
      </c>
      <c r="DU128" s="18">
        <f>IF($X128="","",SUM(Tabla152[[#This Row],[ROJO GRADO 2 A MÁS]],Tabla152[[#This Row],[IMMADURO VERDE]],Tabla152[[#This Row],[DESORDEN POR MADURACIÓN]],Tabla152[[#This Row],[ARO PEDICELAR VERDE EXTREMO]])/$X$10)</f>
        <v>0</v>
      </c>
      <c r="DV128" s="16">
        <f>IF($X128="","",SUM(Tabla152[[#This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28" s="16">
        <f t="shared" si="8"/>
        <v>0</v>
      </c>
      <c r="DX128" s="16">
        <f>IF($X128="","",AJ128/$X$10)</f>
        <v>0</v>
      </c>
      <c r="DY128" s="16">
        <f>IF($X128="","",SUM(Tabla152[[#This Row],[PRESENCIA DE COROLA]],Tabla152[[#This Row],[PRESENCIA DE RESTO FLORAL VERDE]],Tabla152[[#This Row],[PRESENCIA DE PEDÚNCULO]])/$X$10)</f>
        <v>0</v>
      </c>
      <c r="DZ128" s="16">
        <f>IF($X128="","",SUM(Tabla152[[#This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29" spans="1:130" x14ac:dyDescent="0.3">
      <c r="A129" s="9">
        <f>IF(W129="","",IF(ROW()=10,1,IF(W129=W128,A128,MAX($A$9:A128)+1)))</f>
        <v>39</v>
      </c>
      <c r="B129" s="9">
        <f>WEEKNUM(Tabla152[[#This Row],[FECHA DE COSECHA]],21)</f>
        <v>36</v>
      </c>
      <c r="C129" s="9"/>
      <c r="D129" s="17">
        <v>46268</v>
      </c>
      <c r="E129" s="17">
        <v>46268</v>
      </c>
      <c r="F129" s="9">
        <v>1</v>
      </c>
      <c r="G129" s="9" t="s">
        <v>77</v>
      </c>
      <c r="H129" s="9" t="s">
        <v>144</v>
      </c>
      <c r="I129" s="9" t="s">
        <v>188</v>
      </c>
      <c r="J129" s="9" t="s">
        <v>135</v>
      </c>
      <c r="K129" s="9" t="s">
        <v>146</v>
      </c>
      <c r="L129" s="9" t="s">
        <v>131</v>
      </c>
      <c r="M129" s="9" t="s">
        <v>239</v>
      </c>
      <c r="N129" s="9" t="s">
        <v>136</v>
      </c>
      <c r="O129" s="9" t="s">
        <v>137</v>
      </c>
      <c r="P129" s="9" t="s">
        <v>243</v>
      </c>
      <c r="Q129" s="9"/>
      <c r="R129" s="9">
        <v>7</v>
      </c>
      <c r="S129">
        <v>75459229</v>
      </c>
      <c r="T129" t="s">
        <v>234</v>
      </c>
      <c r="U129" s="9" t="s">
        <v>147</v>
      </c>
      <c r="V129" s="9"/>
      <c r="W129" s="19" t="s">
        <v>192</v>
      </c>
      <c r="X129" s="9">
        <v>66</v>
      </c>
      <c r="Y129" s="9">
        <v>3</v>
      </c>
      <c r="Z129" s="9">
        <v>5</v>
      </c>
      <c r="AA129" s="9" t="str">
        <f>IF(Tabla152[[#This Row],[NOTA]]=15,"CUMPLE","NO CUMPLE")</f>
        <v>NO CUMPLE</v>
      </c>
      <c r="AB129" s="9" t="str">
        <f>IF(COUNTIF($A$10:A129,A129)=1,IF(COUNTIFS($A:$A,A129,$AA:$AA,"NO CUMPLE")&gt;0,"NO CUMPLE","CUMPLE"),"")</f>
        <v/>
      </c>
      <c r="AC129" s="9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7"/>
      <c r="AR129" s="7"/>
      <c r="AS129" s="7"/>
      <c r="AT129" s="7"/>
      <c r="AU129" s="7">
        <v>1</v>
      </c>
      <c r="AV129" s="7"/>
      <c r="AW129" s="7">
        <v>2</v>
      </c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18"/>
      <c r="BX129" s="18">
        <f>IF($X129="","",AE129/$X$10)</f>
        <v>0</v>
      </c>
      <c r="BY129" s="18">
        <f>IF($X129="","",AF129/$X$10)</f>
        <v>0</v>
      </c>
      <c r="BZ129" s="18">
        <f>IF($X129="","",AG129/$X$10)</f>
        <v>0</v>
      </c>
      <c r="CA129" s="18">
        <f>IF($X129="","",AH129/$X$10)</f>
        <v>0</v>
      </c>
      <c r="CB129" s="18">
        <f t="shared" si="9"/>
        <v>0</v>
      </c>
      <c r="CC129" s="18">
        <f>IF($X129="","",AJ129/$X$10)</f>
        <v>0</v>
      </c>
      <c r="CD129" s="18">
        <f>IF($X129="","",AK129/$X$10)</f>
        <v>0</v>
      </c>
      <c r="CE129" s="18">
        <f>IF($X129="","",AL129/$X$10)</f>
        <v>0</v>
      </c>
      <c r="CF129" s="18">
        <f>IF($X129="","",AM129/$X$10)</f>
        <v>0</v>
      </c>
      <c r="CG129" s="18">
        <f>IF($X129="","",AN129/$X$10)</f>
        <v>0</v>
      </c>
      <c r="CH129" s="18">
        <f>IF($X129="","",AO129/$X$10)</f>
        <v>0</v>
      </c>
      <c r="CI129" s="18">
        <f>IF($X129="","",AP129/$X$10)</f>
        <v>0</v>
      </c>
      <c r="CJ129" s="18">
        <f>IF($X129="","",AQ129/$X$10)</f>
        <v>0</v>
      </c>
      <c r="CK129" s="18">
        <f>IF($X129="","",AR129/$X$10)</f>
        <v>0</v>
      </c>
      <c r="CL129" s="18">
        <f>IF($X129="","",AS129/$X$10)</f>
        <v>0</v>
      </c>
      <c r="CM129" s="18">
        <f>IF($X129="","",AT129/$X$10)</f>
        <v>0</v>
      </c>
      <c r="CN129" s="18">
        <f>IF($X129="","",AU129/$X$10)</f>
        <v>1.5873015873015872E-2</v>
      </c>
      <c r="CO129" s="18">
        <f>IF($X129="","",AV129/$X$10)</f>
        <v>0</v>
      </c>
      <c r="CP129" s="18">
        <f>IF($X129="","",AW129/$X$10)</f>
        <v>3.1746031746031744E-2</v>
      </c>
      <c r="CQ129" s="18">
        <f>IF($X129="","",AX129/$X$10)</f>
        <v>0</v>
      </c>
      <c r="CR129" s="18">
        <f>IF($X129="","",AY129/$X$10)</f>
        <v>0</v>
      </c>
      <c r="CS129" s="18">
        <f>IF($X129="","",AZ129/$X$10)</f>
        <v>0</v>
      </c>
      <c r="CT129" s="18">
        <f>IF($X129="","",BA129/$X$10)</f>
        <v>0</v>
      </c>
      <c r="CU129" s="18">
        <f>IF($X129="","",BB129/$X$10)</f>
        <v>0</v>
      </c>
      <c r="CV129" s="18">
        <f>IF($X129="","",BC129/$X$10)</f>
        <v>0</v>
      </c>
      <c r="CW129" s="18">
        <f>IF($X129="","",BD129/$X$10)</f>
        <v>0</v>
      </c>
      <c r="CX129" s="18">
        <f>IF($X129="","",BE129/$X$10)</f>
        <v>0</v>
      </c>
      <c r="CY129" s="18">
        <f>IF($X129="","",BF129/$X$10)</f>
        <v>0</v>
      </c>
      <c r="CZ129" s="18">
        <f>IF($X129="","",BG129/$X$10)</f>
        <v>0</v>
      </c>
      <c r="DA129" s="18">
        <f>IF($X129="","",BH129/$X$10)</f>
        <v>0</v>
      </c>
      <c r="DB129" s="18">
        <f>IF($X129="","",BI129/$X$10)</f>
        <v>0</v>
      </c>
      <c r="DC129" s="18">
        <f>IF($X129="","",BJ129/$X$10)</f>
        <v>0</v>
      </c>
      <c r="DD129" s="18">
        <f>IF($X129="","",BK129/$X$10)</f>
        <v>0</v>
      </c>
      <c r="DE129" s="18">
        <f>IF($X129="","",BL129/$X$10)</f>
        <v>0</v>
      </c>
      <c r="DF129" s="18">
        <f>IF($X129="","",BM129/$X$10)</f>
        <v>0</v>
      </c>
      <c r="DG129" s="18">
        <f t="shared" si="10"/>
        <v>0</v>
      </c>
      <c r="DH129" s="18">
        <f>IF($X129="","",BO129/$X$10)</f>
        <v>0</v>
      </c>
      <c r="DI129" s="18">
        <f>IF($X129="","",BP129/$X$10)</f>
        <v>0</v>
      </c>
      <c r="DJ129" s="18">
        <f>IF($X129="","",BQ129/$X$10)</f>
        <v>0</v>
      </c>
      <c r="DK129" s="18">
        <f>IF($X129="","",BR129/$X$10)</f>
        <v>0</v>
      </c>
      <c r="DL129" s="18">
        <f>IF($X129="","",BS129/$X$10)</f>
        <v>0</v>
      </c>
      <c r="DM129" s="18">
        <f>IF($X129="","",BT129/$X$10)</f>
        <v>0</v>
      </c>
      <c r="DN129" s="18">
        <f t="shared" si="13"/>
        <v>0</v>
      </c>
      <c r="DO129" s="16">
        <f>IF($X129="","",SUM(Tabla152[[#This Row],[PODRIDO]],Tabla152[[#This Row],[HONGO]],Tabla152[[#This Row],[PICADO DE AVE CON PUDRICIÓN]],Tabla152[[#This Row],[FUMAGINA]])/$X$10)</f>
        <v>0</v>
      </c>
      <c r="DP129" s="16">
        <f>IF($X129="","",SUM(Tabla152[[#This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4.7619047619047616E-2</v>
      </c>
      <c r="DQ129" s="16">
        <f>IF($X129="","",SUM(Tabla152[[#This Row],[BLANDO]:[COLAPSADO]])/$X$10)</f>
        <v>0</v>
      </c>
      <c r="DR129" s="16">
        <f>IF($X129="","",SUM(Tabla152[[#This Row],[DESHIDRATADO LEVE]:[DESHIDRATADO INMADURO]])/$X$10)</f>
        <v>0</v>
      </c>
      <c r="DS129" s="18">
        <f t="shared" si="7"/>
        <v>0</v>
      </c>
      <c r="DT129" s="16">
        <f>IF($X129="","",SUM(Tabla152[[#This Row],[PRESENCIA DE LARVA]],Tabla152[[#This Row],[CHANCHITO BLANCO]])/$X$10)</f>
        <v>0</v>
      </c>
      <c r="DU129" s="18">
        <f>IF($X129="","",SUM(Tabla152[[#This Row],[ROJO GRADO 2 A MÁS]],Tabla152[[#This Row],[IMMADURO VERDE]],Tabla152[[#This Row],[DESORDEN POR MADURACIÓN]],Tabla152[[#This Row],[ARO PEDICELAR VERDE EXTREMO]])/$X$10)</f>
        <v>0</v>
      </c>
      <c r="DV129" s="16">
        <f>IF($X129="","",SUM(Tabla152[[#This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29" s="16">
        <f t="shared" si="8"/>
        <v>0</v>
      </c>
      <c r="DX129" s="16">
        <f>IF($X129="","",AJ129/$X$10)</f>
        <v>0</v>
      </c>
      <c r="DY129" s="16">
        <f>IF($X129="","",SUM(Tabla152[[#This Row],[PRESENCIA DE COROLA]],Tabla152[[#This Row],[PRESENCIA DE RESTO FLORAL VERDE]],Tabla152[[#This Row],[PRESENCIA DE PEDÚNCULO]])/$X$10)</f>
        <v>0</v>
      </c>
      <c r="DZ129" s="16">
        <f>IF($X129="","",SUM(Tabla152[[#This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30" spans="1:130" x14ac:dyDescent="0.3">
      <c r="A130" s="9">
        <f>IF(W130="","",IF(ROW()=10,1,IF(W130=W129,A129,MAX($A$9:A129)+1)))</f>
        <v>40</v>
      </c>
      <c r="B130" s="9">
        <f>WEEKNUM(Tabla152[[#This Row],[FECHA DE COSECHA]],21)</f>
        <v>36</v>
      </c>
      <c r="C130" s="9"/>
      <c r="D130" s="17">
        <v>46268</v>
      </c>
      <c r="E130" s="17">
        <v>46268</v>
      </c>
      <c r="F130" s="9">
        <v>1</v>
      </c>
      <c r="G130" s="9" t="s">
        <v>77</v>
      </c>
      <c r="H130" s="9" t="s">
        <v>144</v>
      </c>
      <c r="I130" s="9" t="s">
        <v>188</v>
      </c>
      <c r="J130" s="9" t="s">
        <v>135</v>
      </c>
      <c r="K130" s="9" t="s">
        <v>146</v>
      </c>
      <c r="L130" s="9" t="s">
        <v>131</v>
      </c>
      <c r="M130" s="9" t="s">
        <v>239</v>
      </c>
      <c r="N130" s="9" t="s">
        <v>136</v>
      </c>
      <c r="O130" s="9" t="s">
        <v>137</v>
      </c>
      <c r="P130" s="9" t="s">
        <v>243</v>
      </c>
      <c r="Q130" s="9"/>
      <c r="R130" s="9">
        <v>7</v>
      </c>
      <c r="S130">
        <v>75459229</v>
      </c>
      <c r="T130" t="s">
        <v>234</v>
      </c>
      <c r="U130" s="9" t="s">
        <v>147</v>
      </c>
      <c r="V130" s="9"/>
      <c r="W130" s="19" t="s">
        <v>193</v>
      </c>
      <c r="X130" s="9">
        <v>66</v>
      </c>
      <c r="Y130" s="9">
        <v>1</v>
      </c>
      <c r="Z130" s="9">
        <v>5</v>
      </c>
      <c r="AA130" s="9" t="str">
        <f>IF(Tabla152[[#This Row],[NOTA]]=15,"CUMPLE","NO CUMPLE")</f>
        <v>NO CUMPLE</v>
      </c>
      <c r="AB130" s="9" t="str">
        <f>IF(COUNTIF($A$10:A130,A130)=1,IF(COUNTIFS($A:$A,A130,$AA:$AA,"NO CUMPLE")&gt;0,"NO CUMPLE","CUMPLE"),"")</f>
        <v>NO CUMPLE</v>
      </c>
      <c r="AC130" s="9" t="s">
        <v>140</v>
      </c>
      <c r="AD130" s="8"/>
      <c r="AE130" s="8"/>
      <c r="AF130" s="8"/>
      <c r="AG130" s="8"/>
      <c r="AH130" s="8"/>
      <c r="AI130" s="8"/>
      <c r="AJ130" s="8">
        <v>1</v>
      </c>
      <c r="AK130" s="8"/>
      <c r="AL130" s="8"/>
      <c r="AM130" s="8"/>
      <c r="AN130" s="8"/>
      <c r="AO130" s="8"/>
      <c r="AP130" s="8"/>
      <c r="AQ130" s="7"/>
      <c r="AR130" s="7"/>
      <c r="AS130" s="7"/>
      <c r="AT130" s="7"/>
      <c r="AU130" s="7"/>
      <c r="AV130" s="7"/>
      <c r="AW130" s="7">
        <v>1</v>
      </c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18"/>
      <c r="BX130" s="18">
        <f>IF($X130="","",AE130/$X$10)</f>
        <v>0</v>
      </c>
      <c r="BY130" s="18">
        <f>IF($X130="","",AF130/$X$10)</f>
        <v>0</v>
      </c>
      <c r="BZ130" s="18">
        <f>IF($X130="","",AG130/$X$10)</f>
        <v>0</v>
      </c>
      <c r="CA130" s="18">
        <f>IF($X130="","",AH130/$X$10)</f>
        <v>0</v>
      </c>
      <c r="CB130" s="18">
        <f t="shared" si="9"/>
        <v>0</v>
      </c>
      <c r="CC130" s="18">
        <f>IF($X130="","",AJ130/$X$10)</f>
        <v>1.5873015873015872E-2</v>
      </c>
      <c r="CD130" s="18">
        <f>IF($X130="","",AK130/$X$10)</f>
        <v>0</v>
      </c>
      <c r="CE130" s="18">
        <f>IF($X130="","",AL130/$X$10)</f>
        <v>0</v>
      </c>
      <c r="CF130" s="18">
        <f>IF($X130="","",AM130/$X$10)</f>
        <v>0</v>
      </c>
      <c r="CG130" s="18">
        <f>IF($X130="","",AN130/$X$10)</f>
        <v>0</v>
      </c>
      <c r="CH130" s="18">
        <f>IF($X130="","",AO130/$X$10)</f>
        <v>0</v>
      </c>
      <c r="CI130" s="18">
        <f>IF($X130="","",AP130/$X$10)</f>
        <v>0</v>
      </c>
      <c r="CJ130" s="18">
        <f>IF($X130="","",AQ130/$X$10)</f>
        <v>0</v>
      </c>
      <c r="CK130" s="18">
        <f>IF($X130="","",AR130/$X$10)</f>
        <v>0</v>
      </c>
      <c r="CL130" s="18">
        <f>IF($X130="","",AS130/$X$10)</f>
        <v>0</v>
      </c>
      <c r="CM130" s="18">
        <f>IF($X130="","",AT130/$X$10)</f>
        <v>0</v>
      </c>
      <c r="CN130" s="18">
        <f>IF($X130="","",AU130/$X$10)</f>
        <v>0</v>
      </c>
      <c r="CO130" s="18">
        <f>IF($X130="","",AV130/$X$10)</f>
        <v>0</v>
      </c>
      <c r="CP130" s="18">
        <f>IF($X130="","",AW130/$X$10)</f>
        <v>1.5873015873015872E-2</v>
      </c>
      <c r="CQ130" s="18">
        <f>IF($X130="","",AX130/$X$10)</f>
        <v>0</v>
      </c>
      <c r="CR130" s="18">
        <f>IF($X130="","",AY130/$X$10)</f>
        <v>0</v>
      </c>
      <c r="CS130" s="18">
        <f>IF($X130="","",AZ130/$X$10)</f>
        <v>0</v>
      </c>
      <c r="CT130" s="18">
        <f>IF($X130="","",BA130/$X$10)</f>
        <v>0</v>
      </c>
      <c r="CU130" s="18">
        <f>IF($X130="","",BB130/$X$10)</f>
        <v>0</v>
      </c>
      <c r="CV130" s="18">
        <f>IF($X130="","",BC130/$X$10)</f>
        <v>0</v>
      </c>
      <c r="CW130" s="18">
        <f>IF($X130="","",BD130/$X$10)</f>
        <v>0</v>
      </c>
      <c r="CX130" s="18">
        <f>IF($X130="","",BE130/$X$10)</f>
        <v>0</v>
      </c>
      <c r="CY130" s="18">
        <f>IF($X130="","",BF130/$X$10)</f>
        <v>0</v>
      </c>
      <c r="CZ130" s="18">
        <f>IF($X130="","",BG130/$X$10)</f>
        <v>0</v>
      </c>
      <c r="DA130" s="18">
        <f>IF($X130="","",BH130/$X$10)</f>
        <v>0</v>
      </c>
      <c r="DB130" s="18">
        <f>IF($X130="","",BI130/$X$10)</f>
        <v>0</v>
      </c>
      <c r="DC130" s="18">
        <f>IF($X130="","",BJ130/$X$10)</f>
        <v>0</v>
      </c>
      <c r="DD130" s="18">
        <f>IF($X130="","",BK130/$X$10)</f>
        <v>0</v>
      </c>
      <c r="DE130" s="18">
        <f>IF($X130="","",BL130/$X$10)</f>
        <v>0</v>
      </c>
      <c r="DF130" s="18">
        <f>IF($X130="","",BM130/$X$10)</f>
        <v>0</v>
      </c>
      <c r="DG130" s="18">
        <f t="shared" si="10"/>
        <v>0</v>
      </c>
      <c r="DH130" s="18">
        <f>IF($X130="","",BO130/$X$10)</f>
        <v>0</v>
      </c>
      <c r="DI130" s="18">
        <f>IF($X130="","",BP130/$X$10)</f>
        <v>0</v>
      </c>
      <c r="DJ130" s="18">
        <f>IF($X130="","",BQ130/$X$10)</f>
        <v>0</v>
      </c>
      <c r="DK130" s="18">
        <f>IF($X130="","",BR130/$X$10)</f>
        <v>0</v>
      </c>
      <c r="DL130" s="18">
        <f>IF($X130="","",BS130/$X$10)</f>
        <v>0</v>
      </c>
      <c r="DM130" s="18">
        <f>IF($X130="","",BT130/$X$10)</f>
        <v>0</v>
      </c>
      <c r="DN130" s="18">
        <f t="shared" si="13"/>
        <v>0</v>
      </c>
      <c r="DO130" s="16">
        <f>IF($X130="","",SUM(Tabla152[[#This Row],[PODRIDO]],Tabla152[[#This Row],[HONGO]],Tabla152[[#This Row],[PICADO DE AVE CON PUDRICIÓN]],Tabla152[[#This Row],[FUMAGINA]])/$X$10)</f>
        <v>0</v>
      </c>
      <c r="DP130" s="16">
        <f>IF($X130="","",SUM(Tabla152[[#This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1.5873015873015872E-2</v>
      </c>
      <c r="DQ130" s="16">
        <f>IF($X130="","",SUM(Tabla152[[#This Row],[BLANDO]:[COLAPSADO]])/$X$10)</f>
        <v>0</v>
      </c>
      <c r="DR130" s="16">
        <f>IF($X130="","",SUM(Tabla152[[#This Row],[DESHIDRATADO LEVE]:[DESHIDRATADO INMADURO]])/$X$10)</f>
        <v>0</v>
      </c>
      <c r="DS130" s="18">
        <f t="shared" si="7"/>
        <v>0</v>
      </c>
      <c r="DT130" s="16">
        <f>IF($X130="","",SUM(Tabla152[[#This Row],[PRESENCIA DE LARVA]],Tabla152[[#This Row],[CHANCHITO BLANCO]])/$X$10)</f>
        <v>0</v>
      </c>
      <c r="DU130" s="18">
        <f>IF($X130="","",SUM(Tabla152[[#This Row],[ROJO GRADO 2 A MÁS]],Tabla152[[#This Row],[IMMADURO VERDE]],Tabla152[[#This Row],[DESORDEN POR MADURACIÓN]],Tabla152[[#This Row],[ARO PEDICELAR VERDE EXTREMO]])/$X$10)</f>
        <v>0</v>
      </c>
      <c r="DV130" s="16">
        <f>IF($X130="","",SUM(Tabla152[[#This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30" s="16">
        <f t="shared" si="8"/>
        <v>0</v>
      </c>
      <c r="DX130" s="16">
        <f>IF($X130="","",AJ130/$X$10)</f>
        <v>1.5873015873015872E-2</v>
      </c>
      <c r="DY130" s="16">
        <f>IF($X130="","",SUM(Tabla152[[#This Row],[PRESENCIA DE COROLA]],Tabla152[[#This Row],[PRESENCIA DE RESTO FLORAL VERDE]],Tabla152[[#This Row],[PRESENCIA DE PEDÚNCULO]])/$X$10)</f>
        <v>0</v>
      </c>
      <c r="DZ130" s="16">
        <f>IF($X130="","",SUM(Tabla152[[#This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31" spans="1:130" x14ac:dyDescent="0.3">
      <c r="A131" s="9">
        <f>IF(W131="","",IF(ROW()=10,1,IF(W131=W130,A130,MAX($A$9:A130)+1)))</f>
        <v>40</v>
      </c>
      <c r="B131" s="9">
        <f>WEEKNUM(Tabla152[[#This Row],[FECHA DE COSECHA]],21)</f>
        <v>36</v>
      </c>
      <c r="C131" s="9"/>
      <c r="D131" s="17">
        <v>46268</v>
      </c>
      <c r="E131" s="17">
        <v>46268</v>
      </c>
      <c r="F131" s="9">
        <v>1</v>
      </c>
      <c r="G131" s="9" t="s">
        <v>77</v>
      </c>
      <c r="H131" s="9" t="s">
        <v>144</v>
      </c>
      <c r="I131" s="9" t="s">
        <v>188</v>
      </c>
      <c r="J131" s="9" t="s">
        <v>135</v>
      </c>
      <c r="K131" s="9" t="s">
        <v>146</v>
      </c>
      <c r="L131" s="9" t="s">
        <v>131</v>
      </c>
      <c r="M131" s="9" t="s">
        <v>239</v>
      </c>
      <c r="N131" s="9" t="s">
        <v>136</v>
      </c>
      <c r="O131" s="9" t="s">
        <v>137</v>
      </c>
      <c r="P131" s="9" t="s">
        <v>243</v>
      </c>
      <c r="Q131" s="9"/>
      <c r="R131" s="9">
        <v>7</v>
      </c>
      <c r="S131">
        <v>75459229</v>
      </c>
      <c r="T131" t="s">
        <v>234</v>
      </c>
      <c r="U131" s="9" t="s">
        <v>147</v>
      </c>
      <c r="V131" s="9"/>
      <c r="W131" s="19" t="s">
        <v>193</v>
      </c>
      <c r="X131" s="9">
        <v>66</v>
      </c>
      <c r="Y131" s="9">
        <v>2</v>
      </c>
      <c r="Z131" s="9">
        <v>15</v>
      </c>
      <c r="AA131" s="9" t="str">
        <f>IF(Tabla152[[#This Row],[NOTA]]=15,"CUMPLE","NO CUMPLE")</f>
        <v>CUMPLE</v>
      </c>
      <c r="AB131" s="9" t="str">
        <f>IF(COUNTIF($A$10:A131,A131)=1,IF(COUNTIFS($A:$A,A131,$AA:$AA,"NO CUMPLE")&gt;0,"NO CUMPLE","CUMPLE"),"")</f>
        <v/>
      </c>
      <c r="AC131" s="9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18"/>
      <c r="BX131" s="18">
        <f>IF($X131="","",AE131/$X$10)</f>
        <v>0</v>
      </c>
      <c r="BY131" s="18">
        <f>IF($X131="","",AF131/$X$10)</f>
        <v>0</v>
      </c>
      <c r="BZ131" s="18">
        <f>IF($X131="","",AG131/$X$10)</f>
        <v>0</v>
      </c>
      <c r="CA131" s="18">
        <f>IF($X131="","",AH131/$X$10)</f>
        <v>0</v>
      </c>
      <c r="CB131" s="18">
        <f t="shared" si="9"/>
        <v>0</v>
      </c>
      <c r="CC131" s="18">
        <f>IF($X131="","",AJ131/$X$10)</f>
        <v>0</v>
      </c>
      <c r="CD131" s="18">
        <f>IF($X131="","",AK131/$X$10)</f>
        <v>0</v>
      </c>
      <c r="CE131" s="18">
        <f>IF($X131="","",AL131/$X$10)</f>
        <v>0</v>
      </c>
      <c r="CF131" s="18">
        <f>IF($X131="","",AM131/$X$10)</f>
        <v>0</v>
      </c>
      <c r="CG131" s="18">
        <f>IF($X131="","",AN131/$X$10)</f>
        <v>0</v>
      </c>
      <c r="CH131" s="18">
        <f>IF($X131="","",AO131/$X$10)</f>
        <v>0</v>
      </c>
      <c r="CI131" s="18">
        <f>IF($X131="","",AP131/$X$10)</f>
        <v>0</v>
      </c>
      <c r="CJ131" s="18">
        <f>IF($X131="","",AQ131/$X$10)</f>
        <v>0</v>
      </c>
      <c r="CK131" s="18">
        <f>IF($X131="","",AR131/$X$10)</f>
        <v>0</v>
      </c>
      <c r="CL131" s="18">
        <f>IF($X131="","",AS131/$X$10)</f>
        <v>0</v>
      </c>
      <c r="CM131" s="18">
        <f>IF($X131="","",AT131/$X$10)</f>
        <v>0</v>
      </c>
      <c r="CN131" s="18">
        <f>IF($X131="","",AU131/$X$10)</f>
        <v>0</v>
      </c>
      <c r="CO131" s="18">
        <f>IF($X131="","",AV131/$X$10)</f>
        <v>0</v>
      </c>
      <c r="CP131" s="18">
        <f>IF($X131="","",AW131/$X$10)</f>
        <v>0</v>
      </c>
      <c r="CQ131" s="18">
        <f>IF($X131="","",AX131/$X$10)</f>
        <v>0</v>
      </c>
      <c r="CR131" s="18">
        <f>IF($X131="","",AY131/$X$10)</f>
        <v>0</v>
      </c>
      <c r="CS131" s="18">
        <f>IF($X131="","",AZ131/$X$10)</f>
        <v>0</v>
      </c>
      <c r="CT131" s="18">
        <f>IF($X131="","",BA131/$X$10)</f>
        <v>0</v>
      </c>
      <c r="CU131" s="18">
        <f>IF($X131="","",BB131/$X$10)</f>
        <v>0</v>
      </c>
      <c r="CV131" s="18">
        <f>IF($X131="","",BC131/$X$10)</f>
        <v>0</v>
      </c>
      <c r="CW131" s="18">
        <f>IF($X131="","",BD131/$X$10)</f>
        <v>0</v>
      </c>
      <c r="CX131" s="18">
        <f>IF($X131="","",BE131/$X$10)</f>
        <v>0</v>
      </c>
      <c r="CY131" s="18">
        <f>IF($X131="","",BF131/$X$10)</f>
        <v>0</v>
      </c>
      <c r="CZ131" s="18">
        <f>IF($X131="","",BG131/$X$10)</f>
        <v>0</v>
      </c>
      <c r="DA131" s="18">
        <f>IF($X131="","",BH131/$X$10)</f>
        <v>0</v>
      </c>
      <c r="DB131" s="18">
        <f>IF($X131="","",BI131/$X$10)</f>
        <v>0</v>
      </c>
      <c r="DC131" s="18">
        <f>IF($X131="","",BJ131/$X$10)</f>
        <v>0</v>
      </c>
      <c r="DD131" s="18">
        <f>IF($X131="","",BK131/$X$10)</f>
        <v>0</v>
      </c>
      <c r="DE131" s="18">
        <f>IF($X131="","",BL131/$X$10)</f>
        <v>0</v>
      </c>
      <c r="DF131" s="18">
        <f>IF($X131="","",BM131/$X$10)</f>
        <v>0</v>
      </c>
      <c r="DG131" s="18">
        <f t="shared" si="10"/>
        <v>0</v>
      </c>
      <c r="DH131" s="18">
        <f>IF($X131="","",BO131/$X$10)</f>
        <v>0</v>
      </c>
      <c r="DI131" s="18">
        <f>IF($X131="","",BP131/$X$10)</f>
        <v>0</v>
      </c>
      <c r="DJ131" s="18">
        <f>IF($X131="","",BQ131/$X$10)</f>
        <v>0</v>
      </c>
      <c r="DK131" s="18">
        <f>IF($X131="","",BR131/$X$10)</f>
        <v>0</v>
      </c>
      <c r="DL131" s="18">
        <f>IF($X131="","",BS131/$X$10)</f>
        <v>0</v>
      </c>
      <c r="DM131" s="18">
        <f>IF($X131="","",BT131/$X$10)</f>
        <v>0</v>
      </c>
      <c r="DN131" s="18">
        <f t="shared" si="13"/>
        <v>0</v>
      </c>
      <c r="DO131" s="16">
        <f>IF($X131="","",SUM(Tabla152[[#This Row],[PODRIDO]],Tabla152[[#This Row],[HONGO]],Tabla152[[#This Row],[PICADO DE AVE CON PUDRICIÓN]],Tabla152[[#This Row],[FUMAGINA]])/$X$10)</f>
        <v>0</v>
      </c>
      <c r="DP131" s="16">
        <f>IF($X131="","",SUM(Tabla152[[#This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31" s="16">
        <f>IF($X131="","",SUM(Tabla152[[#This Row],[BLANDO]:[COLAPSADO]])/$X$10)</f>
        <v>0</v>
      </c>
      <c r="DR131" s="16">
        <f>IF($X131="","",SUM(Tabla152[[#This Row],[DESHIDRATADO LEVE]:[DESHIDRATADO INMADURO]])/$X$10)</f>
        <v>0</v>
      </c>
      <c r="DS131" s="18">
        <f t="shared" si="7"/>
        <v>0</v>
      </c>
      <c r="DT131" s="16">
        <f>IF($X131="","",SUM(Tabla152[[#This Row],[PRESENCIA DE LARVA]],Tabla152[[#This Row],[CHANCHITO BLANCO]])/$X$10)</f>
        <v>0</v>
      </c>
      <c r="DU131" s="18">
        <f>IF($X131="","",SUM(Tabla152[[#This Row],[ROJO GRADO 2 A MÁS]],Tabla152[[#This Row],[IMMADURO VERDE]],Tabla152[[#This Row],[DESORDEN POR MADURACIÓN]],Tabla152[[#This Row],[ARO PEDICELAR VERDE EXTREMO]])/$X$10)</f>
        <v>0</v>
      </c>
      <c r="DV131" s="16">
        <f>IF($X131="","",SUM(Tabla152[[#This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31" s="16">
        <f t="shared" si="8"/>
        <v>0</v>
      </c>
      <c r="DX131" s="16">
        <f>IF($X131="","",AJ131/$X$10)</f>
        <v>0</v>
      </c>
      <c r="DY131" s="16">
        <f>IF($X131="","",SUM(Tabla152[[#This Row],[PRESENCIA DE COROLA]],Tabla152[[#This Row],[PRESENCIA DE RESTO FLORAL VERDE]],Tabla152[[#This Row],[PRESENCIA DE PEDÚNCULO]])/$X$10)</f>
        <v>0</v>
      </c>
      <c r="DZ131" s="16">
        <f>IF($X131="","",SUM(Tabla152[[#This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32" spans="1:130" x14ac:dyDescent="0.3">
      <c r="A132" s="9">
        <f>IF(W132="","",IF(ROW()=10,1,IF(W132=W131,A131,MAX($A$9:A131)+1)))</f>
        <v>40</v>
      </c>
      <c r="B132" s="9">
        <f>WEEKNUM(Tabla152[[#This Row],[FECHA DE COSECHA]],21)</f>
        <v>36</v>
      </c>
      <c r="C132" s="9"/>
      <c r="D132" s="17">
        <v>46268</v>
      </c>
      <c r="E132" s="17">
        <v>46268</v>
      </c>
      <c r="F132" s="9">
        <v>1</v>
      </c>
      <c r="G132" s="9" t="s">
        <v>77</v>
      </c>
      <c r="H132" s="9" t="s">
        <v>144</v>
      </c>
      <c r="I132" s="9" t="s">
        <v>188</v>
      </c>
      <c r="J132" s="9" t="s">
        <v>135</v>
      </c>
      <c r="K132" s="9" t="s">
        <v>146</v>
      </c>
      <c r="L132" s="9" t="s">
        <v>131</v>
      </c>
      <c r="M132" s="9" t="s">
        <v>239</v>
      </c>
      <c r="N132" s="9" t="s">
        <v>136</v>
      </c>
      <c r="O132" s="9" t="s">
        <v>137</v>
      </c>
      <c r="P132" s="9" t="s">
        <v>243</v>
      </c>
      <c r="Q132" s="9"/>
      <c r="R132" s="9">
        <v>7</v>
      </c>
      <c r="S132">
        <v>75459229</v>
      </c>
      <c r="T132" t="s">
        <v>234</v>
      </c>
      <c r="U132" s="9" t="s">
        <v>147</v>
      </c>
      <c r="V132" s="9"/>
      <c r="W132" s="19" t="s">
        <v>193</v>
      </c>
      <c r="X132" s="9">
        <v>66</v>
      </c>
      <c r="Y132" s="9">
        <v>3</v>
      </c>
      <c r="Z132" s="9">
        <v>5</v>
      </c>
      <c r="AA132" s="9" t="str">
        <f>IF(Tabla152[[#This Row],[NOTA]]=15,"CUMPLE","NO CUMPLE")</f>
        <v>NO CUMPLE</v>
      </c>
      <c r="AB132" s="9" t="str">
        <f>IF(COUNTIF($A$10:A132,A132)=1,IF(COUNTIFS($A:$A,A132,$AA:$AA,"NO CUMPLE")&gt;0,"NO CUMPLE","CUMPLE"),"")</f>
        <v/>
      </c>
      <c r="AC132" s="9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7">
        <v>1</v>
      </c>
      <c r="AR132" s="7"/>
      <c r="AS132" s="7"/>
      <c r="AT132" s="7"/>
      <c r="AU132" s="7"/>
      <c r="AV132" s="7"/>
      <c r="AW132" s="7">
        <v>2</v>
      </c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18"/>
      <c r="BX132" s="18">
        <f>IF($X132="","",AE132/$X$10)</f>
        <v>0</v>
      </c>
      <c r="BY132" s="18">
        <f>IF($X132="","",AF132/$X$10)</f>
        <v>0</v>
      </c>
      <c r="BZ132" s="18">
        <f>IF($X132="","",AG132/$X$10)</f>
        <v>0</v>
      </c>
      <c r="CA132" s="18">
        <f>IF($X132="","",AH132/$X$10)</f>
        <v>0</v>
      </c>
      <c r="CB132" s="18">
        <f t="shared" si="9"/>
        <v>0</v>
      </c>
      <c r="CC132" s="18">
        <f>IF($X132="","",AJ132/$X$10)</f>
        <v>0</v>
      </c>
      <c r="CD132" s="18">
        <f>IF($X132="","",AK132/$X$10)</f>
        <v>0</v>
      </c>
      <c r="CE132" s="18">
        <f>IF($X132="","",AL132/$X$10)</f>
        <v>0</v>
      </c>
      <c r="CF132" s="18">
        <f>IF($X132="","",AM132/$X$10)</f>
        <v>0</v>
      </c>
      <c r="CG132" s="18">
        <f>IF($X132="","",AN132/$X$10)</f>
        <v>0</v>
      </c>
      <c r="CH132" s="18">
        <f>IF($X132="","",AO132/$X$10)</f>
        <v>0</v>
      </c>
      <c r="CI132" s="18">
        <f>IF($X132="","",AP132/$X$10)</f>
        <v>0</v>
      </c>
      <c r="CJ132" s="18">
        <f>IF($X132="","",AQ132/$X$10)</f>
        <v>1.5873015873015872E-2</v>
      </c>
      <c r="CK132" s="18">
        <f>IF($X132="","",AR132/$X$10)</f>
        <v>0</v>
      </c>
      <c r="CL132" s="18">
        <f>IF($X132="","",AS132/$X$10)</f>
        <v>0</v>
      </c>
      <c r="CM132" s="18">
        <f>IF($X132="","",AT132/$X$10)</f>
        <v>0</v>
      </c>
      <c r="CN132" s="18">
        <f>IF($X132="","",AU132/$X$10)</f>
        <v>0</v>
      </c>
      <c r="CO132" s="18">
        <f>IF($X132="","",AV132/$X$10)</f>
        <v>0</v>
      </c>
      <c r="CP132" s="18">
        <f>IF($X132="","",AW132/$X$10)</f>
        <v>3.1746031746031744E-2</v>
      </c>
      <c r="CQ132" s="18">
        <f>IF($X132="","",AX132/$X$10)</f>
        <v>0</v>
      </c>
      <c r="CR132" s="18">
        <f>IF($X132="","",AY132/$X$10)</f>
        <v>0</v>
      </c>
      <c r="CS132" s="18">
        <f>IF($X132="","",AZ132/$X$10)</f>
        <v>0</v>
      </c>
      <c r="CT132" s="18">
        <f>IF($X132="","",BA132/$X$10)</f>
        <v>0</v>
      </c>
      <c r="CU132" s="18">
        <f>IF($X132="","",BB132/$X$10)</f>
        <v>0</v>
      </c>
      <c r="CV132" s="18">
        <f>IF($X132="","",BC132/$X$10)</f>
        <v>0</v>
      </c>
      <c r="CW132" s="18">
        <f>IF($X132="","",BD132/$X$10)</f>
        <v>0</v>
      </c>
      <c r="CX132" s="18">
        <f>IF($X132="","",BE132/$X$10)</f>
        <v>0</v>
      </c>
      <c r="CY132" s="18">
        <f>IF($X132="","",BF132/$X$10)</f>
        <v>0</v>
      </c>
      <c r="CZ132" s="18">
        <f>IF($X132="","",BG132/$X$10)</f>
        <v>0</v>
      </c>
      <c r="DA132" s="18">
        <f>IF($X132="","",BH132/$X$10)</f>
        <v>0</v>
      </c>
      <c r="DB132" s="18">
        <f>IF($X132="","",BI132/$X$10)</f>
        <v>0</v>
      </c>
      <c r="DC132" s="18">
        <f>IF($X132="","",BJ132/$X$10)</f>
        <v>0</v>
      </c>
      <c r="DD132" s="18">
        <f>IF($X132="","",BK132/$X$10)</f>
        <v>0</v>
      </c>
      <c r="DE132" s="18">
        <f>IF($X132="","",BL132/$X$10)</f>
        <v>0</v>
      </c>
      <c r="DF132" s="18">
        <f>IF($X132="","",BM132/$X$10)</f>
        <v>0</v>
      </c>
      <c r="DG132" s="18">
        <f t="shared" si="10"/>
        <v>0</v>
      </c>
      <c r="DH132" s="18">
        <f>IF($X132="","",BO132/$X$10)</f>
        <v>0</v>
      </c>
      <c r="DI132" s="18">
        <f>IF($X132="","",BP132/$X$10)</f>
        <v>0</v>
      </c>
      <c r="DJ132" s="18">
        <f>IF($X132="","",BQ132/$X$10)</f>
        <v>0</v>
      </c>
      <c r="DK132" s="18">
        <f>IF($X132="","",BR132/$X$10)</f>
        <v>0</v>
      </c>
      <c r="DL132" s="18">
        <f>IF($X132="","",BS132/$X$10)</f>
        <v>0</v>
      </c>
      <c r="DM132" s="18">
        <f>IF($X132="","",BT132/$X$10)</f>
        <v>0</v>
      </c>
      <c r="DN132" s="18">
        <f t="shared" si="13"/>
        <v>0</v>
      </c>
      <c r="DO132" s="16">
        <f>IF($X132="","",SUM(Tabla152[[#This Row],[PODRIDO]],Tabla152[[#This Row],[HONGO]],Tabla152[[#This Row],[PICADO DE AVE CON PUDRICIÓN]],Tabla152[[#This Row],[FUMAGINA]])/$X$10)</f>
        <v>0</v>
      </c>
      <c r="DP132" s="16">
        <f>IF($X132="","",SUM(Tabla152[[#This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132" s="16">
        <f>IF($X132="","",SUM(Tabla152[[#This Row],[BLANDO]:[COLAPSADO]])/$X$10)</f>
        <v>0</v>
      </c>
      <c r="DR132" s="16">
        <f>IF($X132="","",SUM(Tabla152[[#This Row],[DESHIDRATADO LEVE]:[DESHIDRATADO INMADURO]])/$X$10)</f>
        <v>1.5873015873015872E-2</v>
      </c>
      <c r="DS132" s="18">
        <f t="shared" si="7"/>
        <v>0</v>
      </c>
      <c r="DT132" s="16">
        <f>IF($X132="","",SUM(Tabla152[[#This Row],[PRESENCIA DE LARVA]],Tabla152[[#This Row],[CHANCHITO BLANCO]])/$X$10)</f>
        <v>0</v>
      </c>
      <c r="DU132" s="18">
        <f>IF($X132="","",SUM(Tabla152[[#This Row],[ROJO GRADO 2 A MÁS]],Tabla152[[#This Row],[IMMADURO VERDE]],Tabla152[[#This Row],[DESORDEN POR MADURACIÓN]],Tabla152[[#This Row],[ARO PEDICELAR VERDE EXTREMO]])/$X$10)</f>
        <v>0</v>
      </c>
      <c r="DV132" s="16">
        <f>IF($X132="","",SUM(Tabla152[[#This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32" s="16">
        <f t="shared" si="8"/>
        <v>0</v>
      </c>
      <c r="DX132" s="16">
        <f>IF($X132="","",AJ132/$X$10)</f>
        <v>0</v>
      </c>
      <c r="DY132" s="16">
        <f>IF($X132="","",SUM(Tabla152[[#This Row],[PRESENCIA DE COROLA]],Tabla152[[#This Row],[PRESENCIA DE RESTO FLORAL VERDE]],Tabla152[[#This Row],[PRESENCIA DE PEDÚNCULO]])/$X$10)</f>
        <v>0</v>
      </c>
      <c r="DZ132" s="16">
        <f>IF($X132="","",SUM(Tabla152[[#This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33" spans="1:130" x14ac:dyDescent="0.3">
      <c r="A133" s="9">
        <f>IF(W133="","",IF(ROW()=10,1,IF(W133=W132,A132,MAX($A$9:A132)+1)))</f>
        <v>41</v>
      </c>
      <c r="B133" s="9">
        <f>WEEKNUM(Tabla152[[#This Row],[FECHA DE COSECHA]],21)</f>
        <v>36</v>
      </c>
      <c r="C133" s="9"/>
      <c r="D133" s="17">
        <v>46268</v>
      </c>
      <c r="E133" s="17">
        <v>46268</v>
      </c>
      <c r="F133" s="9">
        <v>1</v>
      </c>
      <c r="G133" s="9" t="s">
        <v>77</v>
      </c>
      <c r="H133" s="9" t="s">
        <v>144</v>
      </c>
      <c r="I133" s="9" t="s">
        <v>188</v>
      </c>
      <c r="J133" s="9" t="s">
        <v>135</v>
      </c>
      <c r="K133" s="9" t="s">
        <v>146</v>
      </c>
      <c r="L133" s="9" t="s">
        <v>131</v>
      </c>
      <c r="M133" s="9" t="s">
        <v>239</v>
      </c>
      <c r="N133" s="9" t="s">
        <v>136</v>
      </c>
      <c r="O133" s="9" t="s">
        <v>137</v>
      </c>
      <c r="P133" s="9" t="s">
        <v>243</v>
      </c>
      <c r="Q133" s="9"/>
      <c r="R133" s="9">
        <v>7</v>
      </c>
      <c r="S133">
        <v>75459229</v>
      </c>
      <c r="T133" t="s">
        <v>234</v>
      </c>
      <c r="U133" s="9" t="s">
        <v>147</v>
      </c>
      <c r="V133" s="9"/>
      <c r="W133" s="19" t="s">
        <v>194</v>
      </c>
      <c r="X133" s="9">
        <v>66</v>
      </c>
      <c r="Y133" s="9">
        <v>1</v>
      </c>
      <c r="Z133" s="9">
        <v>15</v>
      </c>
      <c r="AA133" s="9" t="str">
        <f>IF(Tabla152[[#This Row],[NOTA]]=15,"CUMPLE","NO CUMPLE")</f>
        <v>CUMPLE</v>
      </c>
      <c r="AB133" s="9" t="str">
        <f>IF(COUNTIF($A$10:A133,A133)=1,IF(COUNTIFS($A:$A,A133,$AA:$AA,"NO CUMPLE")&gt;0,"NO CUMPLE","CUMPLE"),"")</f>
        <v>NO CUMPLE</v>
      </c>
      <c r="AC133" s="9" t="s">
        <v>140</v>
      </c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18"/>
      <c r="BX133" s="18">
        <f>IF($X133="","",AE133/$X$10)</f>
        <v>0</v>
      </c>
      <c r="BY133" s="18">
        <f>IF($X133="","",AF133/$X$10)</f>
        <v>0</v>
      </c>
      <c r="BZ133" s="18">
        <f>IF($X133="","",AG133/$X$10)</f>
        <v>0</v>
      </c>
      <c r="CA133" s="18">
        <f>IF($X133="","",AH133/$X$10)</f>
        <v>0</v>
      </c>
      <c r="CB133" s="18">
        <f t="shared" si="9"/>
        <v>0</v>
      </c>
      <c r="CC133" s="18">
        <f>IF($X133="","",AJ133/$X$10)</f>
        <v>0</v>
      </c>
      <c r="CD133" s="18">
        <f>IF($X133="","",AK133/$X$10)</f>
        <v>0</v>
      </c>
      <c r="CE133" s="18">
        <f>IF($X133="","",AL133/$X$10)</f>
        <v>0</v>
      </c>
      <c r="CF133" s="18">
        <f>IF($X133="","",AM133/$X$10)</f>
        <v>0</v>
      </c>
      <c r="CG133" s="18">
        <f>IF($X133="","",AN133/$X$10)</f>
        <v>0</v>
      </c>
      <c r="CH133" s="18">
        <f>IF($X133="","",AO133/$X$10)</f>
        <v>0</v>
      </c>
      <c r="CI133" s="18">
        <f>IF($X133="","",AP133/$X$10)</f>
        <v>0</v>
      </c>
      <c r="CJ133" s="18">
        <f>IF($X133="","",AQ133/$X$10)</f>
        <v>0</v>
      </c>
      <c r="CK133" s="18">
        <f>IF($X133="","",AR133/$X$10)</f>
        <v>0</v>
      </c>
      <c r="CL133" s="18">
        <f>IF($X133="","",AS133/$X$10)</f>
        <v>0</v>
      </c>
      <c r="CM133" s="18">
        <f>IF($X133="","",AT133/$X$10)</f>
        <v>0</v>
      </c>
      <c r="CN133" s="18">
        <f>IF($X133="","",AU133/$X$10)</f>
        <v>0</v>
      </c>
      <c r="CO133" s="18">
        <f>IF($X133="","",AV133/$X$10)</f>
        <v>0</v>
      </c>
      <c r="CP133" s="18">
        <f>IF($X133="","",AW133/$X$10)</f>
        <v>0</v>
      </c>
      <c r="CQ133" s="18">
        <f>IF($X133="","",AX133/$X$10)</f>
        <v>0</v>
      </c>
      <c r="CR133" s="18">
        <f>IF($X133="","",AY133/$X$10)</f>
        <v>0</v>
      </c>
      <c r="CS133" s="18">
        <f>IF($X133="","",AZ133/$X$10)</f>
        <v>0</v>
      </c>
      <c r="CT133" s="18">
        <f>IF($X133="","",BA133/$X$10)</f>
        <v>0</v>
      </c>
      <c r="CU133" s="18">
        <f>IF($X133="","",BB133/$X$10)</f>
        <v>0</v>
      </c>
      <c r="CV133" s="18">
        <f>IF($X133="","",BC133/$X$10)</f>
        <v>0</v>
      </c>
      <c r="CW133" s="18">
        <f>IF($X133="","",BD133/$X$10)</f>
        <v>0</v>
      </c>
      <c r="CX133" s="18">
        <f>IF($X133="","",BE133/$X$10)</f>
        <v>0</v>
      </c>
      <c r="CY133" s="18">
        <f>IF($X133="","",BF133/$X$10)</f>
        <v>0</v>
      </c>
      <c r="CZ133" s="18">
        <f>IF($X133="","",BG133/$X$10)</f>
        <v>0</v>
      </c>
      <c r="DA133" s="18">
        <f>IF($X133="","",BH133/$X$10)</f>
        <v>0</v>
      </c>
      <c r="DB133" s="18">
        <f>IF($X133="","",BI133/$X$10)</f>
        <v>0</v>
      </c>
      <c r="DC133" s="18">
        <f>IF($X133="","",BJ133/$X$10)</f>
        <v>0</v>
      </c>
      <c r="DD133" s="18">
        <f>IF($X133="","",BK133/$X$10)</f>
        <v>0</v>
      </c>
      <c r="DE133" s="18">
        <f>IF($X133="","",BL133/$X$10)</f>
        <v>0</v>
      </c>
      <c r="DF133" s="18">
        <f>IF($X133="","",BM133/$X$10)</f>
        <v>0</v>
      </c>
      <c r="DG133" s="18">
        <f t="shared" si="10"/>
        <v>0</v>
      </c>
      <c r="DH133" s="18">
        <f>IF($X133="","",BO133/$X$10)</f>
        <v>0</v>
      </c>
      <c r="DI133" s="18">
        <f>IF($X133="","",BP133/$X$10)</f>
        <v>0</v>
      </c>
      <c r="DJ133" s="18">
        <f>IF($X133="","",BQ133/$X$10)</f>
        <v>0</v>
      </c>
      <c r="DK133" s="18">
        <f>IF($X133="","",BR133/$X$10)</f>
        <v>0</v>
      </c>
      <c r="DL133" s="18">
        <f>IF($X133="","",BS133/$X$10)</f>
        <v>0</v>
      </c>
      <c r="DM133" s="18">
        <f>IF($X133="","",BT133/$X$10)</f>
        <v>0</v>
      </c>
      <c r="DN133" s="18">
        <f t="shared" si="13"/>
        <v>0</v>
      </c>
      <c r="DO133" s="16">
        <f>IF($X133="","",SUM(Tabla152[[#This Row],[PODRIDO]],Tabla152[[#This Row],[HONGO]],Tabla152[[#This Row],[PICADO DE AVE CON PUDRICIÓN]],Tabla152[[#This Row],[FUMAGINA]])/$X$10)</f>
        <v>0</v>
      </c>
      <c r="DP133" s="16">
        <f>IF($X133="","",SUM(Tabla152[[#This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33" s="16">
        <f>IF($X133="","",SUM(Tabla152[[#This Row],[BLANDO]:[COLAPSADO]])/$X$10)</f>
        <v>0</v>
      </c>
      <c r="DR133" s="16">
        <f>IF($X133="","",SUM(Tabla152[[#This Row],[DESHIDRATADO LEVE]:[DESHIDRATADO INMADURO]])/$X$10)</f>
        <v>0</v>
      </c>
      <c r="DS133" s="18">
        <f t="shared" si="7"/>
        <v>0</v>
      </c>
      <c r="DT133" s="16">
        <f>IF($X133="","",SUM(Tabla152[[#This Row],[PRESENCIA DE LARVA]],Tabla152[[#This Row],[CHANCHITO BLANCO]])/$X$10)</f>
        <v>0</v>
      </c>
      <c r="DU133" s="18">
        <f>IF($X133="","",SUM(Tabla152[[#This Row],[ROJO GRADO 2 A MÁS]],Tabla152[[#This Row],[IMMADURO VERDE]],Tabla152[[#This Row],[DESORDEN POR MADURACIÓN]],Tabla152[[#This Row],[ARO PEDICELAR VERDE EXTREMO]])/$X$10)</f>
        <v>0</v>
      </c>
      <c r="DV133" s="16">
        <f>IF($X133="","",SUM(Tabla152[[#This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33" s="16">
        <f t="shared" si="8"/>
        <v>0</v>
      </c>
      <c r="DX133" s="16">
        <f>IF($X133="","",AJ133/$X$10)</f>
        <v>0</v>
      </c>
      <c r="DY133" s="16">
        <f>IF($X133="","",SUM(Tabla152[[#This Row],[PRESENCIA DE COROLA]],Tabla152[[#This Row],[PRESENCIA DE RESTO FLORAL VERDE]],Tabla152[[#This Row],[PRESENCIA DE PEDÚNCULO]])/$X$10)</f>
        <v>0</v>
      </c>
      <c r="DZ133" s="16">
        <f>IF($X133="","",SUM(Tabla152[[#This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34" spans="1:130" x14ac:dyDescent="0.3">
      <c r="A134" s="9">
        <f>IF(W134="","",IF(ROW()=10,1,IF(W134=W133,A133,MAX($A$9:A133)+1)))</f>
        <v>41</v>
      </c>
      <c r="B134" s="9">
        <f>WEEKNUM(Tabla152[[#This Row],[FECHA DE COSECHA]],21)</f>
        <v>36</v>
      </c>
      <c r="C134" s="9"/>
      <c r="D134" s="17">
        <v>46268</v>
      </c>
      <c r="E134" s="17">
        <v>46268</v>
      </c>
      <c r="F134" s="9">
        <v>1</v>
      </c>
      <c r="G134" s="9" t="s">
        <v>77</v>
      </c>
      <c r="H134" s="9" t="s">
        <v>144</v>
      </c>
      <c r="I134" s="9" t="s">
        <v>188</v>
      </c>
      <c r="J134" s="9" t="s">
        <v>135</v>
      </c>
      <c r="K134" s="9" t="s">
        <v>146</v>
      </c>
      <c r="L134" s="9" t="s">
        <v>131</v>
      </c>
      <c r="M134" s="9" t="s">
        <v>239</v>
      </c>
      <c r="N134" s="9" t="s">
        <v>136</v>
      </c>
      <c r="O134" s="9" t="s">
        <v>137</v>
      </c>
      <c r="P134" s="9" t="s">
        <v>243</v>
      </c>
      <c r="Q134" s="9"/>
      <c r="R134" s="9">
        <v>7</v>
      </c>
      <c r="S134">
        <v>75459229</v>
      </c>
      <c r="T134" t="s">
        <v>234</v>
      </c>
      <c r="U134" s="9" t="s">
        <v>147</v>
      </c>
      <c r="V134" s="9"/>
      <c r="W134" s="19" t="s">
        <v>194</v>
      </c>
      <c r="X134" s="9">
        <v>66</v>
      </c>
      <c r="Y134" s="9">
        <v>2</v>
      </c>
      <c r="Z134" s="9">
        <v>5</v>
      </c>
      <c r="AA134" s="9" t="str">
        <f>IF(Tabla152[[#This Row],[NOTA]]=15,"CUMPLE","NO CUMPLE")</f>
        <v>NO CUMPLE</v>
      </c>
      <c r="AB134" s="9" t="str">
        <f>IF(COUNTIF($A$10:A134,A134)=1,IF(COUNTIFS($A:$A,A134,$AA:$AA,"NO CUMPLE")&gt;0,"NO CUMPLE","CUMPLE"),"")</f>
        <v/>
      </c>
      <c r="AC134" s="9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7"/>
      <c r="AR134" s="7"/>
      <c r="AS134" s="7"/>
      <c r="AT134" s="7"/>
      <c r="AU134" s="7"/>
      <c r="AV134" s="7"/>
      <c r="AW134" s="7">
        <v>1</v>
      </c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18"/>
      <c r="BX134" s="18">
        <f>IF($X134="","",AE134/$X$10)</f>
        <v>0</v>
      </c>
      <c r="BY134" s="18">
        <f>IF($X134="","",AF134/$X$10)</f>
        <v>0</v>
      </c>
      <c r="BZ134" s="18">
        <f>IF($X134="","",AG134/$X$10)</f>
        <v>0</v>
      </c>
      <c r="CA134" s="18">
        <f>IF($X134="","",AH134/$X$10)</f>
        <v>0</v>
      </c>
      <c r="CB134" s="18">
        <f t="shared" si="9"/>
        <v>0</v>
      </c>
      <c r="CC134" s="18">
        <f>IF($X134="","",AJ134/$X$10)</f>
        <v>0</v>
      </c>
      <c r="CD134" s="18">
        <f>IF($X134="","",AK134/$X$10)</f>
        <v>0</v>
      </c>
      <c r="CE134" s="18">
        <f>IF($X134="","",AL134/$X$10)</f>
        <v>0</v>
      </c>
      <c r="CF134" s="18">
        <f>IF($X134="","",AM134/$X$10)</f>
        <v>0</v>
      </c>
      <c r="CG134" s="18">
        <f>IF($X134="","",AN134/$X$10)</f>
        <v>0</v>
      </c>
      <c r="CH134" s="18">
        <f>IF($X134="","",AO134/$X$10)</f>
        <v>0</v>
      </c>
      <c r="CI134" s="18">
        <f>IF($X134="","",AP134/$X$10)</f>
        <v>0</v>
      </c>
      <c r="CJ134" s="18">
        <f>IF($X134="","",AQ134/$X$10)</f>
        <v>0</v>
      </c>
      <c r="CK134" s="18">
        <f>IF($X134="","",AR134/$X$10)</f>
        <v>0</v>
      </c>
      <c r="CL134" s="18">
        <f>IF($X134="","",AS134/$X$10)</f>
        <v>0</v>
      </c>
      <c r="CM134" s="18">
        <f>IF($X134="","",AT134/$X$10)</f>
        <v>0</v>
      </c>
      <c r="CN134" s="18">
        <f>IF($X134="","",AU134/$X$10)</f>
        <v>0</v>
      </c>
      <c r="CO134" s="18">
        <f>IF($X134="","",AV134/$X$10)</f>
        <v>0</v>
      </c>
      <c r="CP134" s="18">
        <f>IF($X134="","",AW134/$X$10)</f>
        <v>1.5873015873015872E-2</v>
      </c>
      <c r="CQ134" s="18">
        <f>IF($X134="","",AX134/$X$10)</f>
        <v>0</v>
      </c>
      <c r="CR134" s="18">
        <f>IF($X134="","",AY134/$X$10)</f>
        <v>0</v>
      </c>
      <c r="CS134" s="18">
        <f>IF($X134="","",AZ134/$X$10)</f>
        <v>0</v>
      </c>
      <c r="CT134" s="18">
        <f>IF($X134="","",BA134/$X$10)</f>
        <v>0</v>
      </c>
      <c r="CU134" s="18">
        <f>IF($X134="","",BB134/$X$10)</f>
        <v>0</v>
      </c>
      <c r="CV134" s="18">
        <f>IF($X134="","",BC134/$X$10)</f>
        <v>0</v>
      </c>
      <c r="CW134" s="18">
        <f>IF($X134="","",BD134/$X$10)</f>
        <v>0</v>
      </c>
      <c r="CX134" s="18">
        <f>IF($X134="","",BE134/$X$10)</f>
        <v>0</v>
      </c>
      <c r="CY134" s="18">
        <f>IF($X134="","",BF134/$X$10)</f>
        <v>0</v>
      </c>
      <c r="CZ134" s="18">
        <f>IF($X134="","",BG134/$X$10)</f>
        <v>0</v>
      </c>
      <c r="DA134" s="18">
        <f>IF($X134="","",BH134/$X$10)</f>
        <v>0</v>
      </c>
      <c r="DB134" s="18">
        <f>IF($X134="","",BI134/$X$10)</f>
        <v>0</v>
      </c>
      <c r="DC134" s="18">
        <f>IF($X134="","",BJ134/$X$10)</f>
        <v>0</v>
      </c>
      <c r="DD134" s="18">
        <f>IF($X134="","",BK134/$X$10)</f>
        <v>0</v>
      </c>
      <c r="DE134" s="18">
        <f>IF($X134="","",BL134/$X$10)</f>
        <v>0</v>
      </c>
      <c r="DF134" s="18">
        <f>IF($X134="","",BM134/$X$10)</f>
        <v>0</v>
      </c>
      <c r="DG134" s="18">
        <f t="shared" si="10"/>
        <v>0</v>
      </c>
      <c r="DH134" s="18">
        <f>IF($X134="","",BO134/$X$10)</f>
        <v>0</v>
      </c>
      <c r="DI134" s="18">
        <f>IF($X134="","",BP134/$X$10)</f>
        <v>0</v>
      </c>
      <c r="DJ134" s="18">
        <f>IF($X134="","",BQ134/$X$10)</f>
        <v>0</v>
      </c>
      <c r="DK134" s="18">
        <f>IF($X134="","",BR134/$X$10)</f>
        <v>0</v>
      </c>
      <c r="DL134" s="18">
        <f>IF($X134="","",BS134/$X$10)</f>
        <v>0</v>
      </c>
      <c r="DM134" s="18">
        <f>IF($X134="","",BT134/$X$10)</f>
        <v>0</v>
      </c>
      <c r="DN134" s="18">
        <f t="shared" si="13"/>
        <v>0</v>
      </c>
      <c r="DO134" s="16">
        <f>IF($X134="","",SUM(Tabla152[[#This Row],[PODRIDO]],Tabla152[[#This Row],[HONGO]],Tabla152[[#This Row],[PICADO DE AVE CON PUDRICIÓN]],Tabla152[[#This Row],[FUMAGINA]])/$X$10)</f>
        <v>0</v>
      </c>
      <c r="DP134" s="16">
        <f>IF($X134="","",SUM(Tabla152[[#This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1.5873015873015872E-2</v>
      </c>
      <c r="DQ134" s="16">
        <f>IF($X134="","",SUM(Tabla152[[#This Row],[BLANDO]:[COLAPSADO]])/$X$10)</f>
        <v>0</v>
      </c>
      <c r="DR134" s="16">
        <f>IF($X134="","",SUM(Tabla152[[#This Row],[DESHIDRATADO LEVE]:[DESHIDRATADO INMADURO]])/$X$10)</f>
        <v>0</v>
      </c>
      <c r="DS134" s="18">
        <f t="shared" si="7"/>
        <v>0</v>
      </c>
      <c r="DT134" s="16">
        <f>IF($X134="","",SUM(Tabla152[[#This Row],[PRESENCIA DE LARVA]],Tabla152[[#This Row],[CHANCHITO BLANCO]])/$X$10)</f>
        <v>0</v>
      </c>
      <c r="DU134" s="18">
        <f>IF($X134="","",SUM(Tabla152[[#This Row],[ROJO GRADO 2 A MÁS]],Tabla152[[#This Row],[IMMADURO VERDE]],Tabla152[[#This Row],[DESORDEN POR MADURACIÓN]],Tabla152[[#This Row],[ARO PEDICELAR VERDE EXTREMO]])/$X$10)</f>
        <v>0</v>
      </c>
      <c r="DV134" s="16">
        <f>IF($X134="","",SUM(Tabla152[[#This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34" s="16">
        <f t="shared" si="8"/>
        <v>0</v>
      </c>
      <c r="DX134" s="16">
        <f>IF($X134="","",AJ134/$X$10)</f>
        <v>0</v>
      </c>
      <c r="DY134" s="16">
        <f>IF($X134="","",SUM(Tabla152[[#This Row],[PRESENCIA DE COROLA]],Tabla152[[#This Row],[PRESENCIA DE RESTO FLORAL VERDE]],Tabla152[[#This Row],[PRESENCIA DE PEDÚNCULO]])/$X$10)</f>
        <v>0</v>
      </c>
      <c r="DZ134" s="16">
        <f>IF($X134="","",SUM(Tabla152[[#This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35" spans="1:130" x14ac:dyDescent="0.3">
      <c r="A135" s="9">
        <f>IF(W135="","",IF(ROW()=10,1,IF(W135=W134,A134,MAX($A$9:A134)+1)))</f>
        <v>41</v>
      </c>
      <c r="B135" s="9">
        <f>WEEKNUM(Tabla152[[#This Row],[FECHA DE COSECHA]],21)</f>
        <v>36</v>
      </c>
      <c r="C135" s="9"/>
      <c r="D135" s="17">
        <v>46268</v>
      </c>
      <c r="E135" s="17">
        <v>46268</v>
      </c>
      <c r="F135" s="9">
        <v>1</v>
      </c>
      <c r="G135" s="9" t="s">
        <v>77</v>
      </c>
      <c r="H135" s="9" t="s">
        <v>144</v>
      </c>
      <c r="I135" s="9" t="s">
        <v>188</v>
      </c>
      <c r="J135" s="9" t="s">
        <v>135</v>
      </c>
      <c r="K135" s="9" t="s">
        <v>146</v>
      </c>
      <c r="L135" s="9" t="s">
        <v>131</v>
      </c>
      <c r="M135" s="9" t="s">
        <v>239</v>
      </c>
      <c r="N135" s="9" t="s">
        <v>136</v>
      </c>
      <c r="O135" s="9" t="s">
        <v>137</v>
      </c>
      <c r="P135" s="9" t="s">
        <v>243</v>
      </c>
      <c r="Q135" s="9"/>
      <c r="R135" s="9">
        <v>7</v>
      </c>
      <c r="S135">
        <v>75459229</v>
      </c>
      <c r="T135" t="s">
        <v>234</v>
      </c>
      <c r="U135" s="9" t="s">
        <v>147</v>
      </c>
      <c r="V135" s="9"/>
      <c r="W135" s="19" t="s">
        <v>194</v>
      </c>
      <c r="X135" s="9">
        <v>66</v>
      </c>
      <c r="Y135" s="9">
        <v>3</v>
      </c>
      <c r="Z135" s="9">
        <v>5</v>
      </c>
      <c r="AA135" s="9" t="str">
        <f>IF(Tabla152[[#This Row],[NOTA]]=15,"CUMPLE","NO CUMPLE")</f>
        <v>NO CUMPLE</v>
      </c>
      <c r="AB135" s="9" t="str">
        <f>IF(COUNTIF($A$10:A135,A135)=1,IF(COUNTIFS($A:$A,A135,$AA:$AA,"NO CUMPLE")&gt;0,"NO CUMPLE","CUMPLE"),"")</f>
        <v/>
      </c>
      <c r="AC135" s="9"/>
      <c r="AD135" s="8"/>
      <c r="AE135" s="8"/>
      <c r="AF135" s="8"/>
      <c r="AG135" s="8"/>
      <c r="AH135" s="8"/>
      <c r="AI135" s="8"/>
      <c r="AJ135" s="8">
        <v>3</v>
      </c>
      <c r="AK135" s="8"/>
      <c r="AL135" s="8"/>
      <c r="AM135" s="8"/>
      <c r="AN135" s="8"/>
      <c r="AO135" s="8"/>
      <c r="AP135" s="8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18"/>
      <c r="BX135" s="18">
        <f>IF($X135="","",AE135/$X$10)</f>
        <v>0</v>
      </c>
      <c r="BY135" s="18">
        <f>IF($X135="","",AF135/$X$10)</f>
        <v>0</v>
      </c>
      <c r="BZ135" s="18">
        <f>IF($X135="","",AG135/$X$10)</f>
        <v>0</v>
      </c>
      <c r="CA135" s="18">
        <f>IF($X135="","",AH135/$X$10)</f>
        <v>0</v>
      </c>
      <c r="CB135" s="18">
        <f t="shared" si="9"/>
        <v>0</v>
      </c>
      <c r="CC135" s="18">
        <f>IF($X135="","",AJ135/$X$10)</f>
        <v>4.7619047619047616E-2</v>
      </c>
      <c r="CD135" s="18">
        <f>IF($X135="","",AK135/$X$10)</f>
        <v>0</v>
      </c>
      <c r="CE135" s="18">
        <f>IF($X135="","",AL135/$X$10)</f>
        <v>0</v>
      </c>
      <c r="CF135" s="18">
        <f>IF($X135="","",AM135/$X$10)</f>
        <v>0</v>
      </c>
      <c r="CG135" s="18">
        <f>IF($X135="","",AN135/$X$10)</f>
        <v>0</v>
      </c>
      <c r="CH135" s="18">
        <f>IF($X135="","",AO135/$X$10)</f>
        <v>0</v>
      </c>
      <c r="CI135" s="18">
        <f>IF($X135="","",AP135/$X$10)</f>
        <v>0</v>
      </c>
      <c r="CJ135" s="18">
        <f>IF($X135="","",AQ135/$X$10)</f>
        <v>0</v>
      </c>
      <c r="CK135" s="18">
        <f>IF($X135="","",AR135/$X$10)</f>
        <v>0</v>
      </c>
      <c r="CL135" s="18">
        <f>IF($X135="","",AS135/$X$10)</f>
        <v>0</v>
      </c>
      <c r="CM135" s="18">
        <f>IF($X135="","",AT135/$X$10)</f>
        <v>0</v>
      </c>
      <c r="CN135" s="18">
        <f>IF($X135="","",AU135/$X$10)</f>
        <v>0</v>
      </c>
      <c r="CO135" s="18">
        <f>IF($X135="","",AV135/$X$10)</f>
        <v>0</v>
      </c>
      <c r="CP135" s="18">
        <f>IF($X135="","",AW135/$X$10)</f>
        <v>0</v>
      </c>
      <c r="CQ135" s="18">
        <f>IF($X135="","",AX135/$X$10)</f>
        <v>0</v>
      </c>
      <c r="CR135" s="18">
        <f>IF($X135="","",AY135/$X$10)</f>
        <v>0</v>
      </c>
      <c r="CS135" s="18">
        <f>IF($X135="","",AZ135/$X$10)</f>
        <v>0</v>
      </c>
      <c r="CT135" s="18">
        <f>IF($X135="","",BA135/$X$10)</f>
        <v>0</v>
      </c>
      <c r="CU135" s="18">
        <f>IF($X135="","",BB135/$X$10)</f>
        <v>0</v>
      </c>
      <c r="CV135" s="18">
        <f>IF($X135="","",BC135/$X$10)</f>
        <v>0</v>
      </c>
      <c r="CW135" s="18">
        <f>IF($X135="","",BD135/$X$10)</f>
        <v>0</v>
      </c>
      <c r="CX135" s="18">
        <f>IF($X135="","",BE135/$X$10)</f>
        <v>0</v>
      </c>
      <c r="CY135" s="18">
        <f>IF($X135="","",BF135/$X$10)</f>
        <v>0</v>
      </c>
      <c r="CZ135" s="18">
        <f>IF($X135="","",BG135/$X$10)</f>
        <v>0</v>
      </c>
      <c r="DA135" s="18">
        <f>IF($X135="","",BH135/$X$10)</f>
        <v>0</v>
      </c>
      <c r="DB135" s="18">
        <f>IF($X135="","",BI135/$X$10)</f>
        <v>0</v>
      </c>
      <c r="DC135" s="18">
        <f>IF($X135="","",BJ135/$X$10)</f>
        <v>0</v>
      </c>
      <c r="DD135" s="18">
        <f>IF($X135="","",BK135/$X$10)</f>
        <v>0</v>
      </c>
      <c r="DE135" s="18">
        <f>IF($X135="","",BL135/$X$10)</f>
        <v>0</v>
      </c>
      <c r="DF135" s="18">
        <f>IF($X135="","",BM135/$X$10)</f>
        <v>0</v>
      </c>
      <c r="DG135" s="18">
        <f t="shared" si="10"/>
        <v>0</v>
      </c>
      <c r="DH135" s="18">
        <f>IF($X135="","",BO135/$X$10)</f>
        <v>0</v>
      </c>
      <c r="DI135" s="18">
        <f>IF($X135="","",BP135/$X$10)</f>
        <v>0</v>
      </c>
      <c r="DJ135" s="18">
        <f>IF($X135="","",BQ135/$X$10)</f>
        <v>0</v>
      </c>
      <c r="DK135" s="18">
        <f>IF($X135="","",BR135/$X$10)</f>
        <v>0</v>
      </c>
      <c r="DL135" s="18">
        <f>IF($X135="","",BS135/$X$10)</f>
        <v>0</v>
      </c>
      <c r="DM135" s="18">
        <f>IF($X135="","",BT135/$X$10)</f>
        <v>0</v>
      </c>
      <c r="DN135" s="18">
        <f t="shared" si="13"/>
        <v>0</v>
      </c>
      <c r="DO135" s="16">
        <f>IF($X135="","",SUM(Tabla152[[#This Row],[PODRIDO]],Tabla152[[#This Row],[HONGO]],Tabla152[[#This Row],[PICADO DE AVE CON PUDRICIÓN]],Tabla152[[#This Row],[FUMAGINA]])/$X$10)</f>
        <v>0</v>
      </c>
      <c r="DP135" s="16">
        <f>IF($X135="","",SUM(Tabla152[[#This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35" s="16">
        <f>IF($X135="","",SUM(Tabla152[[#This Row],[BLANDO]:[COLAPSADO]])/$X$10)</f>
        <v>0</v>
      </c>
      <c r="DR135" s="16">
        <f>IF($X135="","",SUM(Tabla152[[#This Row],[DESHIDRATADO LEVE]:[DESHIDRATADO INMADURO]])/$X$10)</f>
        <v>0</v>
      </c>
      <c r="DS135" s="18">
        <f t="shared" si="7"/>
        <v>0</v>
      </c>
      <c r="DT135" s="16">
        <f>IF($X135="","",SUM(Tabla152[[#This Row],[PRESENCIA DE LARVA]],Tabla152[[#This Row],[CHANCHITO BLANCO]])/$X$10)</f>
        <v>0</v>
      </c>
      <c r="DU135" s="18">
        <f>IF($X135="","",SUM(Tabla152[[#This Row],[ROJO GRADO 2 A MÁS]],Tabla152[[#This Row],[IMMADURO VERDE]],Tabla152[[#This Row],[DESORDEN POR MADURACIÓN]],Tabla152[[#This Row],[ARO PEDICELAR VERDE EXTREMO]])/$X$10)</f>
        <v>0</v>
      </c>
      <c r="DV135" s="16">
        <f>IF($X135="","",SUM(Tabla152[[#This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35" s="16">
        <f t="shared" si="8"/>
        <v>0</v>
      </c>
      <c r="DX135" s="16">
        <f>IF($X135="","",AJ135/$X$10)</f>
        <v>4.7619047619047616E-2</v>
      </c>
      <c r="DY135" s="16">
        <f>IF($X135="","",SUM(Tabla152[[#This Row],[PRESENCIA DE COROLA]],Tabla152[[#This Row],[PRESENCIA DE RESTO FLORAL VERDE]],Tabla152[[#This Row],[PRESENCIA DE PEDÚNCULO]])/$X$10)</f>
        <v>0</v>
      </c>
      <c r="DZ135" s="16">
        <f>IF($X135="","",SUM(Tabla152[[#This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36" spans="1:130" x14ac:dyDescent="0.3">
      <c r="A136" s="9">
        <f>IF(W136="","",IF(ROW()=10,1,IF(W136=W135,A135,MAX($A$9:A135)+1)))</f>
        <v>42</v>
      </c>
      <c r="B136" s="9">
        <f>WEEKNUM(Tabla152[[#This Row],[FECHA DE COSECHA]],21)</f>
        <v>36</v>
      </c>
      <c r="C136" s="9"/>
      <c r="D136" s="17">
        <v>46268</v>
      </c>
      <c r="E136" s="17">
        <v>46268</v>
      </c>
      <c r="F136" s="9">
        <v>1</v>
      </c>
      <c r="G136" s="9" t="s">
        <v>77</v>
      </c>
      <c r="H136" s="9" t="s">
        <v>143</v>
      </c>
      <c r="I136" s="9" t="s">
        <v>188</v>
      </c>
      <c r="J136" s="9" t="s">
        <v>135</v>
      </c>
      <c r="K136" s="9" t="s">
        <v>196</v>
      </c>
      <c r="L136" s="9" t="s">
        <v>131</v>
      </c>
      <c r="M136" s="9" t="s">
        <v>240</v>
      </c>
      <c r="N136" s="9" t="s">
        <v>145</v>
      </c>
      <c r="O136" s="9" t="s">
        <v>195</v>
      </c>
      <c r="P136" s="9" t="s">
        <v>241</v>
      </c>
      <c r="Q136" s="9"/>
      <c r="R136" s="9">
        <v>7</v>
      </c>
      <c r="S136" s="9">
        <v>78114711</v>
      </c>
      <c r="T136" t="s">
        <v>233</v>
      </c>
      <c r="U136" s="9" t="s">
        <v>147</v>
      </c>
      <c r="V136" s="9"/>
      <c r="W136" s="19" t="s">
        <v>161</v>
      </c>
      <c r="X136" s="9">
        <v>42</v>
      </c>
      <c r="Y136" s="9">
        <v>1</v>
      </c>
      <c r="Z136" s="9">
        <v>15</v>
      </c>
      <c r="AA136" s="9" t="str">
        <f>IF(Tabla152[[#This Row],[NOTA]]=15,"CUMPLE","NO CUMPLE")</f>
        <v>CUMPLE</v>
      </c>
      <c r="AB136" s="9" t="str">
        <f>IF(COUNTIF($A$10:A136,A136)=1,IF(COUNTIFS($A:$A,A136,$AA:$AA,"NO CUMPLE")&gt;0,"NO CUMPLE","CUMPLE"),"")</f>
        <v>CUMPLE</v>
      </c>
      <c r="AC136" s="9" t="s">
        <v>140</v>
      </c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18"/>
      <c r="BX136" s="18">
        <f>IF($X136="","",AE136/$X$10)</f>
        <v>0</v>
      </c>
      <c r="BY136" s="18">
        <f>IF($X136="","",AF136/$X$10)</f>
        <v>0</v>
      </c>
      <c r="BZ136" s="18">
        <f>IF($X136="","",AG136/$X$10)</f>
        <v>0</v>
      </c>
      <c r="CA136" s="18">
        <f>IF($X136="","",AH136/$X$10)</f>
        <v>0</v>
      </c>
      <c r="CB136" s="18">
        <f t="shared" si="9"/>
        <v>0</v>
      </c>
      <c r="CC136" s="18">
        <f>IF($X136="","",AJ136/$X$10)</f>
        <v>0</v>
      </c>
      <c r="CD136" s="18">
        <f>IF($X136="","",AK136/$X$10)</f>
        <v>0</v>
      </c>
      <c r="CE136" s="18">
        <f>IF($X136="","",AL136/$X$10)</f>
        <v>0</v>
      </c>
      <c r="CF136" s="18">
        <f>IF($X136="","",AM136/$X$10)</f>
        <v>0</v>
      </c>
      <c r="CG136" s="18">
        <f>IF($X136="","",AN136/$X$10)</f>
        <v>0</v>
      </c>
      <c r="CH136" s="18">
        <f>IF($X136="","",AO136/$X$10)</f>
        <v>0</v>
      </c>
      <c r="CI136" s="18">
        <f>IF($X136="","",AP136/$X$10)</f>
        <v>0</v>
      </c>
      <c r="CJ136" s="18">
        <f>IF($X136="","",AQ136/$X$10)</f>
        <v>0</v>
      </c>
      <c r="CK136" s="18">
        <f>IF($X136="","",AR136/$X$10)</f>
        <v>0</v>
      </c>
      <c r="CL136" s="18">
        <f>IF($X136="","",AS136/$X$10)</f>
        <v>0</v>
      </c>
      <c r="CM136" s="18">
        <f>IF($X136="","",AT136/$X$10)</f>
        <v>0</v>
      </c>
      <c r="CN136" s="18">
        <f>IF($X136="","",AU136/$X$10)</f>
        <v>0</v>
      </c>
      <c r="CO136" s="18">
        <f>IF($X136="","",AV136/$X$10)</f>
        <v>0</v>
      </c>
      <c r="CP136" s="18">
        <f>IF($X136="","",AW136/$X$10)</f>
        <v>0</v>
      </c>
      <c r="CQ136" s="18">
        <f>IF($X136="","",AX136/$X$10)</f>
        <v>0</v>
      </c>
      <c r="CR136" s="18">
        <f>IF($X136="","",AY136/$X$10)</f>
        <v>0</v>
      </c>
      <c r="CS136" s="18">
        <f>IF($X136="","",AZ136/$X$10)</f>
        <v>0</v>
      </c>
      <c r="CT136" s="18">
        <f>IF($X136="","",BA136/$X$10)</f>
        <v>0</v>
      </c>
      <c r="CU136" s="18">
        <f>IF($X136="","",BB136/$X$10)</f>
        <v>0</v>
      </c>
      <c r="CV136" s="18">
        <f>IF($X136="","",BC136/$X$10)</f>
        <v>0</v>
      </c>
      <c r="CW136" s="18">
        <f>IF($X136="","",BD136/$X$10)</f>
        <v>0</v>
      </c>
      <c r="CX136" s="18">
        <f>IF($X136="","",BE136/$X$10)</f>
        <v>0</v>
      </c>
      <c r="CY136" s="18">
        <f>IF($X136="","",BF136/$X$10)</f>
        <v>0</v>
      </c>
      <c r="CZ136" s="18">
        <f>IF($X136="","",BG136/$X$10)</f>
        <v>0</v>
      </c>
      <c r="DA136" s="18">
        <f>IF($X136="","",BH136/$X$10)</f>
        <v>0</v>
      </c>
      <c r="DB136" s="18">
        <f>IF($X136="","",BI136/$X$10)</f>
        <v>0</v>
      </c>
      <c r="DC136" s="18">
        <f>IF($X136="","",BJ136/$X$10)</f>
        <v>0</v>
      </c>
      <c r="DD136" s="18">
        <f>IF($X136="","",BK136/$X$10)</f>
        <v>0</v>
      </c>
      <c r="DE136" s="18">
        <f>IF($X136="","",BL136/$X$10)</f>
        <v>0</v>
      </c>
      <c r="DF136" s="18">
        <f>IF($X136="","",BM136/$X$10)</f>
        <v>0</v>
      </c>
      <c r="DG136" s="18">
        <f t="shared" si="10"/>
        <v>0</v>
      </c>
      <c r="DH136" s="18">
        <f>IF($X136="","",BO136/$X$10)</f>
        <v>0</v>
      </c>
      <c r="DI136" s="18">
        <f>IF($X136="","",BP136/$X$10)</f>
        <v>0</v>
      </c>
      <c r="DJ136" s="18">
        <f>IF($X136="","",BQ136/$X$10)</f>
        <v>0</v>
      </c>
      <c r="DK136" s="18">
        <f>IF($X136="","",BR136/$X$10)</f>
        <v>0</v>
      </c>
      <c r="DL136" s="18">
        <f>IF($X136="","",BS136/$X$10)</f>
        <v>0</v>
      </c>
      <c r="DM136" s="18">
        <f>IF($X136="","",BT136/$X$10)</f>
        <v>0</v>
      </c>
      <c r="DN136" s="18">
        <f>IF($X136="","",BU136/$X$10)</f>
        <v>0</v>
      </c>
      <c r="DO136" s="16">
        <f>IF($X136="","",SUM(Tabla152[[#This Row],[PODRIDO]],Tabla152[[#This Row],[HONGO]],Tabla152[[#This Row],[PICADO DE AVE CON PUDRICIÓN]],Tabla152[[#This Row],[FUMAGINA]])/$X$10)</f>
        <v>0</v>
      </c>
      <c r="DP136" s="16">
        <f>IF($X136="","",SUM(Tabla152[[#This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36" s="16">
        <f>IF($X136="","",SUM(Tabla152[[#This Row],[BLANDO]:[COLAPSADO]])/$X$10)</f>
        <v>0</v>
      </c>
      <c r="DR136" s="16">
        <f>IF($X136="","",SUM(Tabla152[[#This Row],[DESHIDRATADO LEVE]:[DESHIDRATADO INMADURO]])/$X$10)</f>
        <v>0</v>
      </c>
      <c r="DS136" s="18">
        <f t="shared" si="7"/>
        <v>0</v>
      </c>
      <c r="DT136" s="16">
        <f>IF($X136="","",SUM(Tabla152[[#This Row],[PRESENCIA DE LARVA]],Tabla152[[#This Row],[CHANCHITO BLANCO]])/$X$10)</f>
        <v>0</v>
      </c>
      <c r="DU136" s="18">
        <f>IF($X136="","",SUM(Tabla152[[#This Row],[ROJO GRADO 2 A MÁS]],Tabla152[[#This Row],[IMMADURO VERDE]],Tabla152[[#This Row],[DESORDEN POR MADURACIÓN]],Tabla152[[#This Row],[ARO PEDICELAR VERDE EXTREMO]])/$X$10)</f>
        <v>0</v>
      </c>
      <c r="DV136" s="16">
        <f>IF($X136="","",SUM(Tabla152[[#This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36" s="16">
        <f t="shared" si="8"/>
        <v>0</v>
      </c>
      <c r="DX136" s="16">
        <f>IF($X136="","",AJ136/$X$10)</f>
        <v>0</v>
      </c>
      <c r="DY136" s="16">
        <f>IF($X136="","",SUM(Tabla152[[#This Row],[PRESENCIA DE COROLA]],Tabla152[[#This Row],[PRESENCIA DE RESTO FLORAL VERDE]],Tabla152[[#This Row],[PRESENCIA DE PEDÚNCULO]])/$X$10)</f>
        <v>0</v>
      </c>
      <c r="DZ136" s="16">
        <f>IF($X136="","",SUM(Tabla152[[#This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37" spans="1:130" x14ac:dyDescent="0.3">
      <c r="A137" s="9">
        <f>IF(W137="","",IF(ROW()=10,1,IF(W137=W136,A136,MAX($A$9:A136)+1)))</f>
        <v>42</v>
      </c>
      <c r="B137" s="9">
        <f>WEEKNUM(Tabla152[[#This Row],[FECHA DE COSECHA]],21)</f>
        <v>36</v>
      </c>
      <c r="C137" s="9"/>
      <c r="D137" s="17">
        <v>46268</v>
      </c>
      <c r="E137" s="17">
        <v>46268</v>
      </c>
      <c r="F137" s="9">
        <v>1</v>
      </c>
      <c r="G137" s="9" t="s">
        <v>77</v>
      </c>
      <c r="H137" s="9" t="s">
        <v>143</v>
      </c>
      <c r="I137" s="9" t="s">
        <v>188</v>
      </c>
      <c r="J137" s="9" t="s">
        <v>135</v>
      </c>
      <c r="K137" s="9" t="s">
        <v>196</v>
      </c>
      <c r="L137" s="9" t="s">
        <v>131</v>
      </c>
      <c r="M137" s="9" t="s">
        <v>240</v>
      </c>
      <c r="N137" s="9" t="s">
        <v>145</v>
      </c>
      <c r="O137" s="9" t="s">
        <v>195</v>
      </c>
      <c r="P137" s="9" t="s">
        <v>241</v>
      </c>
      <c r="Q137" s="9"/>
      <c r="R137" s="9">
        <v>7</v>
      </c>
      <c r="S137" s="9">
        <v>78114711</v>
      </c>
      <c r="T137" t="s">
        <v>233</v>
      </c>
      <c r="U137" s="9" t="s">
        <v>147</v>
      </c>
      <c r="V137" s="9"/>
      <c r="W137" s="19" t="s">
        <v>161</v>
      </c>
      <c r="X137" s="9">
        <v>42</v>
      </c>
      <c r="Y137" s="9">
        <v>2</v>
      </c>
      <c r="Z137" s="9">
        <v>15</v>
      </c>
      <c r="AA137" s="9" t="str">
        <f>IF(Tabla152[[#This Row],[NOTA]]=15,"CUMPLE","NO CUMPLE")</f>
        <v>CUMPLE</v>
      </c>
      <c r="AB137" s="9" t="str">
        <f>IF(COUNTIF($A$10:A137,A137)=1,IF(COUNTIFS($A:$A,A137,$AA:$AA,"NO CUMPLE")&gt;0,"NO CUMPLE","CUMPLE"),"")</f>
        <v/>
      </c>
      <c r="AC137" s="9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18"/>
      <c r="BX137" s="18">
        <f>IF($X137="","",AE137/$X$10)</f>
        <v>0</v>
      </c>
      <c r="BY137" s="18">
        <f>IF($X137="","",AF137/$X$10)</f>
        <v>0</v>
      </c>
      <c r="BZ137" s="18">
        <f>IF($X137="","",AG137/$X$10)</f>
        <v>0</v>
      </c>
      <c r="CA137" s="18">
        <f>IF($X137="","",AH137/$X$10)</f>
        <v>0</v>
      </c>
      <c r="CB137" s="18">
        <f t="shared" si="9"/>
        <v>0</v>
      </c>
      <c r="CC137" s="18">
        <f>IF($X137="","",AJ137/$X$10)</f>
        <v>0</v>
      </c>
      <c r="CD137" s="18">
        <f>IF($X137="","",AK137/$X$10)</f>
        <v>0</v>
      </c>
      <c r="CE137" s="18">
        <f>IF($X137="","",AL137/$X$10)</f>
        <v>0</v>
      </c>
      <c r="CF137" s="18">
        <f>IF($X137="","",AM137/$X$10)</f>
        <v>0</v>
      </c>
      <c r="CG137" s="18">
        <f>IF($X137="","",AN137/$X$10)</f>
        <v>0</v>
      </c>
      <c r="CH137" s="18">
        <f>IF($X137="","",AO137/$X$10)</f>
        <v>0</v>
      </c>
      <c r="CI137" s="18">
        <f>IF($X137="","",AP137/$X$10)</f>
        <v>0</v>
      </c>
      <c r="CJ137" s="18">
        <f>IF($X137="","",AQ137/$X$10)</f>
        <v>0</v>
      </c>
      <c r="CK137" s="18">
        <f>IF($X137="","",AR137/$X$10)</f>
        <v>0</v>
      </c>
      <c r="CL137" s="18">
        <f>IF($X137="","",AS137/$X$10)</f>
        <v>0</v>
      </c>
      <c r="CM137" s="18">
        <f>IF($X137="","",AT137/$X$10)</f>
        <v>0</v>
      </c>
      <c r="CN137" s="18">
        <f>IF($X137="","",AU137/$X$10)</f>
        <v>0</v>
      </c>
      <c r="CO137" s="18">
        <f>IF($X137="","",AV137/$X$10)</f>
        <v>0</v>
      </c>
      <c r="CP137" s="18">
        <f>IF($X137="","",AW137/$X$10)</f>
        <v>0</v>
      </c>
      <c r="CQ137" s="18">
        <f>IF($X137="","",AX137/$X$10)</f>
        <v>0</v>
      </c>
      <c r="CR137" s="18">
        <f>IF($X137="","",AY137/$X$10)</f>
        <v>0</v>
      </c>
      <c r="CS137" s="18">
        <f>IF($X137="","",AZ137/$X$10)</f>
        <v>0</v>
      </c>
      <c r="CT137" s="18">
        <f>IF($X137="","",BA137/$X$10)</f>
        <v>0</v>
      </c>
      <c r="CU137" s="18">
        <f>IF($X137="","",BB137/$X$10)</f>
        <v>0</v>
      </c>
      <c r="CV137" s="18">
        <f>IF($X137="","",BC137/$X$10)</f>
        <v>0</v>
      </c>
      <c r="CW137" s="18">
        <f>IF($X137="","",BD137/$X$10)</f>
        <v>0</v>
      </c>
      <c r="CX137" s="18">
        <f>IF($X137="","",BE137/$X$10)</f>
        <v>0</v>
      </c>
      <c r="CY137" s="18">
        <f>IF($X137="","",BF137/$X$10)</f>
        <v>0</v>
      </c>
      <c r="CZ137" s="18">
        <f>IF($X137="","",BG137/$X$10)</f>
        <v>0</v>
      </c>
      <c r="DA137" s="18">
        <f>IF($X137="","",BH137/$X$10)</f>
        <v>0</v>
      </c>
      <c r="DB137" s="18">
        <f>IF($X137="","",BI137/$X$10)</f>
        <v>0</v>
      </c>
      <c r="DC137" s="18">
        <f>IF($X137="","",BJ137/$X$10)</f>
        <v>0</v>
      </c>
      <c r="DD137" s="18">
        <f>IF($X137="","",BK137/$X$10)</f>
        <v>0</v>
      </c>
      <c r="DE137" s="18">
        <f>IF($X137="","",BL137/$X$10)</f>
        <v>0</v>
      </c>
      <c r="DF137" s="18">
        <f>IF($X137="","",BM137/$X$10)</f>
        <v>0</v>
      </c>
      <c r="DG137" s="18">
        <f t="shared" si="10"/>
        <v>0</v>
      </c>
      <c r="DH137" s="18">
        <f>IF($X137="","",BO137/$X$10)</f>
        <v>0</v>
      </c>
      <c r="DI137" s="18">
        <f>IF($X137="","",BP137/$X$10)</f>
        <v>0</v>
      </c>
      <c r="DJ137" s="18">
        <f>IF($X137="","",BQ137/$X$10)</f>
        <v>0</v>
      </c>
      <c r="DK137" s="18">
        <f>IF($X137="","",BR137/$X$10)</f>
        <v>0</v>
      </c>
      <c r="DL137" s="18">
        <f>IF($X137="","",BS137/$X$10)</f>
        <v>0</v>
      </c>
      <c r="DM137" s="18">
        <f>IF($X137="","",BT137/$X$10)</f>
        <v>0</v>
      </c>
      <c r="DN137" s="18">
        <f t="shared" ref="DN137:DN168" si="14">IF($X137="","",BU137/$X$10)</f>
        <v>0</v>
      </c>
      <c r="DO137" s="16">
        <f>IF($X137="","",SUM(Tabla152[[#This Row],[PODRIDO]],Tabla152[[#This Row],[HONGO]],Tabla152[[#This Row],[PICADO DE AVE CON PUDRICIÓN]],Tabla152[[#This Row],[FUMAGINA]])/$X$10)</f>
        <v>0</v>
      </c>
      <c r="DP137" s="16">
        <f>IF($X137="","",SUM(Tabla152[[#This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37" s="16">
        <f>IF($X137="","",SUM(Tabla152[[#This Row],[BLANDO]:[COLAPSADO]])/$X$10)</f>
        <v>0</v>
      </c>
      <c r="DR137" s="16">
        <f>IF($X137="","",SUM(Tabla152[[#This Row],[DESHIDRATADO LEVE]:[DESHIDRATADO INMADURO]])/$X$10)</f>
        <v>0</v>
      </c>
      <c r="DS137" s="18">
        <f t="shared" si="7"/>
        <v>0</v>
      </c>
      <c r="DT137" s="16">
        <f>IF($X137="","",SUM(Tabla152[[#This Row],[PRESENCIA DE LARVA]],Tabla152[[#This Row],[CHANCHITO BLANCO]])/$X$10)</f>
        <v>0</v>
      </c>
      <c r="DU137" s="18">
        <f>IF($X137="","",SUM(Tabla152[[#This Row],[ROJO GRADO 2 A MÁS]],Tabla152[[#This Row],[IMMADURO VERDE]],Tabla152[[#This Row],[DESORDEN POR MADURACIÓN]],Tabla152[[#This Row],[ARO PEDICELAR VERDE EXTREMO]])/$X$10)</f>
        <v>0</v>
      </c>
      <c r="DV137" s="16">
        <f>IF($X137="","",SUM(Tabla152[[#This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37" s="16">
        <f t="shared" si="8"/>
        <v>0</v>
      </c>
      <c r="DX137" s="16">
        <f>IF($X137="","",AJ137/$X$10)</f>
        <v>0</v>
      </c>
      <c r="DY137" s="16">
        <f>IF($X137="","",SUM(Tabla152[[#This Row],[PRESENCIA DE COROLA]],Tabla152[[#This Row],[PRESENCIA DE RESTO FLORAL VERDE]],Tabla152[[#This Row],[PRESENCIA DE PEDÚNCULO]])/$X$10)</f>
        <v>0</v>
      </c>
      <c r="DZ137" s="16">
        <f>IF($X137="","",SUM(Tabla152[[#This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38" spans="1:130" x14ac:dyDescent="0.3">
      <c r="A138" s="9">
        <f>IF(W138="","",IF(ROW()=10,1,IF(W138=W137,A137,MAX($A$9:A137)+1)))</f>
        <v>42</v>
      </c>
      <c r="B138" s="9">
        <f>WEEKNUM(Tabla152[[#This Row],[FECHA DE COSECHA]],21)</f>
        <v>36</v>
      </c>
      <c r="C138" s="9"/>
      <c r="D138" s="17">
        <v>46268</v>
      </c>
      <c r="E138" s="17">
        <v>46268</v>
      </c>
      <c r="F138" s="9">
        <v>1</v>
      </c>
      <c r="G138" s="9" t="s">
        <v>77</v>
      </c>
      <c r="H138" s="9" t="s">
        <v>143</v>
      </c>
      <c r="I138" s="9" t="s">
        <v>188</v>
      </c>
      <c r="J138" s="9" t="s">
        <v>135</v>
      </c>
      <c r="K138" s="9" t="s">
        <v>196</v>
      </c>
      <c r="L138" s="9" t="s">
        <v>131</v>
      </c>
      <c r="M138" s="9" t="s">
        <v>240</v>
      </c>
      <c r="N138" s="9" t="s">
        <v>145</v>
      </c>
      <c r="O138" s="9" t="s">
        <v>195</v>
      </c>
      <c r="P138" s="9" t="s">
        <v>241</v>
      </c>
      <c r="Q138" s="9"/>
      <c r="R138" s="9">
        <v>7</v>
      </c>
      <c r="S138" s="9">
        <v>78114711</v>
      </c>
      <c r="T138" t="s">
        <v>233</v>
      </c>
      <c r="U138" s="9" t="s">
        <v>147</v>
      </c>
      <c r="V138" s="9"/>
      <c r="W138" s="19" t="s">
        <v>161</v>
      </c>
      <c r="X138" s="9">
        <v>42</v>
      </c>
      <c r="Y138" s="9">
        <v>3</v>
      </c>
      <c r="Z138" s="9">
        <v>15</v>
      </c>
      <c r="AA138" s="9" t="str">
        <f>IF(Tabla152[[#This Row],[NOTA]]=15,"CUMPLE","NO CUMPLE")</f>
        <v>CUMPLE</v>
      </c>
      <c r="AB138" s="9" t="str">
        <f>IF(COUNTIF($A$10:A138,A138)=1,IF(COUNTIFS($A:$A,A138,$AA:$AA,"NO CUMPLE")&gt;0,"NO CUMPLE","CUMPLE"),"")</f>
        <v/>
      </c>
      <c r="AC138" s="9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18"/>
      <c r="BX138" s="18">
        <f>IF($X138="","",AE138/$X$10)</f>
        <v>0</v>
      </c>
      <c r="BY138" s="18">
        <f>IF($X138="","",AF138/$X$10)</f>
        <v>0</v>
      </c>
      <c r="BZ138" s="18">
        <f>IF($X138="","",AG138/$X$10)</f>
        <v>0</v>
      </c>
      <c r="CA138" s="18">
        <f>IF($X138="","",AH138/$X$10)</f>
        <v>0</v>
      </c>
      <c r="CB138" s="18">
        <f t="shared" si="9"/>
        <v>0</v>
      </c>
      <c r="CC138" s="18">
        <f>IF($X138="","",AJ138/$X$10)</f>
        <v>0</v>
      </c>
      <c r="CD138" s="18">
        <f>IF($X138="","",AK138/$X$10)</f>
        <v>0</v>
      </c>
      <c r="CE138" s="18">
        <f>IF($X138="","",AL138/$X$10)</f>
        <v>0</v>
      </c>
      <c r="CF138" s="18">
        <f>IF($X138="","",AM138/$X$10)</f>
        <v>0</v>
      </c>
      <c r="CG138" s="18">
        <f>IF($X138="","",AN138/$X$10)</f>
        <v>0</v>
      </c>
      <c r="CH138" s="18">
        <f>IF($X138="","",AO138/$X$10)</f>
        <v>0</v>
      </c>
      <c r="CI138" s="18">
        <f>IF($X138="","",AP138/$X$10)</f>
        <v>0</v>
      </c>
      <c r="CJ138" s="18">
        <f>IF($X138="","",AQ138/$X$10)</f>
        <v>0</v>
      </c>
      <c r="CK138" s="18">
        <f>IF($X138="","",AR138/$X$10)</f>
        <v>0</v>
      </c>
      <c r="CL138" s="18">
        <f>IF($X138="","",AS138/$X$10)</f>
        <v>0</v>
      </c>
      <c r="CM138" s="18">
        <f>IF($X138="","",AT138/$X$10)</f>
        <v>0</v>
      </c>
      <c r="CN138" s="18">
        <f>IF($X138="","",AU138/$X$10)</f>
        <v>0</v>
      </c>
      <c r="CO138" s="18">
        <f>IF($X138="","",AV138/$X$10)</f>
        <v>0</v>
      </c>
      <c r="CP138" s="18">
        <f>IF($X138="","",AW138/$X$10)</f>
        <v>0</v>
      </c>
      <c r="CQ138" s="18">
        <f>IF($X138="","",AX138/$X$10)</f>
        <v>0</v>
      </c>
      <c r="CR138" s="18">
        <f>IF($X138="","",AY138/$X$10)</f>
        <v>0</v>
      </c>
      <c r="CS138" s="18">
        <f>IF($X138="","",AZ138/$X$10)</f>
        <v>0</v>
      </c>
      <c r="CT138" s="18">
        <f>IF($X138="","",BA138/$X$10)</f>
        <v>0</v>
      </c>
      <c r="CU138" s="18">
        <f>IF($X138="","",BB138/$X$10)</f>
        <v>0</v>
      </c>
      <c r="CV138" s="18">
        <f>IF($X138="","",BC138/$X$10)</f>
        <v>0</v>
      </c>
      <c r="CW138" s="18">
        <f>IF($X138="","",BD138/$X$10)</f>
        <v>0</v>
      </c>
      <c r="CX138" s="18">
        <f>IF($X138="","",BE138/$X$10)</f>
        <v>0</v>
      </c>
      <c r="CY138" s="18">
        <f>IF($X138="","",BF138/$X$10)</f>
        <v>0</v>
      </c>
      <c r="CZ138" s="18">
        <f>IF($X138="","",BG138/$X$10)</f>
        <v>0</v>
      </c>
      <c r="DA138" s="18">
        <f>IF($X138="","",BH138/$X$10)</f>
        <v>0</v>
      </c>
      <c r="DB138" s="18">
        <f>IF($X138="","",BI138/$X$10)</f>
        <v>0</v>
      </c>
      <c r="DC138" s="18">
        <f>IF($X138="","",BJ138/$X$10)</f>
        <v>0</v>
      </c>
      <c r="DD138" s="18">
        <f>IF($X138="","",BK138/$X$10)</f>
        <v>0</v>
      </c>
      <c r="DE138" s="18">
        <f>IF($X138="","",BL138/$X$10)</f>
        <v>0</v>
      </c>
      <c r="DF138" s="18">
        <f>IF($X138="","",BM138/$X$10)</f>
        <v>0</v>
      </c>
      <c r="DG138" s="18">
        <f t="shared" si="10"/>
        <v>0</v>
      </c>
      <c r="DH138" s="18">
        <f>IF($X138="","",BO138/$X$10)</f>
        <v>0</v>
      </c>
      <c r="DI138" s="18">
        <f>IF($X138="","",BP138/$X$10)</f>
        <v>0</v>
      </c>
      <c r="DJ138" s="18">
        <f>IF($X138="","",BQ138/$X$10)</f>
        <v>0</v>
      </c>
      <c r="DK138" s="18">
        <f>IF($X138="","",BR138/$X$10)</f>
        <v>0</v>
      </c>
      <c r="DL138" s="18">
        <f>IF($X138="","",BS138/$X$10)</f>
        <v>0</v>
      </c>
      <c r="DM138" s="18">
        <f>IF($X138="","",BT138/$X$10)</f>
        <v>0</v>
      </c>
      <c r="DN138" s="18">
        <f t="shared" si="14"/>
        <v>0</v>
      </c>
      <c r="DO138" s="16">
        <f>IF($X138="","",SUM(Tabla152[[#This Row],[PODRIDO]],Tabla152[[#This Row],[HONGO]],Tabla152[[#This Row],[PICADO DE AVE CON PUDRICIÓN]],Tabla152[[#This Row],[FUMAGINA]])/$X$10)</f>
        <v>0</v>
      </c>
      <c r="DP138" s="16">
        <f>IF($X138="","",SUM(Tabla152[[#This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38" s="16">
        <f>IF($X138="","",SUM(Tabla152[[#This Row],[BLANDO]:[COLAPSADO]])/$X$10)</f>
        <v>0</v>
      </c>
      <c r="DR138" s="16">
        <f>IF($X138="","",SUM(Tabla152[[#This Row],[DESHIDRATADO LEVE]:[DESHIDRATADO INMADURO]])/$X$10)</f>
        <v>0</v>
      </c>
      <c r="DS138" s="18">
        <f t="shared" ref="DS138:DS201" si="15">IF($X138="","",BC138/$X$10)</f>
        <v>0</v>
      </c>
      <c r="DT138" s="16">
        <f>IF($X138="","",SUM(Tabla152[[#This Row],[PRESENCIA DE LARVA]],Tabla152[[#This Row],[CHANCHITO BLANCO]])/$X$10)</f>
        <v>0</v>
      </c>
      <c r="DU138" s="18">
        <f>IF($X138="","",SUM(Tabla152[[#This Row],[ROJO GRADO 2 A MÁS]],Tabla152[[#This Row],[IMMADURO VERDE]],Tabla152[[#This Row],[DESORDEN POR MADURACIÓN]],Tabla152[[#This Row],[ARO PEDICELAR VERDE EXTREMO]])/$X$10)</f>
        <v>0</v>
      </c>
      <c r="DV138" s="16">
        <f>IF($X138="","",SUM(Tabla152[[#This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38" s="16">
        <f t="shared" ref="DW138:DW201" si="16">IF($X138="","",BU138/$X$10)</f>
        <v>0</v>
      </c>
      <c r="DX138" s="16">
        <f>IF($X138="","",AJ138/$X$10)</f>
        <v>0</v>
      </c>
      <c r="DY138" s="16">
        <f>IF($X138="","",SUM(Tabla152[[#This Row],[PRESENCIA DE COROLA]],Tabla152[[#This Row],[PRESENCIA DE RESTO FLORAL VERDE]],Tabla152[[#This Row],[PRESENCIA DE PEDÚNCULO]])/$X$10)</f>
        <v>0</v>
      </c>
      <c r="DZ138" s="16">
        <f>IF($X138="","",SUM(Tabla152[[#This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39" spans="1:130" x14ac:dyDescent="0.3">
      <c r="A139" s="9">
        <f>IF(W139="","",IF(ROW()=10,1,IF(W139=W138,A138,MAX($A$9:A138)+1)))</f>
        <v>43</v>
      </c>
      <c r="B139" s="9">
        <f>WEEKNUM(Tabla152[[#This Row],[FECHA DE COSECHA]],21)</f>
        <v>36</v>
      </c>
      <c r="C139" s="9"/>
      <c r="D139" s="17">
        <v>46268</v>
      </c>
      <c r="E139" s="17">
        <v>46268</v>
      </c>
      <c r="F139" s="9">
        <v>1</v>
      </c>
      <c r="G139" s="9" t="s">
        <v>77</v>
      </c>
      <c r="H139" s="9" t="s">
        <v>143</v>
      </c>
      <c r="I139" s="9" t="s">
        <v>188</v>
      </c>
      <c r="J139" s="9" t="s">
        <v>135</v>
      </c>
      <c r="K139" s="9" t="s">
        <v>196</v>
      </c>
      <c r="L139" s="9" t="s">
        <v>131</v>
      </c>
      <c r="M139" s="9" t="s">
        <v>240</v>
      </c>
      <c r="N139" s="9" t="s">
        <v>145</v>
      </c>
      <c r="O139" s="9" t="s">
        <v>195</v>
      </c>
      <c r="P139" s="9" t="s">
        <v>241</v>
      </c>
      <c r="Q139" s="9"/>
      <c r="R139" s="9">
        <v>7</v>
      </c>
      <c r="S139" s="9">
        <v>78114711</v>
      </c>
      <c r="T139" t="s">
        <v>233</v>
      </c>
      <c r="U139" s="9" t="s">
        <v>147</v>
      </c>
      <c r="V139" s="9"/>
      <c r="W139" s="19" t="s">
        <v>155</v>
      </c>
      <c r="X139" s="9">
        <v>42</v>
      </c>
      <c r="Y139" s="9">
        <v>1</v>
      </c>
      <c r="Z139" s="9">
        <v>5</v>
      </c>
      <c r="AA139" s="9" t="str">
        <f>IF(Tabla152[[#This Row],[NOTA]]=15,"CUMPLE","NO CUMPLE")</f>
        <v>NO CUMPLE</v>
      </c>
      <c r="AB139" s="9" t="str">
        <f>IF(COUNTIF($A$10:A139,A139)=1,IF(COUNTIFS($A:$A,A139,$AA:$AA,"NO CUMPLE")&gt;0,"NO CUMPLE","CUMPLE"),"")</f>
        <v>NO CUMPLE</v>
      </c>
      <c r="AC139" s="9" t="s">
        <v>140</v>
      </c>
      <c r="AD139" s="8">
        <v>1</v>
      </c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18"/>
      <c r="BX139" s="18">
        <f>IF($X139="","",AE139/$X$10)</f>
        <v>0</v>
      </c>
      <c r="BY139" s="18">
        <f>IF($X139="","",AF139/$X$10)</f>
        <v>0</v>
      </c>
      <c r="BZ139" s="18">
        <f>IF($X139="","",AG139/$X$10)</f>
        <v>0</v>
      </c>
      <c r="CA139" s="18">
        <f>IF($X139="","",AH139/$X$10)</f>
        <v>0</v>
      </c>
      <c r="CB139" s="18">
        <f t="shared" ref="CB139:CB202" si="17">IF($X139="","",AI139/$X$10)</f>
        <v>0</v>
      </c>
      <c r="CC139" s="18">
        <f>IF($X139="","",AJ139/$X$10)</f>
        <v>0</v>
      </c>
      <c r="CD139" s="18">
        <f>IF($X139="","",AK139/$X$10)</f>
        <v>0</v>
      </c>
      <c r="CE139" s="18">
        <f>IF($X139="","",AL139/$X$10)</f>
        <v>0</v>
      </c>
      <c r="CF139" s="18">
        <f>IF($X139="","",AM139/$X$10)</f>
        <v>0</v>
      </c>
      <c r="CG139" s="18">
        <f>IF($X139="","",AN139/$X$10)</f>
        <v>0</v>
      </c>
      <c r="CH139" s="18">
        <f>IF($X139="","",AO139/$X$10)</f>
        <v>0</v>
      </c>
      <c r="CI139" s="18">
        <f>IF($X139="","",AP139/$X$10)</f>
        <v>0</v>
      </c>
      <c r="CJ139" s="18">
        <f>IF($X139="","",AQ139/$X$10)</f>
        <v>0</v>
      </c>
      <c r="CK139" s="18">
        <f>IF($X139="","",AR139/$X$10)</f>
        <v>0</v>
      </c>
      <c r="CL139" s="18">
        <f>IF($X139="","",AS139/$X$10)</f>
        <v>0</v>
      </c>
      <c r="CM139" s="18">
        <f>IF($X139="","",AT139/$X$10)</f>
        <v>0</v>
      </c>
      <c r="CN139" s="18">
        <f>IF($X139="","",AU139/$X$10)</f>
        <v>0</v>
      </c>
      <c r="CO139" s="18">
        <f>IF($X139="","",AV139/$X$10)</f>
        <v>0</v>
      </c>
      <c r="CP139" s="18">
        <f>IF($X139="","",AW139/$X$10)</f>
        <v>0</v>
      </c>
      <c r="CQ139" s="18">
        <f>IF($X139="","",AX139/$X$10)</f>
        <v>0</v>
      </c>
      <c r="CR139" s="18">
        <f>IF($X139="","",AY139/$X$10)</f>
        <v>0</v>
      </c>
      <c r="CS139" s="18">
        <f>IF($X139="","",AZ139/$X$10)</f>
        <v>0</v>
      </c>
      <c r="CT139" s="18">
        <f>IF($X139="","",BA139/$X$10)</f>
        <v>0</v>
      </c>
      <c r="CU139" s="18">
        <f>IF($X139="","",BB139/$X$10)</f>
        <v>0</v>
      </c>
      <c r="CV139" s="18">
        <f>IF($X139="","",BC139/$X$10)</f>
        <v>0</v>
      </c>
      <c r="CW139" s="18">
        <f>IF($X139="","",BD139/$X$10)</f>
        <v>0</v>
      </c>
      <c r="CX139" s="18">
        <f>IF($X139="","",BE139/$X$10)</f>
        <v>0</v>
      </c>
      <c r="CY139" s="18">
        <f>IF($X139="","",BF139/$X$10)</f>
        <v>0</v>
      </c>
      <c r="CZ139" s="18">
        <f>IF($X139="","",BG139/$X$10)</f>
        <v>0</v>
      </c>
      <c r="DA139" s="18">
        <f>IF($X139="","",BH139/$X$10)</f>
        <v>0</v>
      </c>
      <c r="DB139" s="18">
        <f>IF($X139="","",BI139/$X$10)</f>
        <v>0</v>
      </c>
      <c r="DC139" s="18">
        <f>IF($X139="","",BJ139/$X$10)</f>
        <v>0</v>
      </c>
      <c r="DD139" s="18">
        <f>IF($X139="","",BK139/$X$10)</f>
        <v>0</v>
      </c>
      <c r="DE139" s="18">
        <f>IF($X139="","",BL139/$X$10)</f>
        <v>0</v>
      </c>
      <c r="DF139" s="18">
        <f>IF($X139="","",BM139/$X$10)</f>
        <v>0</v>
      </c>
      <c r="DG139" s="18">
        <f t="shared" ref="DG139:DG202" si="18">IF($X139="","",BN139/$X$10)</f>
        <v>0</v>
      </c>
      <c r="DH139" s="18">
        <f>IF($X139="","",BO139/$X$10)</f>
        <v>0</v>
      </c>
      <c r="DI139" s="18">
        <f>IF($X139="","",BP139/$X$10)</f>
        <v>0</v>
      </c>
      <c r="DJ139" s="18">
        <f>IF($X139="","",BQ139/$X$10)</f>
        <v>0</v>
      </c>
      <c r="DK139" s="18">
        <f>IF($X139="","",BR139/$X$10)</f>
        <v>0</v>
      </c>
      <c r="DL139" s="18">
        <f>IF($X139="","",BS139/$X$10)</f>
        <v>0</v>
      </c>
      <c r="DM139" s="18">
        <f>IF($X139="","",BT139/$X$10)</f>
        <v>0</v>
      </c>
      <c r="DN139" s="18">
        <f t="shared" si="14"/>
        <v>0</v>
      </c>
      <c r="DO139" s="16">
        <f>IF($X139="","",SUM(Tabla152[[#This Row],[PODRIDO]],Tabla152[[#This Row],[HONGO]],Tabla152[[#This Row],[PICADO DE AVE CON PUDRICIÓN]],Tabla152[[#This Row],[FUMAGINA]])/$X$10)</f>
        <v>0</v>
      </c>
      <c r="DP139" s="16">
        <f>IF($X139="","",SUM(Tabla152[[#This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39" s="16">
        <f>IF($X139="","",SUM(Tabla152[[#This Row],[BLANDO]:[COLAPSADO]])/$X$10)</f>
        <v>0</v>
      </c>
      <c r="DR139" s="16">
        <f>IF($X139="","",SUM(Tabla152[[#This Row],[DESHIDRATADO LEVE]:[DESHIDRATADO INMADURO]])/$X$10)</f>
        <v>0</v>
      </c>
      <c r="DS139" s="18">
        <f t="shared" si="15"/>
        <v>0</v>
      </c>
      <c r="DT139" s="16">
        <f>IF($X139="","",SUM(Tabla152[[#This Row],[PRESENCIA DE LARVA]],Tabla152[[#This Row],[CHANCHITO BLANCO]])/$X$10)</f>
        <v>0</v>
      </c>
      <c r="DU139" s="18">
        <f>IF($X139="","",SUM(Tabla152[[#This Row],[ROJO GRADO 2 A MÁS]],Tabla152[[#This Row],[IMMADURO VERDE]],Tabla152[[#This Row],[DESORDEN POR MADURACIÓN]],Tabla152[[#This Row],[ARO PEDICELAR VERDE EXTREMO]])/$X$10)</f>
        <v>0</v>
      </c>
      <c r="DV139" s="16">
        <f>IF($X139="","",SUM(Tabla152[[#This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39" s="16">
        <f t="shared" si="16"/>
        <v>0</v>
      </c>
      <c r="DX139" s="16">
        <f>IF($X139="","",AJ139/$X$10)</f>
        <v>0</v>
      </c>
      <c r="DY139" s="16">
        <f>IF($X139="","",SUM(Tabla152[[#This Row],[PRESENCIA DE COROLA]],Tabla152[[#This Row],[PRESENCIA DE RESTO FLORAL VERDE]],Tabla152[[#This Row],[PRESENCIA DE PEDÚNCULO]])/$X$10)</f>
        <v>0</v>
      </c>
      <c r="DZ139" s="16">
        <f>IF($X139="","",SUM(Tabla152[[#This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1.5873015873015872E-2</v>
      </c>
    </row>
    <row r="140" spans="1:130" x14ac:dyDescent="0.3">
      <c r="A140" s="9">
        <f>IF(W140="","",IF(ROW()=10,1,IF(W140=W139,A139,MAX($A$9:A139)+1)))</f>
        <v>43</v>
      </c>
      <c r="B140" s="9">
        <f>WEEKNUM(Tabla152[[#This Row],[FECHA DE COSECHA]],21)</f>
        <v>36</v>
      </c>
      <c r="C140" s="9"/>
      <c r="D140" s="17">
        <v>46268</v>
      </c>
      <c r="E140" s="17">
        <v>46268</v>
      </c>
      <c r="F140" s="9">
        <v>1</v>
      </c>
      <c r="G140" s="9" t="s">
        <v>77</v>
      </c>
      <c r="H140" s="9" t="s">
        <v>143</v>
      </c>
      <c r="I140" s="9" t="s">
        <v>188</v>
      </c>
      <c r="J140" s="9" t="s">
        <v>135</v>
      </c>
      <c r="K140" s="9" t="s">
        <v>196</v>
      </c>
      <c r="L140" s="9" t="s">
        <v>131</v>
      </c>
      <c r="M140" s="9" t="s">
        <v>240</v>
      </c>
      <c r="N140" s="9" t="s">
        <v>145</v>
      </c>
      <c r="O140" s="9" t="s">
        <v>195</v>
      </c>
      <c r="P140" s="9" t="s">
        <v>241</v>
      </c>
      <c r="Q140" s="9"/>
      <c r="R140" s="9">
        <v>7</v>
      </c>
      <c r="S140" s="9">
        <v>78114711</v>
      </c>
      <c r="T140" t="s">
        <v>233</v>
      </c>
      <c r="U140" s="9" t="s">
        <v>147</v>
      </c>
      <c r="V140" s="9"/>
      <c r="W140" s="19" t="s">
        <v>155</v>
      </c>
      <c r="X140" s="9">
        <v>42</v>
      </c>
      <c r="Y140" s="9">
        <v>2</v>
      </c>
      <c r="Z140" s="9">
        <v>15</v>
      </c>
      <c r="AA140" s="9" t="str">
        <f>IF(Tabla152[[#This Row],[NOTA]]=15,"CUMPLE","NO CUMPLE")</f>
        <v>CUMPLE</v>
      </c>
      <c r="AB140" s="9" t="str">
        <f>IF(COUNTIF($A$10:A140,A140)=1,IF(COUNTIFS($A:$A,A140,$AA:$AA,"NO CUMPLE")&gt;0,"NO CUMPLE","CUMPLE"),"")</f>
        <v/>
      </c>
      <c r="AC140" s="9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18"/>
      <c r="BX140" s="18">
        <f>IF($X140="","",AE140/$X$10)</f>
        <v>0</v>
      </c>
      <c r="BY140" s="18">
        <f>IF($X140="","",AF140/$X$10)</f>
        <v>0</v>
      </c>
      <c r="BZ140" s="18">
        <f>IF($X140="","",AG140/$X$10)</f>
        <v>0</v>
      </c>
      <c r="CA140" s="18">
        <f>IF($X140="","",AH140/$X$10)</f>
        <v>0</v>
      </c>
      <c r="CB140" s="18">
        <f t="shared" si="17"/>
        <v>0</v>
      </c>
      <c r="CC140" s="18">
        <f>IF($X140="","",AJ140/$X$10)</f>
        <v>0</v>
      </c>
      <c r="CD140" s="18">
        <f>IF($X140="","",AK140/$X$10)</f>
        <v>0</v>
      </c>
      <c r="CE140" s="18">
        <f>IF($X140="","",AL140/$X$10)</f>
        <v>0</v>
      </c>
      <c r="CF140" s="18">
        <f>IF($X140="","",AM140/$X$10)</f>
        <v>0</v>
      </c>
      <c r="CG140" s="18">
        <f>IF($X140="","",AN140/$X$10)</f>
        <v>0</v>
      </c>
      <c r="CH140" s="18">
        <f>IF($X140="","",AO140/$X$10)</f>
        <v>0</v>
      </c>
      <c r="CI140" s="18">
        <f>IF($X140="","",AP140/$X$10)</f>
        <v>0</v>
      </c>
      <c r="CJ140" s="18">
        <f>IF($X140="","",AQ140/$X$10)</f>
        <v>0</v>
      </c>
      <c r="CK140" s="18">
        <f>IF($X140="","",AR140/$X$10)</f>
        <v>0</v>
      </c>
      <c r="CL140" s="18">
        <f>IF($X140="","",AS140/$X$10)</f>
        <v>0</v>
      </c>
      <c r="CM140" s="18">
        <f>IF($X140="","",AT140/$X$10)</f>
        <v>0</v>
      </c>
      <c r="CN140" s="18">
        <f>IF($X140="","",AU140/$X$10)</f>
        <v>0</v>
      </c>
      <c r="CO140" s="18">
        <f>IF($X140="","",AV140/$X$10)</f>
        <v>0</v>
      </c>
      <c r="CP140" s="18">
        <f>IF($X140="","",AW140/$X$10)</f>
        <v>0</v>
      </c>
      <c r="CQ140" s="18">
        <f>IF($X140="","",AX140/$X$10)</f>
        <v>0</v>
      </c>
      <c r="CR140" s="18">
        <f>IF($X140="","",AY140/$X$10)</f>
        <v>0</v>
      </c>
      <c r="CS140" s="18">
        <f>IF($X140="","",AZ140/$X$10)</f>
        <v>0</v>
      </c>
      <c r="CT140" s="18">
        <f>IF($X140="","",BA140/$X$10)</f>
        <v>0</v>
      </c>
      <c r="CU140" s="18">
        <f>IF($X140="","",BB140/$X$10)</f>
        <v>0</v>
      </c>
      <c r="CV140" s="18">
        <f>IF($X140="","",BC140/$X$10)</f>
        <v>0</v>
      </c>
      <c r="CW140" s="18">
        <f>IF($X140="","",BD140/$X$10)</f>
        <v>0</v>
      </c>
      <c r="CX140" s="18">
        <f>IF($X140="","",BE140/$X$10)</f>
        <v>0</v>
      </c>
      <c r="CY140" s="18">
        <f>IF($X140="","",BF140/$X$10)</f>
        <v>0</v>
      </c>
      <c r="CZ140" s="18">
        <f>IF($X140="","",BG140/$X$10)</f>
        <v>0</v>
      </c>
      <c r="DA140" s="18">
        <f>IF($X140="","",BH140/$X$10)</f>
        <v>0</v>
      </c>
      <c r="DB140" s="18">
        <f>IF($X140="","",BI140/$X$10)</f>
        <v>0</v>
      </c>
      <c r="DC140" s="18">
        <f>IF($X140="","",BJ140/$X$10)</f>
        <v>0</v>
      </c>
      <c r="DD140" s="18">
        <f>IF($X140="","",BK140/$X$10)</f>
        <v>0</v>
      </c>
      <c r="DE140" s="18">
        <f>IF($X140="","",BL140/$X$10)</f>
        <v>0</v>
      </c>
      <c r="DF140" s="18">
        <f>IF($X140="","",BM140/$X$10)</f>
        <v>0</v>
      </c>
      <c r="DG140" s="18">
        <f t="shared" si="18"/>
        <v>0</v>
      </c>
      <c r="DH140" s="18">
        <f>IF($X140="","",BO140/$X$10)</f>
        <v>0</v>
      </c>
      <c r="DI140" s="18">
        <f>IF($X140="","",BP140/$X$10)</f>
        <v>0</v>
      </c>
      <c r="DJ140" s="18">
        <f>IF($X140="","",BQ140/$X$10)</f>
        <v>0</v>
      </c>
      <c r="DK140" s="18">
        <f>IF($X140="","",BR140/$X$10)</f>
        <v>0</v>
      </c>
      <c r="DL140" s="18">
        <f>IF($X140="","",BS140/$X$10)</f>
        <v>0</v>
      </c>
      <c r="DM140" s="18">
        <f>IF($X140="","",BT140/$X$10)</f>
        <v>0</v>
      </c>
      <c r="DN140" s="18">
        <f t="shared" si="14"/>
        <v>0</v>
      </c>
      <c r="DO140" s="16">
        <f>IF($X140="","",SUM(Tabla152[[#This Row],[PODRIDO]],Tabla152[[#This Row],[HONGO]],Tabla152[[#This Row],[PICADO DE AVE CON PUDRICIÓN]],Tabla152[[#This Row],[FUMAGINA]])/$X$10)</f>
        <v>0</v>
      </c>
      <c r="DP140" s="16">
        <f>IF($X140="","",SUM(Tabla152[[#This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40" s="16">
        <f>IF($X140="","",SUM(Tabla152[[#This Row],[BLANDO]:[COLAPSADO]])/$X$10)</f>
        <v>0</v>
      </c>
      <c r="DR140" s="16">
        <f>IF($X140="","",SUM(Tabla152[[#This Row],[DESHIDRATADO LEVE]:[DESHIDRATADO INMADURO]])/$X$10)</f>
        <v>0</v>
      </c>
      <c r="DS140" s="18">
        <f t="shared" si="15"/>
        <v>0</v>
      </c>
      <c r="DT140" s="16">
        <f>IF($X140="","",SUM(Tabla152[[#This Row],[PRESENCIA DE LARVA]],Tabla152[[#This Row],[CHANCHITO BLANCO]])/$X$10)</f>
        <v>0</v>
      </c>
      <c r="DU140" s="18">
        <f>IF($X140="","",SUM(Tabla152[[#This Row],[ROJO GRADO 2 A MÁS]],Tabla152[[#This Row],[IMMADURO VERDE]],Tabla152[[#This Row],[DESORDEN POR MADURACIÓN]],Tabla152[[#This Row],[ARO PEDICELAR VERDE EXTREMO]])/$X$10)</f>
        <v>0</v>
      </c>
      <c r="DV140" s="16">
        <f>IF($X140="","",SUM(Tabla152[[#This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40" s="16">
        <f t="shared" si="16"/>
        <v>0</v>
      </c>
      <c r="DX140" s="16">
        <f>IF($X140="","",AJ140/$X$10)</f>
        <v>0</v>
      </c>
      <c r="DY140" s="16">
        <f>IF($X140="","",SUM(Tabla152[[#This Row],[PRESENCIA DE COROLA]],Tabla152[[#This Row],[PRESENCIA DE RESTO FLORAL VERDE]],Tabla152[[#This Row],[PRESENCIA DE PEDÚNCULO]])/$X$10)</f>
        <v>0</v>
      </c>
      <c r="DZ140" s="16">
        <f>IF($X140="","",SUM(Tabla152[[#This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41" spans="1:130" x14ac:dyDescent="0.3">
      <c r="A141" s="9">
        <f>IF(W141="","",IF(ROW()=10,1,IF(W141=W140,A140,MAX($A$9:A140)+1)))</f>
        <v>43</v>
      </c>
      <c r="B141" s="9">
        <f>WEEKNUM(Tabla152[[#This Row],[FECHA DE COSECHA]],21)</f>
        <v>36</v>
      </c>
      <c r="C141" s="9"/>
      <c r="D141" s="17">
        <v>46268</v>
      </c>
      <c r="E141" s="17">
        <v>46268</v>
      </c>
      <c r="F141" s="9">
        <v>1</v>
      </c>
      <c r="G141" s="9" t="s">
        <v>77</v>
      </c>
      <c r="H141" s="9" t="s">
        <v>143</v>
      </c>
      <c r="I141" s="9" t="s">
        <v>188</v>
      </c>
      <c r="J141" s="9" t="s">
        <v>135</v>
      </c>
      <c r="K141" s="9" t="s">
        <v>196</v>
      </c>
      <c r="L141" s="9" t="s">
        <v>131</v>
      </c>
      <c r="M141" s="9" t="s">
        <v>240</v>
      </c>
      <c r="N141" s="9" t="s">
        <v>145</v>
      </c>
      <c r="O141" s="9" t="s">
        <v>195</v>
      </c>
      <c r="P141" s="9" t="s">
        <v>241</v>
      </c>
      <c r="Q141" s="9"/>
      <c r="R141" s="9">
        <v>7</v>
      </c>
      <c r="S141" s="9">
        <v>78114711</v>
      </c>
      <c r="T141" t="s">
        <v>233</v>
      </c>
      <c r="U141" s="9" t="s">
        <v>147</v>
      </c>
      <c r="V141" s="9"/>
      <c r="W141" s="19" t="s">
        <v>155</v>
      </c>
      <c r="X141" s="9">
        <v>42</v>
      </c>
      <c r="Y141" s="9">
        <v>3</v>
      </c>
      <c r="Z141" s="9">
        <v>15</v>
      </c>
      <c r="AA141" s="9" t="str">
        <f>IF(Tabla152[[#This Row],[NOTA]]=15,"CUMPLE","NO CUMPLE")</f>
        <v>CUMPLE</v>
      </c>
      <c r="AB141" s="9" t="str">
        <f>IF(COUNTIF($A$10:A141,A141)=1,IF(COUNTIFS($A:$A,A141,$AA:$AA,"NO CUMPLE")&gt;0,"NO CUMPLE","CUMPLE"),"")</f>
        <v/>
      </c>
      <c r="AC141" s="9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18"/>
      <c r="BX141" s="18">
        <f>IF($X141="","",AE141/$X$10)</f>
        <v>0</v>
      </c>
      <c r="BY141" s="18">
        <f>IF($X141="","",AF141/$X$10)</f>
        <v>0</v>
      </c>
      <c r="BZ141" s="18">
        <f>IF($X141="","",AG141/$X$10)</f>
        <v>0</v>
      </c>
      <c r="CA141" s="18">
        <f>IF($X141="","",AH141/$X$10)</f>
        <v>0</v>
      </c>
      <c r="CB141" s="18">
        <f t="shared" si="17"/>
        <v>0</v>
      </c>
      <c r="CC141" s="18">
        <f>IF($X141="","",AJ141/$X$10)</f>
        <v>0</v>
      </c>
      <c r="CD141" s="18">
        <f>IF($X141="","",AK141/$X$10)</f>
        <v>0</v>
      </c>
      <c r="CE141" s="18">
        <f>IF($X141="","",AL141/$X$10)</f>
        <v>0</v>
      </c>
      <c r="CF141" s="18">
        <f>IF($X141="","",AM141/$X$10)</f>
        <v>0</v>
      </c>
      <c r="CG141" s="18">
        <f>IF($X141="","",AN141/$X$10)</f>
        <v>0</v>
      </c>
      <c r="CH141" s="18">
        <f>IF($X141="","",AO141/$X$10)</f>
        <v>0</v>
      </c>
      <c r="CI141" s="18">
        <f>IF($X141="","",AP141/$X$10)</f>
        <v>0</v>
      </c>
      <c r="CJ141" s="18">
        <f>IF($X141="","",AQ141/$X$10)</f>
        <v>0</v>
      </c>
      <c r="CK141" s="18">
        <f>IF($X141="","",AR141/$X$10)</f>
        <v>0</v>
      </c>
      <c r="CL141" s="18">
        <f>IF($X141="","",AS141/$X$10)</f>
        <v>0</v>
      </c>
      <c r="CM141" s="18">
        <f>IF($X141="","",AT141/$X$10)</f>
        <v>0</v>
      </c>
      <c r="CN141" s="18">
        <f>IF($X141="","",AU141/$X$10)</f>
        <v>0</v>
      </c>
      <c r="CO141" s="18">
        <f>IF($X141="","",AV141/$X$10)</f>
        <v>0</v>
      </c>
      <c r="CP141" s="18">
        <f>IF($X141="","",AW141/$X$10)</f>
        <v>0</v>
      </c>
      <c r="CQ141" s="18">
        <f>IF($X141="","",AX141/$X$10)</f>
        <v>0</v>
      </c>
      <c r="CR141" s="18">
        <f>IF($X141="","",AY141/$X$10)</f>
        <v>0</v>
      </c>
      <c r="CS141" s="18">
        <f>IF($X141="","",AZ141/$X$10)</f>
        <v>0</v>
      </c>
      <c r="CT141" s="18">
        <f>IF($X141="","",BA141/$X$10)</f>
        <v>0</v>
      </c>
      <c r="CU141" s="18">
        <f>IF($X141="","",BB141/$X$10)</f>
        <v>0</v>
      </c>
      <c r="CV141" s="18">
        <f>IF($X141="","",BC141/$X$10)</f>
        <v>0</v>
      </c>
      <c r="CW141" s="18">
        <f>IF($X141="","",BD141/$X$10)</f>
        <v>0</v>
      </c>
      <c r="CX141" s="18">
        <f>IF($X141="","",BE141/$X$10)</f>
        <v>0</v>
      </c>
      <c r="CY141" s="18">
        <f>IF($X141="","",BF141/$X$10)</f>
        <v>0</v>
      </c>
      <c r="CZ141" s="18">
        <f>IF($X141="","",BG141/$X$10)</f>
        <v>0</v>
      </c>
      <c r="DA141" s="18">
        <f>IF($X141="","",BH141/$X$10)</f>
        <v>0</v>
      </c>
      <c r="DB141" s="18">
        <f>IF($X141="","",BI141/$X$10)</f>
        <v>0</v>
      </c>
      <c r="DC141" s="18">
        <f>IF($X141="","",BJ141/$X$10)</f>
        <v>0</v>
      </c>
      <c r="DD141" s="18">
        <f>IF($X141="","",BK141/$X$10)</f>
        <v>0</v>
      </c>
      <c r="DE141" s="18">
        <f>IF($X141="","",BL141/$X$10)</f>
        <v>0</v>
      </c>
      <c r="DF141" s="18">
        <f>IF($X141="","",BM141/$X$10)</f>
        <v>0</v>
      </c>
      <c r="DG141" s="18">
        <f t="shared" si="18"/>
        <v>0</v>
      </c>
      <c r="DH141" s="18">
        <f>IF($X141="","",BO141/$X$10)</f>
        <v>0</v>
      </c>
      <c r="DI141" s="18">
        <f>IF($X141="","",BP141/$X$10)</f>
        <v>0</v>
      </c>
      <c r="DJ141" s="18">
        <f>IF($X141="","",BQ141/$X$10)</f>
        <v>0</v>
      </c>
      <c r="DK141" s="18">
        <f>IF($X141="","",BR141/$X$10)</f>
        <v>0</v>
      </c>
      <c r="DL141" s="18">
        <f>IF($X141="","",BS141/$X$10)</f>
        <v>0</v>
      </c>
      <c r="DM141" s="18">
        <f>IF($X141="","",BT141/$X$10)</f>
        <v>0</v>
      </c>
      <c r="DN141" s="18">
        <f t="shared" si="14"/>
        <v>0</v>
      </c>
      <c r="DO141" s="16">
        <f>IF($X141="","",SUM(Tabla152[[#This Row],[PODRIDO]],Tabla152[[#This Row],[HONGO]],Tabla152[[#This Row],[PICADO DE AVE CON PUDRICIÓN]],Tabla152[[#This Row],[FUMAGINA]])/$X$10)</f>
        <v>0</v>
      </c>
      <c r="DP141" s="16">
        <f>IF($X141="","",SUM(Tabla152[[#This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41" s="16">
        <f>IF($X141="","",SUM(Tabla152[[#This Row],[BLANDO]:[COLAPSADO]])/$X$10)</f>
        <v>0</v>
      </c>
      <c r="DR141" s="16">
        <f>IF($X141="","",SUM(Tabla152[[#This Row],[DESHIDRATADO LEVE]:[DESHIDRATADO INMADURO]])/$X$10)</f>
        <v>0</v>
      </c>
      <c r="DS141" s="18">
        <f t="shared" si="15"/>
        <v>0</v>
      </c>
      <c r="DT141" s="16">
        <f>IF($X141="","",SUM(Tabla152[[#This Row],[PRESENCIA DE LARVA]],Tabla152[[#This Row],[CHANCHITO BLANCO]])/$X$10)</f>
        <v>0</v>
      </c>
      <c r="DU141" s="18">
        <f>IF($X141="","",SUM(Tabla152[[#This Row],[ROJO GRADO 2 A MÁS]],Tabla152[[#This Row],[IMMADURO VERDE]],Tabla152[[#This Row],[DESORDEN POR MADURACIÓN]],Tabla152[[#This Row],[ARO PEDICELAR VERDE EXTREMO]])/$X$10)</f>
        <v>0</v>
      </c>
      <c r="DV141" s="16">
        <f>IF($X141="","",SUM(Tabla152[[#This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41" s="16">
        <f t="shared" si="16"/>
        <v>0</v>
      </c>
      <c r="DX141" s="16">
        <f>IF($X141="","",AJ141/$X$10)</f>
        <v>0</v>
      </c>
      <c r="DY141" s="16">
        <f>IF($X141="","",SUM(Tabla152[[#This Row],[PRESENCIA DE COROLA]],Tabla152[[#This Row],[PRESENCIA DE RESTO FLORAL VERDE]],Tabla152[[#This Row],[PRESENCIA DE PEDÚNCULO]])/$X$10)</f>
        <v>0</v>
      </c>
      <c r="DZ141" s="16">
        <f>IF($X141="","",SUM(Tabla152[[#This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42" spans="1:130" x14ac:dyDescent="0.3">
      <c r="A142" s="9">
        <f>IF(W142="","",IF(ROW()=10,1,IF(W142=W141,A141,MAX($A$9:A141)+1)))</f>
        <v>44</v>
      </c>
      <c r="B142" s="9">
        <f>WEEKNUM(Tabla152[[#This Row],[FECHA DE COSECHA]],21)</f>
        <v>36</v>
      </c>
      <c r="C142" s="9"/>
      <c r="D142" s="17">
        <v>46268</v>
      </c>
      <c r="E142" s="17">
        <v>46268</v>
      </c>
      <c r="F142" s="9">
        <v>1</v>
      </c>
      <c r="G142" s="9" t="s">
        <v>77</v>
      </c>
      <c r="H142" s="9" t="s">
        <v>143</v>
      </c>
      <c r="I142" s="9" t="s">
        <v>188</v>
      </c>
      <c r="J142" s="9" t="s">
        <v>135</v>
      </c>
      <c r="K142" s="9" t="s">
        <v>196</v>
      </c>
      <c r="L142" s="9" t="s">
        <v>131</v>
      </c>
      <c r="M142" s="9" t="s">
        <v>240</v>
      </c>
      <c r="N142" s="9" t="s">
        <v>145</v>
      </c>
      <c r="O142" s="9" t="s">
        <v>195</v>
      </c>
      <c r="P142" s="9" t="s">
        <v>241</v>
      </c>
      <c r="Q142" s="9"/>
      <c r="R142" s="9">
        <v>7</v>
      </c>
      <c r="S142" s="9">
        <v>78114711</v>
      </c>
      <c r="T142" t="s">
        <v>233</v>
      </c>
      <c r="U142" s="9" t="s">
        <v>147</v>
      </c>
      <c r="V142" s="9"/>
      <c r="W142" s="19" t="s">
        <v>197</v>
      </c>
      <c r="X142" s="9">
        <v>42</v>
      </c>
      <c r="Y142" s="9">
        <v>1</v>
      </c>
      <c r="Z142" s="9">
        <v>15</v>
      </c>
      <c r="AA142" s="9" t="str">
        <f>IF(Tabla152[[#This Row],[NOTA]]=15,"CUMPLE","NO CUMPLE")</f>
        <v>CUMPLE</v>
      </c>
      <c r="AB142" s="9" t="str">
        <f>IF(COUNTIF($A$10:A142,A142)=1,IF(COUNTIFS($A:$A,A142,$AA:$AA,"NO CUMPLE")&gt;0,"NO CUMPLE","CUMPLE"),"")</f>
        <v>CUMPLE</v>
      </c>
      <c r="AC142" s="9" t="s">
        <v>140</v>
      </c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18"/>
      <c r="BX142" s="18">
        <f>IF($X142="","",AE142/$X$10)</f>
        <v>0</v>
      </c>
      <c r="BY142" s="18">
        <f>IF($X142="","",AF142/$X$10)</f>
        <v>0</v>
      </c>
      <c r="BZ142" s="18">
        <f>IF($X142="","",AG142/$X$10)</f>
        <v>0</v>
      </c>
      <c r="CA142" s="18">
        <f>IF($X142="","",AH142/$X$10)</f>
        <v>0</v>
      </c>
      <c r="CB142" s="18">
        <f t="shared" si="17"/>
        <v>0</v>
      </c>
      <c r="CC142" s="18">
        <f>IF($X142="","",AJ142/$X$10)</f>
        <v>0</v>
      </c>
      <c r="CD142" s="18">
        <f>IF($X142="","",AK142/$X$10)</f>
        <v>0</v>
      </c>
      <c r="CE142" s="18">
        <f>IF($X142="","",AL142/$X$10)</f>
        <v>0</v>
      </c>
      <c r="CF142" s="18">
        <f>IF($X142="","",AM142/$X$10)</f>
        <v>0</v>
      </c>
      <c r="CG142" s="18">
        <f>IF($X142="","",AN142/$X$10)</f>
        <v>0</v>
      </c>
      <c r="CH142" s="18">
        <f>IF($X142="","",AO142/$X$10)</f>
        <v>0</v>
      </c>
      <c r="CI142" s="18">
        <f>IF($X142="","",AP142/$X$10)</f>
        <v>0</v>
      </c>
      <c r="CJ142" s="18">
        <f>IF($X142="","",AQ142/$X$10)</f>
        <v>0</v>
      </c>
      <c r="CK142" s="18">
        <f>IF($X142="","",AR142/$X$10)</f>
        <v>0</v>
      </c>
      <c r="CL142" s="18">
        <f>IF($X142="","",AS142/$X$10)</f>
        <v>0</v>
      </c>
      <c r="CM142" s="18">
        <f>IF($X142="","",AT142/$X$10)</f>
        <v>0</v>
      </c>
      <c r="CN142" s="18">
        <f>IF($X142="","",AU142/$X$10)</f>
        <v>0</v>
      </c>
      <c r="CO142" s="18">
        <f>IF($X142="","",AV142/$X$10)</f>
        <v>0</v>
      </c>
      <c r="CP142" s="18">
        <f>IF($X142="","",AW142/$X$10)</f>
        <v>0</v>
      </c>
      <c r="CQ142" s="18">
        <f>IF($X142="","",AX142/$X$10)</f>
        <v>0</v>
      </c>
      <c r="CR142" s="18">
        <f>IF($X142="","",AY142/$X$10)</f>
        <v>0</v>
      </c>
      <c r="CS142" s="18">
        <f>IF($X142="","",AZ142/$X$10)</f>
        <v>0</v>
      </c>
      <c r="CT142" s="18">
        <f>IF($X142="","",BA142/$X$10)</f>
        <v>0</v>
      </c>
      <c r="CU142" s="18">
        <f>IF($X142="","",BB142/$X$10)</f>
        <v>0</v>
      </c>
      <c r="CV142" s="18">
        <f>IF($X142="","",BC142/$X$10)</f>
        <v>0</v>
      </c>
      <c r="CW142" s="18">
        <f>IF($X142="","",BD142/$X$10)</f>
        <v>0</v>
      </c>
      <c r="CX142" s="18">
        <f>IF($X142="","",BE142/$X$10)</f>
        <v>0</v>
      </c>
      <c r="CY142" s="18">
        <f>IF($X142="","",BF142/$X$10)</f>
        <v>0</v>
      </c>
      <c r="CZ142" s="18">
        <f>IF($X142="","",BG142/$X$10)</f>
        <v>0</v>
      </c>
      <c r="DA142" s="18">
        <f>IF($X142="","",BH142/$X$10)</f>
        <v>0</v>
      </c>
      <c r="DB142" s="18">
        <f>IF($X142="","",BI142/$X$10)</f>
        <v>0</v>
      </c>
      <c r="DC142" s="18">
        <f>IF($X142="","",BJ142/$X$10)</f>
        <v>0</v>
      </c>
      <c r="DD142" s="18">
        <f>IF($X142="","",BK142/$X$10)</f>
        <v>0</v>
      </c>
      <c r="DE142" s="18">
        <f>IF($X142="","",BL142/$X$10)</f>
        <v>0</v>
      </c>
      <c r="DF142" s="18">
        <f>IF($X142="","",BM142/$X$10)</f>
        <v>0</v>
      </c>
      <c r="DG142" s="18">
        <f t="shared" si="18"/>
        <v>0</v>
      </c>
      <c r="DH142" s="18">
        <f>IF($X142="","",BO142/$X$10)</f>
        <v>0</v>
      </c>
      <c r="DI142" s="18">
        <f>IF($X142="","",BP142/$X$10)</f>
        <v>0</v>
      </c>
      <c r="DJ142" s="18">
        <f>IF($X142="","",BQ142/$X$10)</f>
        <v>0</v>
      </c>
      <c r="DK142" s="18">
        <f>IF($X142="","",BR142/$X$10)</f>
        <v>0</v>
      </c>
      <c r="DL142" s="18">
        <f>IF($X142="","",BS142/$X$10)</f>
        <v>0</v>
      </c>
      <c r="DM142" s="18">
        <f>IF($X142="","",BT142/$X$10)</f>
        <v>0</v>
      </c>
      <c r="DN142" s="18">
        <f t="shared" si="14"/>
        <v>0</v>
      </c>
      <c r="DO142" s="16">
        <f>IF($X142="","",SUM(Tabla152[[#This Row],[PODRIDO]],Tabla152[[#This Row],[HONGO]],Tabla152[[#This Row],[PICADO DE AVE CON PUDRICIÓN]],Tabla152[[#This Row],[FUMAGINA]])/$X$10)</f>
        <v>0</v>
      </c>
      <c r="DP142" s="16">
        <f>IF($X142="","",SUM(Tabla152[[#This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42" s="16">
        <f>IF($X142="","",SUM(Tabla152[[#This Row],[BLANDO]:[COLAPSADO]])/$X$10)</f>
        <v>0</v>
      </c>
      <c r="DR142" s="16">
        <f>IF($X142="","",SUM(Tabla152[[#This Row],[DESHIDRATADO LEVE]:[DESHIDRATADO INMADURO]])/$X$10)</f>
        <v>0</v>
      </c>
      <c r="DS142" s="18">
        <f t="shared" si="15"/>
        <v>0</v>
      </c>
      <c r="DT142" s="16">
        <f>IF($X142="","",SUM(Tabla152[[#This Row],[PRESENCIA DE LARVA]],Tabla152[[#This Row],[CHANCHITO BLANCO]])/$X$10)</f>
        <v>0</v>
      </c>
      <c r="DU142" s="18">
        <f>IF($X142="","",SUM(Tabla152[[#This Row],[ROJO GRADO 2 A MÁS]],Tabla152[[#This Row],[IMMADURO VERDE]],Tabla152[[#This Row],[DESORDEN POR MADURACIÓN]],Tabla152[[#This Row],[ARO PEDICELAR VERDE EXTREMO]])/$X$10)</f>
        <v>0</v>
      </c>
      <c r="DV142" s="16">
        <f>IF($X142="","",SUM(Tabla152[[#This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42" s="16">
        <f t="shared" si="16"/>
        <v>0</v>
      </c>
      <c r="DX142" s="16">
        <f>IF($X142="","",AJ142/$X$10)</f>
        <v>0</v>
      </c>
      <c r="DY142" s="16">
        <f>IF($X142="","",SUM(Tabla152[[#This Row],[PRESENCIA DE COROLA]],Tabla152[[#This Row],[PRESENCIA DE RESTO FLORAL VERDE]],Tabla152[[#This Row],[PRESENCIA DE PEDÚNCULO]])/$X$10)</f>
        <v>0</v>
      </c>
      <c r="DZ142" s="16">
        <f>IF($X142="","",SUM(Tabla152[[#This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43" spans="1:130" x14ac:dyDescent="0.3">
      <c r="A143" s="9">
        <f>IF(W143="","",IF(ROW()=10,1,IF(W143=W142,A142,MAX($A$9:A142)+1)))</f>
        <v>44</v>
      </c>
      <c r="B143" s="9">
        <f>WEEKNUM(Tabla152[[#This Row],[FECHA DE COSECHA]],21)</f>
        <v>36</v>
      </c>
      <c r="C143" s="9"/>
      <c r="D143" s="17">
        <v>46268</v>
      </c>
      <c r="E143" s="17">
        <v>46268</v>
      </c>
      <c r="F143" s="9">
        <v>1</v>
      </c>
      <c r="G143" s="9" t="s">
        <v>77</v>
      </c>
      <c r="H143" s="9" t="s">
        <v>143</v>
      </c>
      <c r="I143" s="9" t="s">
        <v>188</v>
      </c>
      <c r="J143" s="9" t="s">
        <v>135</v>
      </c>
      <c r="K143" s="9" t="s">
        <v>196</v>
      </c>
      <c r="L143" s="9" t="s">
        <v>131</v>
      </c>
      <c r="M143" s="9" t="s">
        <v>240</v>
      </c>
      <c r="N143" s="9" t="s">
        <v>145</v>
      </c>
      <c r="O143" s="9" t="s">
        <v>195</v>
      </c>
      <c r="P143" s="9" t="s">
        <v>241</v>
      </c>
      <c r="Q143" s="9"/>
      <c r="R143" s="9">
        <v>7</v>
      </c>
      <c r="S143" s="9">
        <v>78114711</v>
      </c>
      <c r="T143" t="s">
        <v>233</v>
      </c>
      <c r="U143" s="9" t="s">
        <v>147</v>
      </c>
      <c r="V143" s="9"/>
      <c r="W143" s="19" t="s">
        <v>197</v>
      </c>
      <c r="X143" s="9">
        <v>42</v>
      </c>
      <c r="Y143" s="9">
        <v>2</v>
      </c>
      <c r="Z143" s="9">
        <v>15</v>
      </c>
      <c r="AA143" s="9" t="str">
        <f>IF(Tabla152[[#This Row],[NOTA]]=15,"CUMPLE","NO CUMPLE")</f>
        <v>CUMPLE</v>
      </c>
      <c r="AB143" s="9" t="str">
        <f>IF(COUNTIF($A$10:A143,A143)=1,IF(COUNTIFS($A:$A,A143,$AA:$AA,"NO CUMPLE")&gt;0,"NO CUMPLE","CUMPLE"),"")</f>
        <v/>
      </c>
      <c r="AC143" s="9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18"/>
      <c r="BX143" s="18">
        <f>IF($X143="","",AE143/$X$10)</f>
        <v>0</v>
      </c>
      <c r="BY143" s="18">
        <f>IF($X143="","",AF143/$X$10)</f>
        <v>0</v>
      </c>
      <c r="BZ143" s="18">
        <f>IF($X143="","",AG143/$X$10)</f>
        <v>0</v>
      </c>
      <c r="CA143" s="18">
        <f>IF($X143="","",AH143/$X$10)</f>
        <v>0</v>
      </c>
      <c r="CB143" s="18">
        <f t="shared" si="17"/>
        <v>0</v>
      </c>
      <c r="CC143" s="18">
        <f>IF($X143="","",AJ143/$X$10)</f>
        <v>0</v>
      </c>
      <c r="CD143" s="18">
        <f>IF($X143="","",AK143/$X$10)</f>
        <v>0</v>
      </c>
      <c r="CE143" s="18">
        <f>IF($X143="","",AL143/$X$10)</f>
        <v>0</v>
      </c>
      <c r="CF143" s="18">
        <f>IF($X143="","",AM143/$X$10)</f>
        <v>0</v>
      </c>
      <c r="CG143" s="18">
        <f>IF($X143="","",AN143/$X$10)</f>
        <v>0</v>
      </c>
      <c r="CH143" s="18">
        <f>IF($X143="","",AO143/$X$10)</f>
        <v>0</v>
      </c>
      <c r="CI143" s="18">
        <f>IF($X143="","",AP143/$X$10)</f>
        <v>0</v>
      </c>
      <c r="CJ143" s="18">
        <f>IF($X143="","",AQ143/$X$10)</f>
        <v>0</v>
      </c>
      <c r="CK143" s="18">
        <f>IF($X143="","",AR143/$X$10)</f>
        <v>0</v>
      </c>
      <c r="CL143" s="18">
        <f>IF($X143="","",AS143/$X$10)</f>
        <v>0</v>
      </c>
      <c r="CM143" s="18">
        <f>IF($X143="","",AT143/$X$10)</f>
        <v>0</v>
      </c>
      <c r="CN143" s="18">
        <f>IF($X143="","",AU143/$X$10)</f>
        <v>0</v>
      </c>
      <c r="CO143" s="18">
        <f>IF($X143="","",AV143/$X$10)</f>
        <v>0</v>
      </c>
      <c r="CP143" s="18">
        <f>IF($X143="","",AW143/$X$10)</f>
        <v>0</v>
      </c>
      <c r="CQ143" s="18">
        <f>IF($X143="","",AX143/$X$10)</f>
        <v>0</v>
      </c>
      <c r="CR143" s="18">
        <f>IF($X143="","",AY143/$X$10)</f>
        <v>0</v>
      </c>
      <c r="CS143" s="18">
        <f>IF($X143="","",AZ143/$X$10)</f>
        <v>0</v>
      </c>
      <c r="CT143" s="18">
        <f>IF($X143="","",BA143/$X$10)</f>
        <v>0</v>
      </c>
      <c r="CU143" s="18">
        <f>IF($X143="","",BB143/$X$10)</f>
        <v>0</v>
      </c>
      <c r="CV143" s="18">
        <f>IF($X143="","",BC143/$X$10)</f>
        <v>0</v>
      </c>
      <c r="CW143" s="18">
        <f>IF($X143="","",BD143/$X$10)</f>
        <v>0</v>
      </c>
      <c r="CX143" s="18">
        <f>IF($X143="","",BE143/$X$10)</f>
        <v>0</v>
      </c>
      <c r="CY143" s="18">
        <f>IF($X143="","",BF143/$X$10)</f>
        <v>0</v>
      </c>
      <c r="CZ143" s="18">
        <f>IF($X143="","",BG143/$X$10)</f>
        <v>0</v>
      </c>
      <c r="DA143" s="18">
        <f>IF($X143="","",BH143/$X$10)</f>
        <v>0</v>
      </c>
      <c r="DB143" s="18">
        <f>IF($X143="","",BI143/$X$10)</f>
        <v>0</v>
      </c>
      <c r="DC143" s="18">
        <f>IF($X143="","",BJ143/$X$10)</f>
        <v>0</v>
      </c>
      <c r="DD143" s="18">
        <f>IF($X143="","",BK143/$X$10)</f>
        <v>0</v>
      </c>
      <c r="DE143" s="18">
        <f>IF($X143="","",BL143/$X$10)</f>
        <v>0</v>
      </c>
      <c r="DF143" s="18">
        <f>IF($X143="","",BM143/$X$10)</f>
        <v>0</v>
      </c>
      <c r="DG143" s="18">
        <f t="shared" si="18"/>
        <v>0</v>
      </c>
      <c r="DH143" s="18">
        <f>IF($X143="","",BO143/$X$10)</f>
        <v>0</v>
      </c>
      <c r="DI143" s="18">
        <f>IF($X143="","",BP143/$X$10)</f>
        <v>0</v>
      </c>
      <c r="DJ143" s="18">
        <f>IF($X143="","",BQ143/$X$10)</f>
        <v>0</v>
      </c>
      <c r="DK143" s="18">
        <f>IF($X143="","",BR143/$X$10)</f>
        <v>0</v>
      </c>
      <c r="DL143" s="18">
        <f>IF($X143="","",BS143/$X$10)</f>
        <v>0</v>
      </c>
      <c r="DM143" s="18">
        <f>IF($X143="","",BT143/$X$10)</f>
        <v>0</v>
      </c>
      <c r="DN143" s="18">
        <f t="shared" si="14"/>
        <v>0</v>
      </c>
      <c r="DO143" s="16">
        <f>IF($X143="","",SUM(Tabla152[[#This Row],[PODRIDO]],Tabla152[[#This Row],[HONGO]],Tabla152[[#This Row],[PICADO DE AVE CON PUDRICIÓN]],Tabla152[[#This Row],[FUMAGINA]])/$X$10)</f>
        <v>0</v>
      </c>
      <c r="DP143" s="16">
        <f>IF($X143="","",SUM(Tabla152[[#This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43" s="16">
        <f>IF($X143="","",SUM(Tabla152[[#This Row],[BLANDO]:[COLAPSADO]])/$X$10)</f>
        <v>0</v>
      </c>
      <c r="DR143" s="16">
        <f>IF($X143="","",SUM(Tabla152[[#This Row],[DESHIDRATADO LEVE]:[DESHIDRATADO INMADURO]])/$X$10)</f>
        <v>0</v>
      </c>
      <c r="DS143" s="18">
        <f t="shared" si="15"/>
        <v>0</v>
      </c>
      <c r="DT143" s="16">
        <f>IF($X143="","",SUM(Tabla152[[#This Row],[PRESENCIA DE LARVA]],Tabla152[[#This Row],[CHANCHITO BLANCO]])/$X$10)</f>
        <v>0</v>
      </c>
      <c r="DU143" s="18">
        <f>IF($X143="","",SUM(Tabla152[[#This Row],[ROJO GRADO 2 A MÁS]],Tabla152[[#This Row],[IMMADURO VERDE]],Tabla152[[#This Row],[DESORDEN POR MADURACIÓN]],Tabla152[[#This Row],[ARO PEDICELAR VERDE EXTREMO]])/$X$10)</f>
        <v>0</v>
      </c>
      <c r="DV143" s="16">
        <f>IF($X143="","",SUM(Tabla152[[#This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43" s="16">
        <f t="shared" si="16"/>
        <v>0</v>
      </c>
      <c r="DX143" s="16">
        <f>IF($X143="","",AJ143/$X$10)</f>
        <v>0</v>
      </c>
      <c r="DY143" s="16">
        <f>IF($X143="","",SUM(Tabla152[[#This Row],[PRESENCIA DE COROLA]],Tabla152[[#This Row],[PRESENCIA DE RESTO FLORAL VERDE]],Tabla152[[#This Row],[PRESENCIA DE PEDÚNCULO]])/$X$10)</f>
        <v>0</v>
      </c>
      <c r="DZ143" s="16">
        <f>IF($X143="","",SUM(Tabla152[[#This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44" spans="1:130" x14ac:dyDescent="0.3">
      <c r="A144" s="9">
        <f>IF(W144="","",IF(ROW()=10,1,IF(W144=W143,A143,MAX($A$9:A143)+1)))</f>
        <v>44</v>
      </c>
      <c r="B144" s="9">
        <f>WEEKNUM(Tabla152[[#This Row],[FECHA DE COSECHA]],21)</f>
        <v>36</v>
      </c>
      <c r="C144" s="9"/>
      <c r="D144" s="17">
        <v>46268</v>
      </c>
      <c r="E144" s="17">
        <v>46268</v>
      </c>
      <c r="F144" s="9">
        <v>1</v>
      </c>
      <c r="G144" s="9" t="s">
        <v>77</v>
      </c>
      <c r="H144" s="9" t="s">
        <v>143</v>
      </c>
      <c r="I144" s="9" t="s">
        <v>188</v>
      </c>
      <c r="J144" s="9" t="s">
        <v>135</v>
      </c>
      <c r="K144" s="9" t="s">
        <v>196</v>
      </c>
      <c r="L144" s="9" t="s">
        <v>131</v>
      </c>
      <c r="M144" s="9" t="s">
        <v>240</v>
      </c>
      <c r="N144" s="9" t="s">
        <v>145</v>
      </c>
      <c r="O144" s="9" t="s">
        <v>195</v>
      </c>
      <c r="P144" s="9" t="s">
        <v>241</v>
      </c>
      <c r="Q144" s="9"/>
      <c r="R144" s="9">
        <v>7</v>
      </c>
      <c r="S144" s="9">
        <v>78114711</v>
      </c>
      <c r="T144" t="s">
        <v>233</v>
      </c>
      <c r="U144" s="9" t="s">
        <v>147</v>
      </c>
      <c r="V144" s="9"/>
      <c r="W144" s="19" t="s">
        <v>197</v>
      </c>
      <c r="X144" s="9">
        <v>42</v>
      </c>
      <c r="Y144" s="9">
        <v>3</v>
      </c>
      <c r="Z144" s="9">
        <v>15</v>
      </c>
      <c r="AA144" s="9" t="str">
        <f>IF(Tabla152[[#This Row],[NOTA]]=15,"CUMPLE","NO CUMPLE")</f>
        <v>CUMPLE</v>
      </c>
      <c r="AB144" s="9" t="str">
        <f>IF(COUNTIF($A$10:A144,A144)=1,IF(COUNTIFS($A:$A,A144,$AA:$AA,"NO CUMPLE")&gt;0,"NO CUMPLE","CUMPLE"),"")</f>
        <v/>
      </c>
      <c r="AC144" s="9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18"/>
      <c r="BX144" s="18">
        <f>IF($X144="","",AE144/$X$10)</f>
        <v>0</v>
      </c>
      <c r="BY144" s="18">
        <f>IF($X144="","",AF144/$X$10)</f>
        <v>0</v>
      </c>
      <c r="BZ144" s="18">
        <f>IF($X144="","",AG144/$X$10)</f>
        <v>0</v>
      </c>
      <c r="CA144" s="18">
        <f>IF($X144="","",AH144/$X$10)</f>
        <v>0</v>
      </c>
      <c r="CB144" s="18">
        <f t="shared" si="17"/>
        <v>0</v>
      </c>
      <c r="CC144" s="18">
        <f>IF($X144="","",AJ144/$X$10)</f>
        <v>0</v>
      </c>
      <c r="CD144" s="18">
        <f>IF($X144="","",AK144/$X$10)</f>
        <v>0</v>
      </c>
      <c r="CE144" s="18">
        <f>IF($X144="","",AL144/$X$10)</f>
        <v>0</v>
      </c>
      <c r="CF144" s="18">
        <f>IF($X144="","",AM144/$X$10)</f>
        <v>0</v>
      </c>
      <c r="CG144" s="18">
        <f>IF($X144="","",AN144/$X$10)</f>
        <v>0</v>
      </c>
      <c r="CH144" s="18">
        <f>IF($X144="","",AO144/$X$10)</f>
        <v>0</v>
      </c>
      <c r="CI144" s="18">
        <f>IF($X144="","",AP144/$X$10)</f>
        <v>0</v>
      </c>
      <c r="CJ144" s="18">
        <f>IF($X144="","",AQ144/$X$10)</f>
        <v>0</v>
      </c>
      <c r="CK144" s="18">
        <f>IF($X144="","",AR144/$X$10)</f>
        <v>0</v>
      </c>
      <c r="CL144" s="18">
        <f>IF($X144="","",AS144/$X$10)</f>
        <v>0</v>
      </c>
      <c r="CM144" s="18">
        <f>IF($X144="","",AT144/$X$10)</f>
        <v>0</v>
      </c>
      <c r="CN144" s="18">
        <f>IF($X144="","",AU144/$X$10)</f>
        <v>0</v>
      </c>
      <c r="CO144" s="18">
        <f>IF($X144="","",AV144/$X$10)</f>
        <v>0</v>
      </c>
      <c r="CP144" s="18">
        <f>IF($X144="","",AW144/$X$10)</f>
        <v>0</v>
      </c>
      <c r="CQ144" s="18">
        <f>IF($X144="","",AX144/$X$10)</f>
        <v>0</v>
      </c>
      <c r="CR144" s="18">
        <f>IF($X144="","",AY144/$X$10)</f>
        <v>0</v>
      </c>
      <c r="CS144" s="18">
        <f>IF($X144="","",AZ144/$X$10)</f>
        <v>0</v>
      </c>
      <c r="CT144" s="18">
        <f>IF($X144="","",BA144/$X$10)</f>
        <v>0</v>
      </c>
      <c r="CU144" s="18">
        <f>IF($X144="","",BB144/$X$10)</f>
        <v>0</v>
      </c>
      <c r="CV144" s="18">
        <f>IF($X144="","",BC144/$X$10)</f>
        <v>0</v>
      </c>
      <c r="CW144" s="18">
        <f>IF($X144="","",BD144/$X$10)</f>
        <v>0</v>
      </c>
      <c r="CX144" s="18">
        <f>IF($X144="","",BE144/$X$10)</f>
        <v>0</v>
      </c>
      <c r="CY144" s="18">
        <f>IF($X144="","",BF144/$X$10)</f>
        <v>0</v>
      </c>
      <c r="CZ144" s="18">
        <f>IF($X144="","",BG144/$X$10)</f>
        <v>0</v>
      </c>
      <c r="DA144" s="18">
        <f>IF($X144="","",BH144/$X$10)</f>
        <v>0</v>
      </c>
      <c r="DB144" s="18">
        <f>IF($X144="","",BI144/$X$10)</f>
        <v>0</v>
      </c>
      <c r="DC144" s="18">
        <f>IF($X144="","",BJ144/$X$10)</f>
        <v>0</v>
      </c>
      <c r="DD144" s="18">
        <f>IF($X144="","",BK144/$X$10)</f>
        <v>0</v>
      </c>
      <c r="DE144" s="18">
        <f>IF($X144="","",BL144/$X$10)</f>
        <v>0</v>
      </c>
      <c r="DF144" s="18">
        <f>IF($X144="","",BM144/$X$10)</f>
        <v>0</v>
      </c>
      <c r="DG144" s="18">
        <f t="shared" si="18"/>
        <v>0</v>
      </c>
      <c r="DH144" s="18">
        <f>IF($X144="","",BO144/$X$10)</f>
        <v>0</v>
      </c>
      <c r="DI144" s="18">
        <f>IF($X144="","",BP144/$X$10)</f>
        <v>0</v>
      </c>
      <c r="DJ144" s="18">
        <f>IF($X144="","",BQ144/$X$10)</f>
        <v>0</v>
      </c>
      <c r="DK144" s="18">
        <f>IF($X144="","",BR144/$X$10)</f>
        <v>0</v>
      </c>
      <c r="DL144" s="18">
        <f>IF($X144="","",BS144/$X$10)</f>
        <v>0</v>
      </c>
      <c r="DM144" s="18">
        <f>IF($X144="","",BT144/$X$10)</f>
        <v>0</v>
      </c>
      <c r="DN144" s="18">
        <f t="shared" si="14"/>
        <v>0</v>
      </c>
      <c r="DO144" s="16">
        <f>IF($X144="","",SUM(Tabla152[[#This Row],[PODRIDO]],Tabla152[[#This Row],[HONGO]],Tabla152[[#This Row],[PICADO DE AVE CON PUDRICIÓN]],Tabla152[[#This Row],[FUMAGINA]])/$X$10)</f>
        <v>0</v>
      </c>
      <c r="DP144" s="16">
        <f>IF($X144="","",SUM(Tabla152[[#This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44" s="16">
        <f>IF($X144="","",SUM(Tabla152[[#This Row],[BLANDO]:[COLAPSADO]])/$X$10)</f>
        <v>0</v>
      </c>
      <c r="DR144" s="16">
        <f>IF($X144="","",SUM(Tabla152[[#This Row],[DESHIDRATADO LEVE]:[DESHIDRATADO INMADURO]])/$X$10)</f>
        <v>0</v>
      </c>
      <c r="DS144" s="18">
        <f t="shared" si="15"/>
        <v>0</v>
      </c>
      <c r="DT144" s="16">
        <f>IF($X144="","",SUM(Tabla152[[#This Row],[PRESENCIA DE LARVA]],Tabla152[[#This Row],[CHANCHITO BLANCO]])/$X$10)</f>
        <v>0</v>
      </c>
      <c r="DU144" s="18">
        <f>IF($X144="","",SUM(Tabla152[[#This Row],[ROJO GRADO 2 A MÁS]],Tabla152[[#This Row],[IMMADURO VERDE]],Tabla152[[#This Row],[DESORDEN POR MADURACIÓN]],Tabla152[[#This Row],[ARO PEDICELAR VERDE EXTREMO]])/$X$10)</f>
        <v>0</v>
      </c>
      <c r="DV144" s="16">
        <f>IF($X144="","",SUM(Tabla152[[#This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44" s="16">
        <f t="shared" si="16"/>
        <v>0</v>
      </c>
      <c r="DX144" s="16">
        <f>IF($X144="","",AJ144/$X$10)</f>
        <v>0</v>
      </c>
      <c r="DY144" s="16">
        <f>IF($X144="","",SUM(Tabla152[[#This Row],[PRESENCIA DE COROLA]],Tabla152[[#This Row],[PRESENCIA DE RESTO FLORAL VERDE]],Tabla152[[#This Row],[PRESENCIA DE PEDÚNCULO]])/$X$10)</f>
        <v>0</v>
      </c>
      <c r="DZ144" s="16">
        <f>IF($X144="","",SUM(Tabla152[[#This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45" spans="1:130" x14ac:dyDescent="0.3">
      <c r="A145" s="9">
        <f>IF(W145="","",IF(ROW()=10,1,IF(W145=W144,A144,MAX($A$9:A144)+1)))</f>
        <v>45</v>
      </c>
      <c r="B145" s="9">
        <f>WEEKNUM(Tabla152[[#This Row],[FECHA DE COSECHA]],21)</f>
        <v>36</v>
      </c>
      <c r="C145" s="9"/>
      <c r="D145" s="17">
        <v>46268</v>
      </c>
      <c r="E145" s="17">
        <v>46268</v>
      </c>
      <c r="F145" s="9">
        <v>1</v>
      </c>
      <c r="G145" s="9" t="s">
        <v>77</v>
      </c>
      <c r="H145" s="9" t="s">
        <v>143</v>
      </c>
      <c r="I145" s="9" t="s">
        <v>188</v>
      </c>
      <c r="J145" s="9" t="s">
        <v>135</v>
      </c>
      <c r="K145" s="9" t="s">
        <v>196</v>
      </c>
      <c r="L145" s="9" t="s">
        <v>131</v>
      </c>
      <c r="M145" s="9" t="s">
        <v>240</v>
      </c>
      <c r="N145" s="9" t="s">
        <v>145</v>
      </c>
      <c r="O145" s="9" t="s">
        <v>195</v>
      </c>
      <c r="P145" s="9" t="s">
        <v>241</v>
      </c>
      <c r="Q145" s="9"/>
      <c r="R145" s="9">
        <v>7</v>
      </c>
      <c r="S145" s="9">
        <v>78114711</v>
      </c>
      <c r="T145" t="s">
        <v>233</v>
      </c>
      <c r="U145" s="9" t="s">
        <v>147</v>
      </c>
      <c r="V145" s="9"/>
      <c r="W145" s="19" t="s">
        <v>198</v>
      </c>
      <c r="X145" s="9">
        <v>42</v>
      </c>
      <c r="Y145" s="9">
        <v>1</v>
      </c>
      <c r="Z145" s="9">
        <v>15</v>
      </c>
      <c r="AA145" s="9" t="str">
        <f>IF(Tabla152[[#This Row],[NOTA]]=15,"CUMPLE","NO CUMPLE")</f>
        <v>CUMPLE</v>
      </c>
      <c r="AB145" s="9" t="str">
        <f>IF(COUNTIF($A$10:A145,A145)=1,IF(COUNTIFS($A:$A,A145,$AA:$AA,"NO CUMPLE")&gt;0,"NO CUMPLE","CUMPLE"),"")</f>
        <v>NO CUMPLE</v>
      </c>
      <c r="AC145" s="9" t="s">
        <v>140</v>
      </c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18"/>
      <c r="BX145" s="18">
        <f>IF($X145="","",AE145/$X$10)</f>
        <v>0</v>
      </c>
      <c r="BY145" s="18">
        <f>IF($X145="","",AF145/$X$10)</f>
        <v>0</v>
      </c>
      <c r="BZ145" s="18">
        <f>IF($X145="","",AG145/$X$10)</f>
        <v>0</v>
      </c>
      <c r="CA145" s="18">
        <f>IF($X145="","",AH145/$X$10)</f>
        <v>0</v>
      </c>
      <c r="CB145" s="18">
        <f t="shared" si="17"/>
        <v>0</v>
      </c>
      <c r="CC145" s="18">
        <f>IF($X145="","",AJ145/$X$10)</f>
        <v>0</v>
      </c>
      <c r="CD145" s="18">
        <f>IF($X145="","",AK145/$X$10)</f>
        <v>0</v>
      </c>
      <c r="CE145" s="18">
        <f>IF($X145="","",AL145/$X$10)</f>
        <v>0</v>
      </c>
      <c r="CF145" s="18">
        <f>IF($X145="","",AM145/$X$10)</f>
        <v>0</v>
      </c>
      <c r="CG145" s="18">
        <f>IF($X145="","",AN145/$X$10)</f>
        <v>0</v>
      </c>
      <c r="CH145" s="18">
        <f>IF($X145="","",AO145/$X$10)</f>
        <v>0</v>
      </c>
      <c r="CI145" s="18">
        <f>IF($X145="","",AP145/$X$10)</f>
        <v>0</v>
      </c>
      <c r="CJ145" s="18">
        <f>IF($X145="","",AQ145/$X$10)</f>
        <v>0</v>
      </c>
      <c r="CK145" s="18">
        <f>IF($X145="","",AR145/$X$10)</f>
        <v>0</v>
      </c>
      <c r="CL145" s="18">
        <f>IF($X145="","",AS145/$X$10)</f>
        <v>0</v>
      </c>
      <c r="CM145" s="18">
        <f>IF($X145="","",AT145/$X$10)</f>
        <v>0</v>
      </c>
      <c r="CN145" s="18">
        <f>IF($X145="","",AU145/$X$10)</f>
        <v>0</v>
      </c>
      <c r="CO145" s="18">
        <f>IF($X145="","",AV145/$X$10)</f>
        <v>0</v>
      </c>
      <c r="CP145" s="18">
        <f>IF($X145="","",AW145/$X$10)</f>
        <v>0</v>
      </c>
      <c r="CQ145" s="18">
        <f>IF($X145="","",AX145/$X$10)</f>
        <v>0</v>
      </c>
      <c r="CR145" s="18">
        <f>IF($X145="","",AY145/$X$10)</f>
        <v>0</v>
      </c>
      <c r="CS145" s="18">
        <f>IF($X145="","",AZ145/$X$10)</f>
        <v>0</v>
      </c>
      <c r="CT145" s="18">
        <f>IF($X145="","",BA145/$X$10)</f>
        <v>0</v>
      </c>
      <c r="CU145" s="18">
        <f>IF($X145="","",BB145/$X$10)</f>
        <v>0</v>
      </c>
      <c r="CV145" s="18">
        <f>IF($X145="","",BC145/$X$10)</f>
        <v>0</v>
      </c>
      <c r="CW145" s="18">
        <f>IF($X145="","",BD145/$X$10)</f>
        <v>0</v>
      </c>
      <c r="CX145" s="18">
        <f>IF($X145="","",BE145/$X$10)</f>
        <v>0</v>
      </c>
      <c r="CY145" s="18">
        <f>IF($X145="","",BF145/$X$10)</f>
        <v>0</v>
      </c>
      <c r="CZ145" s="18">
        <f>IF($X145="","",BG145/$X$10)</f>
        <v>0</v>
      </c>
      <c r="DA145" s="18">
        <f>IF($X145="","",BH145/$X$10)</f>
        <v>0</v>
      </c>
      <c r="DB145" s="18">
        <f>IF($X145="","",BI145/$X$10)</f>
        <v>0</v>
      </c>
      <c r="DC145" s="18">
        <f>IF($X145="","",BJ145/$X$10)</f>
        <v>0</v>
      </c>
      <c r="DD145" s="18">
        <f>IF($X145="","",BK145/$X$10)</f>
        <v>0</v>
      </c>
      <c r="DE145" s="18">
        <f>IF($X145="","",BL145/$X$10)</f>
        <v>0</v>
      </c>
      <c r="DF145" s="18">
        <f>IF($X145="","",BM145/$X$10)</f>
        <v>0</v>
      </c>
      <c r="DG145" s="18">
        <f t="shared" si="18"/>
        <v>0</v>
      </c>
      <c r="DH145" s="18">
        <f>IF($X145="","",BO145/$X$10)</f>
        <v>0</v>
      </c>
      <c r="DI145" s="18">
        <f>IF($X145="","",BP145/$X$10)</f>
        <v>0</v>
      </c>
      <c r="DJ145" s="18">
        <f>IF($X145="","",BQ145/$X$10)</f>
        <v>0</v>
      </c>
      <c r="DK145" s="18">
        <f>IF($X145="","",BR145/$X$10)</f>
        <v>0</v>
      </c>
      <c r="DL145" s="18">
        <f>IF($X145="","",BS145/$X$10)</f>
        <v>0</v>
      </c>
      <c r="DM145" s="18">
        <f>IF($X145="","",BT145/$X$10)</f>
        <v>0</v>
      </c>
      <c r="DN145" s="18">
        <f t="shared" si="14"/>
        <v>0</v>
      </c>
      <c r="DO145" s="16">
        <f>IF($X145="","",SUM(Tabla152[[#This Row],[PODRIDO]],Tabla152[[#This Row],[HONGO]],Tabla152[[#This Row],[PICADO DE AVE CON PUDRICIÓN]],Tabla152[[#This Row],[FUMAGINA]])/$X$10)</f>
        <v>0</v>
      </c>
      <c r="DP145" s="16">
        <f>IF($X145="","",SUM(Tabla152[[#This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45" s="16">
        <f>IF($X145="","",SUM(Tabla152[[#This Row],[BLANDO]:[COLAPSADO]])/$X$10)</f>
        <v>0</v>
      </c>
      <c r="DR145" s="16">
        <f>IF($X145="","",SUM(Tabla152[[#This Row],[DESHIDRATADO LEVE]:[DESHIDRATADO INMADURO]])/$X$10)</f>
        <v>0</v>
      </c>
      <c r="DS145" s="18">
        <f t="shared" si="15"/>
        <v>0</v>
      </c>
      <c r="DT145" s="16">
        <f>IF($X145="","",SUM(Tabla152[[#This Row],[PRESENCIA DE LARVA]],Tabla152[[#This Row],[CHANCHITO BLANCO]])/$X$10)</f>
        <v>0</v>
      </c>
      <c r="DU145" s="18">
        <f>IF($X145="","",SUM(Tabla152[[#This Row],[ROJO GRADO 2 A MÁS]],Tabla152[[#This Row],[IMMADURO VERDE]],Tabla152[[#This Row],[DESORDEN POR MADURACIÓN]],Tabla152[[#This Row],[ARO PEDICELAR VERDE EXTREMO]])/$X$10)</f>
        <v>0</v>
      </c>
      <c r="DV145" s="16">
        <f>IF($X145="","",SUM(Tabla152[[#This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45" s="16">
        <f t="shared" si="16"/>
        <v>0</v>
      </c>
      <c r="DX145" s="16">
        <f>IF($X145="","",AJ145/$X$10)</f>
        <v>0</v>
      </c>
      <c r="DY145" s="16">
        <f>IF($X145="","",SUM(Tabla152[[#This Row],[PRESENCIA DE COROLA]],Tabla152[[#This Row],[PRESENCIA DE RESTO FLORAL VERDE]],Tabla152[[#This Row],[PRESENCIA DE PEDÚNCULO]])/$X$10)</f>
        <v>0</v>
      </c>
      <c r="DZ145" s="16">
        <f>IF($X145="","",SUM(Tabla152[[#This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46" spans="1:130" x14ac:dyDescent="0.3">
      <c r="A146" s="9">
        <f>IF(W146="","",IF(ROW()=10,1,IF(W146=W145,A145,MAX($A$9:A145)+1)))</f>
        <v>45</v>
      </c>
      <c r="B146" s="9">
        <f>WEEKNUM(Tabla152[[#This Row],[FECHA DE COSECHA]],21)</f>
        <v>36</v>
      </c>
      <c r="C146" s="9"/>
      <c r="D146" s="17">
        <v>46268</v>
      </c>
      <c r="E146" s="17">
        <v>46268</v>
      </c>
      <c r="F146" s="9">
        <v>1</v>
      </c>
      <c r="G146" s="9" t="s">
        <v>77</v>
      </c>
      <c r="H146" s="9" t="s">
        <v>143</v>
      </c>
      <c r="I146" s="9" t="s">
        <v>188</v>
      </c>
      <c r="J146" s="9" t="s">
        <v>135</v>
      </c>
      <c r="K146" s="9" t="s">
        <v>196</v>
      </c>
      <c r="L146" s="9" t="s">
        <v>131</v>
      </c>
      <c r="M146" s="9" t="s">
        <v>240</v>
      </c>
      <c r="N146" s="9" t="s">
        <v>145</v>
      </c>
      <c r="O146" s="9" t="s">
        <v>195</v>
      </c>
      <c r="P146" s="9" t="s">
        <v>241</v>
      </c>
      <c r="Q146" s="9"/>
      <c r="R146" s="9">
        <v>7</v>
      </c>
      <c r="S146" s="9">
        <v>78114711</v>
      </c>
      <c r="T146" t="s">
        <v>233</v>
      </c>
      <c r="U146" s="9" t="s">
        <v>147</v>
      </c>
      <c r="V146" s="9"/>
      <c r="W146" s="19" t="s">
        <v>198</v>
      </c>
      <c r="X146" s="9">
        <v>42</v>
      </c>
      <c r="Y146" s="9">
        <v>2</v>
      </c>
      <c r="Z146" s="9">
        <v>5</v>
      </c>
      <c r="AA146" s="9" t="str">
        <f>IF(Tabla152[[#This Row],[NOTA]]=15,"CUMPLE","NO CUMPLE")</f>
        <v>NO CUMPLE</v>
      </c>
      <c r="AB146" s="9" t="str">
        <f>IF(COUNTIF($A$10:A146,A146)=1,IF(COUNTIFS($A:$A,A146,$AA:$AA,"NO CUMPLE")&gt;0,"NO CUMPLE","CUMPLE"),"")</f>
        <v/>
      </c>
      <c r="AC146" s="9"/>
      <c r="AD146" s="8"/>
      <c r="AE146" s="8">
        <v>2</v>
      </c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18"/>
      <c r="BX146" s="18">
        <f>IF($X146="","",AE146/$X$10)</f>
        <v>3.1746031746031744E-2</v>
      </c>
      <c r="BY146" s="18">
        <f>IF($X146="","",AF146/$X$10)</f>
        <v>0</v>
      </c>
      <c r="BZ146" s="18">
        <f>IF($X146="","",AG146/$X$10)</f>
        <v>0</v>
      </c>
      <c r="CA146" s="18">
        <f>IF($X146="","",AH146/$X$10)</f>
        <v>0</v>
      </c>
      <c r="CB146" s="18">
        <f t="shared" si="17"/>
        <v>0</v>
      </c>
      <c r="CC146" s="18">
        <f>IF($X146="","",AJ146/$X$10)</f>
        <v>0</v>
      </c>
      <c r="CD146" s="18">
        <f>IF($X146="","",AK146/$X$10)</f>
        <v>0</v>
      </c>
      <c r="CE146" s="18">
        <f>IF($X146="","",AL146/$X$10)</f>
        <v>0</v>
      </c>
      <c r="CF146" s="18">
        <f>IF($X146="","",AM146/$X$10)</f>
        <v>0</v>
      </c>
      <c r="CG146" s="18">
        <f>IF($X146="","",AN146/$X$10)</f>
        <v>0</v>
      </c>
      <c r="CH146" s="18">
        <f>IF($X146="","",AO146/$X$10)</f>
        <v>0</v>
      </c>
      <c r="CI146" s="18">
        <f>IF($X146="","",AP146/$X$10)</f>
        <v>0</v>
      </c>
      <c r="CJ146" s="18">
        <f>IF($X146="","",AQ146/$X$10)</f>
        <v>0</v>
      </c>
      <c r="CK146" s="18">
        <f>IF($X146="","",AR146/$X$10)</f>
        <v>0</v>
      </c>
      <c r="CL146" s="18">
        <f>IF($X146="","",AS146/$X$10)</f>
        <v>0</v>
      </c>
      <c r="CM146" s="18">
        <f>IF($X146="","",AT146/$X$10)</f>
        <v>0</v>
      </c>
      <c r="CN146" s="18">
        <f>IF($X146="","",AU146/$X$10)</f>
        <v>0</v>
      </c>
      <c r="CO146" s="18">
        <f>IF($X146="","",AV146/$X$10)</f>
        <v>0</v>
      </c>
      <c r="CP146" s="18">
        <f>IF($X146="","",AW146/$X$10)</f>
        <v>0</v>
      </c>
      <c r="CQ146" s="18">
        <f>IF($X146="","",AX146/$X$10)</f>
        <v>0</v>
      </c>
      <c r="CR146" s="18">
        <f>IF($X146="","",AY146/$X$10)</f>
        <v>0</v>
      </c>
      <c r="CS146" s="18">
        <f>IF($X146="","",AZ146/$X$10)</f>
        <v>0</v>
      </c>
      <c r="CT146" s="18">
        <f>IF($X146="","",BA146/$X$10)</f>
        <v>0</v>
      </c>
      <c r="CU146" s="18">
        <f>IF($X146="","",BB146/$X$10)</f>
        <v>0</v>
      </c>
      <c r="CV146" s="18">
        <f>IF($X146="","",BC146/$X$10)</f>
        <v>0</v>
      </c>
      <c r="CW146" s="18">
        <f>IF($X146="","",BD146/$X$10)</f>
        <v>0</v>
      </c>
      <c r="CX146" s="18">
        <f>IF($X146="","",BE146/$X$10)</f>
        <v>0</v>
      </c>
      <c r="CY146" s="18">
        <f>IF($X146="","",BF146/$X$10)</f>
        <v>0</v>
      </c>
      <c r="CZ146" s="18">
        <f>IF($X146="","",BG146/$X$10)</f>
        <v>0</v>
      </c>
      <c r="DA146" s="18">
        <f>IF($X146="","",BH146/$X$10)</f>
        <v>0</v>
      </c>
      <c r="DB146" s="18">
        <f>IF($X146="","",BI146/$X$10)</f>
        <v>0</v>
      </c>
      <c r="DC146" s="18">
        <f>IF($X146="","",BJ146/$X$10)</f>
        <v>0</v>
      </c>
      <c r="DD146" s="18">
        <f>IF($X146="","",BK146/$X$10)</f>
        <v>0</v>
      </c>
      <c r="DE146" s="18">
        <f>IF($X146="","",BL146/$X$10)</f>
        <v>0</v>
      </c>
      <c r="DF146" s="18">
        <f>IF($X146="","",BM146/$X$10)</f>
        <v>0</v>
      </c>
      <c r="DG146" s="18">
        <f t="shared" si="18"/>
        <v>0</v>
      </c>
      <c r="DH146" s="18">
        <f>IF($X146="","",BO146/$X$10)</f>
        <v>0</v>
      </c>
      <c r="DI146" s="18">
        <f>IF($X146="","",BP146/$X$10)</f>
        <v>0</v>
      </c>
      <c r="DJ146" s="18">
        <f>IF($X146="","",BQ146/$X$10)</f>
        <v>0</v>
      </c>
      <c r="DK146" s="18">
        <f>IF($X146="","",BR146/$X$10)</f>
        <v>0</v>
      </c>
      <c r="DL146" s="18">
        <f>IF($X146="","",BS146/$X$10)</f>
        <v>0</v>
      </c>
      <c r="DM146" s="18">
        <f>IF($X146="","",BT146/$X$10)</f>
        <v>0</v>
      </c>
      <c r="DN146" s="18">
        <f t="shared" si="14"/>
        <v>0</v>
      </c>
      <c r="DO146" s="16">
        <f>IF($X146="","",SUM(Tabla152[[#This Row],[PODRIDO]],Tabla152[[#This Row],[HONGO]],Tabla152[[#This Row],[PICADO DE AVE CON PUDRICIÓN]],Tabla152[[#This Row],[FUMAGINA]])/$X$10)</f>
        <v>0</v>
      </c>
      <c r="DP146" s="16">
        <f>IF($X146="","",SUM(Tabla152[[#This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46" s="16">
        <f>IF($X146="","",SUM(Tabla152[[#This Row],[BLANDO]:[COLAPSADO]])/$X$10)</f>
        <v>0</v>
      </c>
      <c r="DR146" s="16">
        <f>IF($X146="","",SUM(Tabla152[[#This Row],[DESHIDRATADO LEVE]:[DESHIDRATADO INMADURO]])/$X$10)</f>
        <v>0</v>
      </c>
      <c r="DS146" s="18">
        <f t="shared" si="15"/>
        <v>0</v>
      </c>
      <c r="DT146" s="16">
        <f>IF($X146="","",SUM(Tabla152[[#This Row],[PRESENCIA DE LARVA]],Tabla152[[#This Row],[CHANCHITO BLANCO]])/$X$10)</f>
        <v>0</v>
      </c>
      <c r="DU146" s="18">
        <f>IF($X146="","",SUM(Tabla152[[#This Row],[ROJO GRADO 2 A MÁS]],Tabla152[[#This Row],[IMMADURO VERDE]],Tabla152[[#This Row],[DESORDEN POR MADURACIÓN]],Tabla152[[#This Row],[ARO PEDICELAR VERDE EXTREMO]])/$X$10)</f>
        <v>0</v>
      </c>
      <c r="DV146" s="16">
        <f>IF($X146="","",SUM(Tabla152[[#This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46" s="16">
        <f t="shared" si="16"/>
        <v>0</v>
      </c>
      <c r="DX146" s="16">
        <f>IF($X146="","",AJ146/$X$10)</f>
        <v>0</v>
      </c>
      <c r="DY146" s="16">
        <f>IF($X146="","",SUM(Tabla152[[#This Row],[PRESENCIA DE COROLA]],Tabla152[[#This Row],[PRESENCIA DE RESTO FLORAL VERDE]],Tabla152[[#This Row],[PRESENCIA DE PEDÚNCULO]])/$X$10)</f>
        <v>3.1746031746031744E-2</v>
      </c>
      <c r="DZ146" s="16">
        <f>IF($X146="","",SUM(Tabla152[[#This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47" spans="1:130" x14ac:dyDescent="0.3">
      <c r="A147" s="9">
        <f>IF(W147="","",IF(ROW()=10,1,IF(W147=W146,A146,MAX($A$9:A146)+1)))</f>
        <v>45</v>
      </c>
      <c r="B147" s="9">
        <f>WEEKNUM(Tabla152[[#This Row],[FECHA DE COSECHA]],21)</f>
        <v>36</v>
      </c>
      <c r="C147" s="9"/>
      <c r="D147" s="17">
        <v>46268</v>
      </c>
      <c r="E147" s="17">
        <v>46268</v>
      </c>
      <c r="F147" s="9">
        <v>1</v>
      </c>
      <c r="G147" s="9" t="s">
        <v>77</v>
      </c>
      <c r="H147" s="9" t="s">
        <v>143</v>
      </c>
      <c r="I147" s="9" t="s">
        <v>188</v>
      </c>
      <c r="J147" s="9" t="s">
        <v>135</v>
      </c>
      <c r="K147" s="9" t="s">
        <v>196</v>
      </c>
      <c r="L147" s="9" t="s">
        <v>131</v>
      </c>
      <c r="M147" s="9" t="s">
        <v>240</v>
      </c>
      <c r="N147" s="9" t="s">
        <v>145</v>
      </c>
      <c r="O147" s="9" t="s">
        <v>195</v>
      </c>
      <c r="P147" s="9" t="s">
        <v>241</v>
      </c>
      <c r="Q147" s="9"/>
      <c r="R147" s="9">
        <v>7</v>
      </c>
      <c r="S147" s="9">
        <v>78114711</v>
      </c>
      <c r="T147" t="s">
        <v>233</v>
      </c>
      <c r="U147" s="9" t="s">
        <v>147</v>
      </c>
      <c r="V147" s="9"/>
      <c r="W147" s="19" t="s">
        <v>198</v>
      </c>
      <c r="X147" s="9">
        <v>42</v>
      </c>
      <c r="Y147" s="9">
        <v>3</v>
      </c>
      <c r="Z147" s="9">
        <v>15</v>
      </c>
      <c r="AA147" s="9" t="str">
        <f>IF(Tabla152[[#This Row],[NOTA]]=15,"CUMPLE","NO CUMPLE")</f>
        <v>CUMPLE</v>
      </c>
      <c r="AB147" s="9" t="str">
        <f>IF(COUNTIF($A$10:A147,A147)=1,IF(COUNTIFS($A:$A,A147,$AA:$AA,"NO CUMPLE")&gt;0,"NO CUMPLE","CUMPLE"),"")</f>
        <v/>
      </c>
      <c r="AC147" s="9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18"/>
      <c r="BX147" s="18">
        <f>IF($X147="","",AE147/$X$10)</f>
        <v>0</v>
      </c>
      <c r="BY147" s="18">
        <f>IF($X147="","",AF147/$X$10)</f>
        <v>0</v>
      </c>
      <c r="BZ147" s="18">
        <f>IF($X147="","",AG147/$X$10)</f>
        <v>0</v>
      </c>
      <c r="CA147" s="18">
        <f>IF($X147="","",AH147/$X$10)</f>
        <v>0</v>
      </c>
      <c r="CB147" s="18">
        <f t="shared" si="17"/>
        <v>0</v>
      </c>
      <c r="CC147" s="18">
        <f>IF($X147="","",AJ147/$X$10)</f>
        <v>0</v>
      </c>
      <c r="CD147" s="18">
        <f>IF($X147="","",AK147/$X$10)</f>
        <v>0</v>
      </c>
      <c r="CE147" s="18">
        <f>IF($X147="","",AL147/$X$10)</f>
        <v>0</v>
      </c>
      <c r="CF147" s="18">
        <f>IF($X147="","",AM147/$X$10)</f>
        <v>0</v>
      </c>
      <c r="CG147" s="18">
        <f>IF($X147="","",AN147/$X$10)</f>
        <v>0</v>
      </c>
      <c r="CH147" s="18">
        <f>IF($X147="","",AO147/$X$10)</f>
        <v>0</v>
      </c>
      <c r="CI147" s="18">
        <f>IF($X147="","",AP147/$X$10)</f>
        <v>0</v>
      </c>
      <c r="CJ147" s="18">
        <f>IF($X147="","",AQ147/$X$10)</f>
        <v>0</v>
      </c>
      <c r="CK147" s="18">
        <f>IF($X147="","",AR147/$X$10)</f>
        <v>0</v>
      </c>
      <c r="CL147" s="18">
        <f>IF($X147="","",AS147/$X$10)</f>
        <v>0</v>
      </c>
      <c r="CM147" s="18">
        <f>IF($X147="","",AT147/$X$10)</f>
        <v>0</v>
      </c>
      <c r="CN147" s="18">
        <f>IF($X147="","",AU147/$X$10)</f>
        <v>0</v>
      </c>
      <c r="CO147" s="18">
        <f>IF($X147="","",AV147/$X$10)</f>
        <v>0</v>
      </c>
      <c r="CP147" s="18">
        <f>IF($X147="","",AW147/$X$10)</f>
        <v>0</v>
      </c>
      <c r="CQ147" s="18">
        <f>IF($X147="","",AX147/$X$10)</f>
        <v>0</v>
      </c>
      <c r="CR147" s="18">
        <f>IF($X147="","",AY147/$X$10)</f>
        <v>0</v>
      </c>
      <c r="CS147" s="18">
        <f>IF($X147="","",AZ147/$X$10)</f>
        <v>0</v>
      </c>
      <c r="CT147" s="18">
        <f>IF($X147="","",BA147/$X$10)</f>
        <v>0</v>
      </c>
      <c r="CU147" s="18">
        <f>IF($X147="","",BB147/$X$10)</f>
        <v>0</v>
      </c>
      <c r="CV147" s="18">
        <f>IF($X147="","",BC147/$X$10)</f>
        <v>0</v>
      </c>
      <c r="CW147" s="18">
        <f>IF($X147="","",BD147/$X$10)</f>
        <v>0</v>
      </c>
      <c r="CX147" s="18">
        <f>IF($X147="","",BE147/$X$10)</f>
        <v>0</v>
      </c>
      <c r="CY147" s="18">
        <f>IF($X147="","",BF147/$X$10)</f>
        <v>0</v>
      </c>
      <c r="CZ147" s="18">
        <f>IF($X147="","",BG147/$X$10)</f>
        <v>0</v>
      </c>
      <c r="DA147" s="18">
        <f>IF($X147="","",BH147/$X$10)</f>
        <v>0</v>
      </c>
      <c r="DB147" s="18">
        <f>IF($X147="","",BI147/$X$10)</f>
        <v>0</v>
      </c>
      <c r="DC147" s="18">
        <f>IF($X147="","",BJ147/$X$10)</f>
        <v>0</v>
      </c>
      <c r="DD147" s="18">
        <f>IF($X147="","",BK147/$X$10)</f>
        <v>0</v>
      </c>
      <c r="DE147" s="18">
        <f>IF($X147="","",BL147/$X$10)</f>
        <v>0</v>
      </c>
      <c r="DF147" s="18">
        <f>IF($X147="","",BM147/$X$10)</f>
        <v>0</v>
      </c>
      <c r="DG147" s="18">
        <f t="shared" si="18"/>
        <v>0</v>
      </c>
      <c r="DH147" s="18">
        <f>IF($X147="","",BO147/$X$10)</f>
        <v>0</v>
      </c>
      <c r="DI147" s="18">
        <f>IF($X147="","",BP147/$X$10)</f>
        <v>0</v>
      </c>
      <c r="DJ147" s="18">
        <f>IF($X147="","",BQ147/$X$10)</f>
        <v>0</v>
      </c>
      <c r="DK147" s="18">
        <f>IF($X147="","",BR147/$X$10)</f>
        <v>0</v>
      </c>
      <c r="DL147" s="18">
        <f>IF($X147="","",BS147/$X$10)</f>
        <v>0</v>
      </c>
      <c r="DM147" s="18">
        <f>IF($X147="","",BT147/$X$10)</f>
        <v>0</v>
      </c>
      <c r="DN147" s="18">
        <f t="shared" si="14"/>
        <v>0</v>
      </c>
      <c r="DO147" s="16">
        <f>IF($X147="","",SUM(Tabla152[[#This Row],[PODRIDO]],Tabla152[[#This Row],[HONGO]],Tabla152[[#This Row],[PICADO DE AVE CON PUDRICIÓN]],Tabla152[[#This Row],[FUMAGINA]])/$X$10)</f>
        <v>0</v>
      </c>
      <c r="DP147" s="16">
        <f>IF($X147="","",SUM(Tabla152[[#This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47" s="16">
        <f>IF($X147="","",SUM(Tabla152[[#This Row],[BLANDO]:[COLAPSADO]])/$X$10)</f>
        <v>0</v>
      </c>
      <c r="DR147" s="16">
        <f>IF($X147="","",SUM(Tabla152[[#This Row],[DESHIDRATADO LEVE]:[DESHIDRATADO INMADURO]])/$X$10)</f>
        <v>0</v>
      </c>
      <c r="DS147" s="18">
        <f t="shared" si="15"/>
        <v>0</v>
      </c>
      <c r="DT147" s="16">
        <f>IF($X147="","",SUM(Tabla152[[#This Row],[PRESENCIA DE LARVA]],Tabla152[[#This Row],[CHANCHITO BLANCO]])/$X$10)</f>
        <v>0</v>
      </c>
      <c r="DU147" s="18">
        <f>IF($X147="","",SUM(Tabla152[[#This Row],[ROJO GRADO 2 A MÁS]],Tabla152[[#This Row],[IMMADURO VERDE]],Tabla152[[#This Row],[DESORDEN POR MADURACIÓN]],Tabla152[[#This Row],[ARO PEDICELAR VERDE EXTREMO]])/$X$10)</f>
        <v>0</v>
      </c>
      <c r="DV147" s="16">
        <f>IF($X147="","",SUM(Tabla152[[#This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47" s="16">
        <f t="shared" si="16"/>
        <v>0</v>
      </c>
      <c r="DX147" s="16">
        <f>IF($X147="","",AJ147/$X$10)</f>
        <v>0</v>
      </c>
      <c r="DY147" s="16">
        <f>IF($X147="","",SUM(Tabla152[[#This Row],[PRESENCIA DE COROLA]],Tabla152[[#This Row],[PRESENCIA DE RESTO FLORAL VERDE]],Tabla152[[#This Row],[PRESENCIA DE PEDÚNCULO]])/$X$10)</f>
        <v>0</v>
      </c>
      <c r="DZ147" s="16">
        <f>IF($X147="","",SUM(Tabla152[[#This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48" spans="1:130" x14ac:dyDescent="0.3">
      <c r="A148" s="9">
        <f>IF(W148="","",IF(ROW()=10,1,IF(W148=W147,A147,MAX($A$9:A147)+1)))</f>
        <v>46</v>
      </c>
      <c r="B148" s="9">
        <f>WEEKNUM(Tabla152[[#This Row],[FECHA DE COSECHA]],21)</f>
        <v>36</v>
      </c>
      <c r="C148" s="9"/>
      <c r="D148" s="17">
        <v>46268</v>
      </c>
      <c r="E148" s="17">
        <v>46268</v>
      </c>
      <c r="F148" s="9">
        <v>1</v>
      </c>
      <c r="G148" s="9" t="s">
        <v>77</v>
      </c>
      <c r="H148" s="9" t="s">
        <v>143</v>
      </c>
      <c r="I148" s="9" t="s">
        <v>188</v>
      </c>
      <c r="J148" s="9" t="s">
        <v>135</v>
      </c>
      <c r="K148" s="9" t="s">
        <v>196</v>
      </c>
      <c r="L148" s="9" t="s">
        <v>131</v>
      </c>
      <c r="M148" s="9" t="s">
        <v>240</v>
      </c>
      <c r="N148" s="9" t="s">
        <v>145</v>
      </c>
      <c r="O148" s="9" t="s">
        <v>195</v>
      </c>
      <c r="P148" s="9" t="s">
        <v>241</v>
      </c>
      <c r="Q148" s="9"/>
      <c r="R148" s="9">
        <v>7</v>
      </c>
      <c r="S148" s="9">
        <v>78114711</v>
      </c>
      <c r="T148" t="s">
        <v>233</v>
      </c>
      <c r="U148" s="9" t="s">
        <v>147</v>
      </c>
      <c r="V148" s="9"/>
      <c r="W148" s="19" t="s">
        <v>199</v>
      </c>
      <c r="X148" s="9">
        <v>42</v>
      </c>
      <c r="Y148" s="9">
        <v>1</v>
      </c>
      <c r="Z148" s="9">
        <v>5</v>
      </c>
      <c r="AA148" s="9" t="str">
        <f>IF(Tabla152[[#This Row],[NOTA]]=15,"CUMPLE","NO CUMPLE")</f>
        <v>NO CUMPLE</v>
      </c>
      <c r="AB148" s="9" t="str">
        <f>IF(COUNTIF($A$10:A148,A148)=1,IF(COUNTIFS($A:$A,A148,$AA:$AA,"NO CUMPLE")&gt;0,"NO CUMPLE","CUMPLE"),"")</f>
        <v>NO CUMPLE</v>
      </c>
      <c r="AC148" s="9" t="s">
        <v>140</v>
      </c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>
        <v>2</v>
      </c>
      <c r="BV148" s="7"/>
      <c r="BW148" s="18"/>
      <c r="BX148" s="18">
        <f>IF($X148="","",AE148/$X$10)</f>
        <v>0</v>
      </c>
      <c r="BY148" s="18">
        <f>IF($X148="","",AF148/$X$10)</f>
        <v>0</v>
      </c>
      <c r="BZ148" s="18">
        <f>IF($X148="","",AG148/$X$10)</f>
        <v>0</v>
      </c>
      <c r="CA148" s="18">
        <f>IF($X148="","",AH148/$X$10)</f>
        <v>0</v>
      </c>
      <c r="CB148" s="18">
        <f t="shared" si="17"/>
        <v>0</v>
      </c>
      <c r="CC148" s="18">
        <f>IF($X148="","",AJ148/$X$10)</f>
        <v>0</v>
      </c>
      <c r="CD148" s="18">
        <f>IF($X148="","",AK148/$X$10)</f>
        <v>0</v>
      </c>
      <c r="CE148" s="18">
        <f>IF($X148="","",AL148/$X$10)</f>
        <v>0</v>
      </c>
      <c r="CF148" s="18">
        <f>IF($X148="","",AM148/$X$10)</f>
        <v>0</v>
      </c>
      <c r="CG148" s="18">
        <f>IF($X148="","",AN148/$X$10)</f>
        <v>0</v>
      </c>
      <c r="CH148" s="18">
        <f>IF($X148="","",AO148/$X$10)</f>
        <v>0</v>
      </c>
      <c r="CI148" s="18">
        <f>IF($X148="","",AP148/$X$10)</f>
        <v>0</v>
      </c>
      <c r="CJ148" s="18">
        <f>IF($X148="","",AQ148/$X$10)</f>
        <v>0</v>
      </c>
      <c r="CK148" s="18">
        <f>IF($X148="","",AR148/$X$10)</f>
        <v>0</v>
      </c>
      <c r="CL148" s="18">
        <f>IF($X148="","",AS148/$X$10)</f>
        <v>0</v>
      </c>
      <c r="CM148" s="18">
        <f>IF($X148="","",AT148/$X$10)</f>
        <v>0</v>
      </c>
      <c r="CN148" s="18">
        <f>IF($X148="","",AU148/$X$10)</f>
        <v>0</v>
      </c>
      <c r="CO148" s="18">
        <f>IF($X148="","",AV148/$X$10)</f>
        <v>0</v>
      </c>
      <c r="CP148" s="18">
        <f>IF($X148="","",AW148/$X$10)</f>
        <v>0</v>
      </c>
      <c r="CQ148" s="18">
        <f>IF($X148="","",AX148/$X$10)</f>
        <v>0</v>
      </c>
      <c r="CR148" s="18">
        <f>IF($X148="","",AY148/$X$10)</f>
        <v>0</v>
      </c>
      <c r="CS148" s="18">
        <f>IF($X148="","",AZ148/$X$10)</f>
        <v>0</v>
      </c>
      <c r="CT148" s="18">
        <f>IF($X148="","",BA148/$X$10)</f>
        <v>0</v>
      </c>
      <c r="CU148" s="18">
        <f>IF($X148="","",BB148/$X$10)</f>
        <v>0</v>
      </c>
      <c r="CV148" s="18">
        <f>IF($X148="","",BC148/$X$10)</f>
        <v>0</v>
      </c>
      <c r="CW148" s="18">
        <f>IF($X148="","",BD148/$X$10)</f>
        <v>0</v>
      </c>
      <c r="CX148" s="18">
        <f>IF($X148="","",BE148/$X$10)</f>
        <v>0</v>
      </c>
      <c r="CY148" s="18">
        <f>IF($X148="","",BF148/$X$10)</f>
        <v>0</v>
      </c>
      <c r="CZ148" s="18">
        <f>IF($X148="","",BG148/$X$10)</f>
        <v>0</v>
      </c>
      <c r="DA148" s="18">
        <f>IF($X148="","",BH148/$X$10)</f>
        <v>0</v>
      </c>
      <c r="DB148" s="18">
        <f>IF($X148="","",BI148/$X$10)</f>
        <v>0</v>
      </c>
      <c r="DC148" s="18">
        <f>IF($X148="","",BJ148/$X$10)</f>
        <v>0</v>
      </c>
      <c r="DD148" s="18">
        <f>IF($X148="","",BK148/$X$10)</f>
        <v>0</v>
      </c>
      <c r="DE148" s="18">
        <f>IF($X148="","",BL148/$X$10)</f>
        <v>0</v>
      </c>
      <c r="DF148" s="18">
        <f>IF($X148="","",BM148/$X$10)</f>
        <v>0</v>
      </c>
      <c r="DG148" s="18">
        <f t="shared" si="18"/>
        <v>0</v>
      </c>
      <c r="DH148" s="18">
        <f>IF($X148="","",BO148/$X$10)</f>
        <v>0</v>
      </c>
      <c r="DI148" s="18">
        <f>IF($X148="","",BP148/$X$10)</f>
        <v>0</v>
      </c>
      <c r="DJ148" s="18">
        <f>IF($X148="","",BQ148/$X$10)</f>
        <v>0</v>
      </c>
      <c r="DK148" s="18">
        <f>IF($X148="","",BR148/$X$10)</f>
        <v>0</v>
      </c>
      <c r="DL148" s="18">
        <f>IF($X148="","",BS148/$X$10)</f>
        <v>0</v>
      </c>
      <c r="DM148" s="18">
        <f>IF($X148="","",BT148/$X$10)</f>
        <v>0</v>
      </c>
      <c r="DN148" s="18">
        <f t="shared" si="14"/>
        <v>3.1746031746031744E-2</v>
      </c>
      <c r="DO148" s="16">
        <f>IF($X148="","",SUM(Tabla152[[#This Row],[PODRIDO]],Tabla152[[#This Row],[HONGO]],Tabla152[[#This Row],[PICADO DE AVE CON PUDRICIÓN]],Tabla152[[#This Row],[FUMAGINA]])/$X$10)</f>
        <v>0</v>
      </c>
      <c r="DP148" s="16">
        <f>IF($X148="","",SUM(Tabla152[[#This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48" s="16">
        <f>IF($X148="","",SUM(Tabla152[[#This Row],[BLANDO]:[COLAPSADO]])/$X$10)</f>
        <v>0</v>
      </c>
      <c r="DR148" s="16">
        <f>IF($X148="","",SUM(Tabla152[[#This Row],[DESHIDRATADO LEVE]:[DESHIDRATADO INMADURO]])/$X$10)</f>
        <v>0</v>
      </c>
      <c r="DS148" s="18">
        <f t="shared" si="15"/>
        <v>0</v>
      </c>
      <c r="DT148" s="16">
        <f>IF($X148="","",SUM(Tabla152[[#This Row],[PRESENCIA DE LARVA]],Tabla152[[#This Row],[CHANCHITO BLANCO]])/$X$10)</f>
        <v>0</v>
      </c>
      <c r="DU148" s="18">
        <f>IF($X148="","",SUM(Tabla152[[#This Row],[ROJO GRADO 2 A MÁS]],Tabla152[[#This Row],[IMMADURO VERDE]],Tabla152[[#This Row],[DESORDEN POR MADURACIÓN]],Tabla152[[#This Row],[ARO PEDICELAR VERDE EXTREMO]])/$X$10)</f>
        <v>0</v>
      </c>
      <c r="DV148" s="16">
        <f>IF($X148="","",SUM(Tabla152[[#This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48" s="16">
        <f t="shared" si="16"/>
        <v>3.1746031746031744E-2</v>
      </c>
      <c r="DX148" s="16">
        <f>IF($X148="","",AJ148/$X$10)</f>
        <v>0</v>
      </c>
      <c r="DY148" s="16">
        <f>IF($X148="","",SUM(Tabla152[[#This Row],[PRESENCIA DE COROLA]],Tabla152[[#This Row],[PRESENCIA DE RESTO FLORAL VERDE]],Tabla152[[#This Row],[PRESENCIA DE PEDÚNCULO]])/$X$10)</f>
        <v>0</v>
      </c>
      <c r="DZ148" s="16">
        <f>IF($X148="","",SUM(Tabla152[[#This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49" spans="1:130" x14ac:dyDescent="0.3">
      <c r="A149" s="9">
        <f>IF(W149="","",IF(ROW()=10,1,IF(W149=W148,A148,MAX($A$9:A148)+1)))</f>
        <v>46</v>
      </c>
      <c r="B149" s="9">
        <f>WEEKNUM(Tabla152[[#This Row],[FECHA DE COSECHA]],21)</f>
        <v>36</v>
      </c>
      <c r="C149" s="9"/>
      <c r="D149" s="17">
        <v>46268</v>
      </c>
      <c r="E149" s="17">
        <v>46268</v>
      </c>
      <c r="F149" s="9">
        <v>1</v>
      </c>
      <c r="G149" s="9" t="s">
        <v>77</v>
      </c>
      <c r="H149" s="9" t="s">
        <v>143</v>
      </c>
      <c r="I149" s="9" t="s">
        <v>188</v>
      </c>
      <c r="J149" s="9" t="s">
        <v>135</v>
      </c>
      <c r="K149" s="9" t="s">
        <v>196</v>
      </c>
      <c r="L149" s="9" t="s">
        <v>131</v>
      </c>
      <c r="M149" s="9" t="s">
        <v>240</v>
      </c>
      <c r="N149" s="9" t="s">
        <v>145</v>
      </c>
      <c r="O149" s="9" t="s">
        <v>195</v>
      </c>
      <c r="P149" s="9" t="s">
        <v>241</v>
      </c>
      <c r="Q149" s="9"/>
      <c r="R149" s="9">
        <v>7</v>
      </c>
      <c r="S149" s="9">
        <v>78114711</v>
      </c>
      <c r="T149" t="s">
        <v>233</v>
      </c>
      <c r="U149" s="9" t="s">
        <v>147</v>
      </c>
      <c r="V149" s="9"/>
      <c r="W149" s="19" t="s">
        <v>199</v>
      </c>
      <c r="X149" s="9">
        <v>42</v>
      </c>
      <c r="Y149" s="9">
        <v>2</v>
      </c>
      <c r="Z149" s="9">
        <v>5</v>
      </c>
      <c r="AA149" s="9" t="str">
        <f>IF(Tabla152[[#This Row],[NOTA]]=15,"CUMPLE","NO CUMPLE")</f>
        <v>NO CUMPLE</v>
      </c>
      <c r="AB149" s="9" t="str">
        <f>IF(COUNTIF($A$10:A149,A149)=1,IF(COUNTIFS($A:$A,A149,$AA:$AA,"NO CUMPLE")&gt;0,"NO CUMPLE","CUMPLE"),"")</f>
        <v/>
      </c>
      <c r="AC149" s="9"/>
      <c r="AD149" s="8"/>
      <c r="AE149" s="8">
        <v>1</v>
      </c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7">
        <v>1</v>
      </c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18"/>
      <c r="BX149" s="18">
        <f>IF($X149="","",AE149/$X$10)</f>
        <v>1.5873015873015872E-2</v>
      </c>
      <c r="BY149" s="18">
        <f>IF($X149="","",AF149/$X$10)</f>
        <v>0</v>
      </c>
      <c r="BZ149" s="18">
        <f>IF($X149="","",AG149/$X$10)</f>
        <v>0</v>
      </c>
      <c r="CA149" s="18">
        <f>IF($X149="","",AH149/$X$10)</f>
        <v>0</v>
      </c>
      <c r="CB149" s="18">
        <f t="shared" si="17"/>
        <v>0</v>
      </c>
      <c r="CC149" s="18">
        <f>IF($X149="","",AJ149/$X$10)</f>
        <v>0</v>
      </c>
      <c r="CD149" s="18">
        <f>IF($X149="","",AK149/$X$10)</f>
        <v>0</v>
      </c>
      <c r="CE149" s="18">
        <f>IF($X149="","",AL149/$X$10)</f>
        <v>0</v>
      </c>
      <c r="CF149" s="18">
        <f>IF($X149="","",AM149/$X$10)</f>
        <v>0</v>
      </c>
      <c r="CG149" s="18">
        <f>IF($X149="","",AN149/$X$10)</f>
        <v>0</v>
      </c>
      <c r="CH149" s="18">
        <f>IF($X149="","",AO149/$X$10)</f>
        <v>0</v>
      </c>
      <c r="CI149" s="18">
        <f>IF($X149="","",AP149/$X$10)</f>
        <v>0</v>
      </c>
      <c r="CJ149" s="18">
        <f>IF($X149="","",AQ149/$X$10)</f>
        <v>1.5873015873015872E-2</v>
      </c>
      <c r="CK149" s="18">
        <f>IF($X149="","",AR149/$X$10)</f>
        <v>0</v>
      </c>
      <c r="CL149" s="18">
        <f>IF($X149="","",AS149/$X$10)</f>
        <v>0</v>
      </c>
      <c r="CM149" s="18">
        <f>IF($X149="","",AT149/$X$10)</f>
        <v>0</v>
      </c>
      <c r="CN149" s="18">
        <f>IF($X149="","",AU149/$X$10)</f>
        <v>0</v>
      </c>
      <c r="CO149" s="18">
        <f>IF($X149="","",AV149/$X$10)</f>
        <v>0</v>
      </c>
      <c r="CP149" s="18">
        <f>IF($X149="","",AW149/$X$10)</f>
        <v>0</v>
      </c>
      <c r="CQ149" s="18">
        <f>IF($X149="","",AX149/$X$10)</f>
        <v>0</v>
      </c>
      <c r="CR149" s="18">
        <f>IF($X149="","",AY149/$X$10)</f>
        <v>0</v>
      </c>
      <c r="CS149" s="18">
        <f>IF($X149="","",AZ149/$X$10)</f>
        <v>0</v>
      </c>
      <c r="CT149" s="18">
        <f>IF($X149="","",BA149/$X$10)</f>
        <v>0</v>
      </c>
      <c r="CU149" s="18">
        <f>IF($X149="","",BB149/$X$10)</f>
        <v>0</v>
      </c>
      <c r="CV149" s="18">
        <f>IF($X149="","",BC149/$X$10)</f>
        <v>0</v>
      </c>
      <c r="CW149" s="18">
        <f>IF($X149="","",BD149/$X$10)</f>
        <v>0</v>
      </c>
      <c r="CX149" s="18">
        <f>IF($X149="","",BE149/$X$10)</f>
        <v>0</v>
      </c>
      <c r="CY149" s="18">
        <f>IF($X149="","",BF149/$X$10)</f>
        <v>0</v>
      </c>
      <c r="CZ149" s="18">
        <f>IF($X149="","",BG149/$X$10)</f>
        <v>0</v>
      </c>
      <c r="DA149" s="18">
        <f>IF($X149="","",BH149/$X$10)</f>
        <v>0</v>
      </c>
      <c r="DB149" s="18">
        <f>IF($X149="","",BI149/$X$10)</f>
        <v>0</v>
      </c>
      <c r="DC149" s="18">
        <f>IF($X149="","",BJ149/$X$10)</f>
        <v>0</v>
      </c>
      <c r="DD149" s="18">
        <f>IF($X149="","",BK149/$X$10)</f>
        <v>0</v>
      </c>
      <c r="DE149" s="18">
        <f>IF($X149="","",BL149/$X$10)</f>
        <v>0</v>
      </c>
      <c r="DF149" s="18">
        <f>IF($X149="","",BM149/$X$10)</f>
        <v>0</v>
      </c>
      <c r="DG149" s="18">
        <f t="shared" si="18"/>
        <v>0</v>
      </c>
      <c r="DH149" s="18">
        <f>IF($X149="","",BO149/$X$10)</f>
        <v>0</v>
      </c>
      <c r="DI149" s="18">
        <f>IF($X149="","",BP149/$X$10)</f>
        <v>0</v>
      </c>
      <c r="DJ149" s="18">
        <f>IF($X149="","",BQ149/$X$10)</f>
        <v>0</v>
      </c>
      <c r="DK149" s="18">
        <f>IF($X149="","",BR149/$X$10)</f>
        <v>0</v>
      </c>
      <c r="DL149" s="18">
        <f>IF($X149="","",BS149/$X$10)</f>
        <v>0</v>
      </c>
      <c r="DM149" s="18">
        <f>IF($X149="","",BT149/$X$10)</f>
        <v>0</v>
      </c>
      <c r="DN149" s="18">
        <f t="shared" si="14"/>
        <v>0</v>
      </c>
      <c r="DO149" s="16">
        <f>IF($X149="","",SUM(Tabla152[[#This Row],[PODRIDO]],Tabla152[[#This Row],[HONGO]],Tabla152[[#This Row],[PICADO DE AVE CON PUDRICIÓN]],Tabla152[[#This Row],[FUMAGINA]])/$X$10)</f>
        <v>0</v>
      </c>
      <c r="DP149" s="16">
        <f>IF($X149="","",SUM(Tabla152[[#This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49" s="16">
        <f>IF($X149="","",SUM(Tabla152[[#This Row],[BLANDO]:[COLAPSADO]])/$X$10)</f>
        <v>0</v>
      </c>
      <c r="DR149" s="16">
        <f>IF($X149="","",SUM(Tabla152[[#This Row],[DESHIDRATADO LEVE]:[DESHIDRATADO INMADURO]])/$X$10)</f>
        <v>1.5873015873015872E-2</v>
      </c>
      <c r="DS149" s="18">
        <f t="shared" si="15"/>
        <v>0</v>
      </c>
      <c r="DT149" s="16">
        <f>IF($X149="","",SUM(Tabla152[[#This Row],[PRESENCIA DE LARVA]],Tabla152[[#This Row],[CHANCHITO BLANCO]])/$X$10)</f>
        <v>0</v>
      </c>
      <c r="DU149" s="18">
        <f>IF($X149="","",SUM(Tabla152[[#This Row],[ROJO GRADO 2 A MÁS]],Tabla152[[#This Row],[IMMADURO VERDE]],Tabla152[[#This Row],[DESORDEN POR MADURACIÓN]],Tabla152[[#This Row],[ARO PEDICELAR VERDE EXTREMO]])/$X$10)</f>
        <v>0</v>
      </c>
      <c r="DV149" s="16">
        <f>IF($X149="","",SUM(Tabla152[[#This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49" s="16">
        <f t="shared" si="16"/>
        <v>0</v>
      </c>
      <c r="DX149" s="16">
        <f>IF($X149="","",AJ149/$X$10)</f>
        <v>0</v>
      </c>
      <c r="DY149" s="16">
        <f>IF($X149="","",SUM(Tabla152[[#This Row],[PRESENCIA DE COROLA]],Tabla152[[#This Row],[PRESENCIA DE RESTO FLORAL VERDE]],Tabla152[[#This Row],[PRESENCIA DE PEDÚNCULO]])/$X$10)</f>
        <v>1.5873015873015872E-2</v>
      </c>
      <c r="DZ149" s="16">
        <f>IF($X149="","",SUM(Tabla152[[#This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50" spans="1:130" x14ac:dyDescent="0.3">
      <c r="A150" s="9">
        <f>IF(W150="","",IF(ROW()=10,1,IF(W150=W149,A149,MAX($A$9:A149)+1)))</f>
        <v>46</v>
      </c>
      <c r="B150" s="9">
        <f>WEEKNUM(Tabla152[[#This Row],[FECHA DE COSECHA]],21)</f>
        <v>36</v>
      </c>
      <c r="C150" s="9"/>
      <c r="D150" s="17">
        <v>46268</v>
      </c>
      <c r="E150" s="17">
        <v>46268</v>
      </c>
      <c r="F150" s="9">
        <v>1</v>
      </c>
      <c r="G150" s="9" t="s">
        <v>77</v>
      </c>
      <c r="H150" s="9" t="s">
        <v>143</v>
      </c>
      <c r="I150" s="9" t="s">
        <v>188</v>
      </c>
      <c r="J150" s="9" t="s">
        <v>135</v>
      </c>
      <c r="K150" s="9" t="s">
        <v>196</v>
      </c>
      <c r="L150" s="9" t="s">
        <v>131</v>
      </c>
      <c r="M150" s="9" t="s">
        <v>240</v>
      </c>
      <c r="N150" s="9" t="s">
        <v>145</v>
      </c>
      <c r="O150" s="9" t="s">
        <v>195</v>
      </c>
      <c r="P150" s="9" t="s">
        <v>241</v>
      </c>
      <c r="Q150" s="9"/>
      <c r="R150" s="9">
        <v>7</v>
      </c>
      <c r="S150" s="9">
        <v>78114711</v>
      </c>
      <c r="T150" t="s">
        <v>233</v>
      </c>
      <c r="U150" s="9" t="s">
        <v>147</v>
      </c>
      <c r="V150" s="9"/>
      <c r="W150" s="19" t="s">
        <v>199</v>
      </c>
      <c r="X150" s="9">
        <v>42</v>
      </c>
      <c r="Y150" s="9">
        <v>3</v>
      </c>
      <c r="Z150" s="9">
        <v>15</v>
      </c>
      <c r="AA150" s="9" t="str">
        <f>IF(Tabla152[[#This Row],[NOTA]]=15,"CUMPLE","NO CUMPLE")</f>
        <v>CUMPLE</v>
      </c>
      <c r="AB150" s="9" t="str">
        <f>IF(COUNTIF($A$10:A150,A150)=1,IF(COUNTIFS($A:$A,A150,$AA:$AA,"NO CUMPLE")&gt;0,"NO CUMPLE","CUMPLE"),"")</f>
        <v/>
      </c>
      <c r="AC150" s="9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18"/>
      <c r="BX150" s="18">
        <f>IF($X150="","",AE150/$X$10)</f>
        <v>0</v>
      </c>
      <c r="BY150" s="18">
        <f>IF($X150="","",AF150/$X$10)</f>
        <v>0</v>
      </c>
      <c r="BZ150" s="18">
        <f>IF($X150="","",AG150/$X$10)</f>
        <v>0</v>
      </c>
      <c r="CA150" s="18">
        <f>IF($X150="","",AH150/$X$10)</f>
        <v>0</v>
      </c>
      <c r="CB150" s="18">
        <f t="shared" si="17"/>
        <v>0</v>
      </c>
      <c r="CC150" s="18">
        <f>IF($X150="","",AJ150/$X$10)</f>
        <v>0</v>
      </c>
      <c r="CD150" s="18">
        <f>IF($X150="","",AK150/$X$10)</f>
        <v>0</v>
      </c>
      <c r="CE150" s="18">
        <f>IF($X150="","",AL150/$X$10)</f>
        <v>0</v>
      </c>
      <c r="CF150" s="18">
        <f>IF($X150="","",AM150/$X$10)</f>
        <v>0</v>
      </c>
      <c r="CG150" s="18">
        <f>IF($X150="","",AN150/$X$10)</f>
        <v>0</v>
      </c>
      <c r="CH150" s="18">
        <f>IF($X150="","",AO150/$X$10)</f>
        <v>0</v>
      </c>
      <c r="CI150" s="18">
        <f>IF($X150="","",AP150/$X$10)</f>
        <v>0</v>
      </c>
      <c r="CJ150" s="18">
        <f>IF($X150="","",AQ150/$X$10)</f>
        <v>0</v>
      </c>
      <c r="CK150" s="18">
        <f>IF($X150="","",AR150/$X$10)</f>
        <v>0</v>
      </c>
      <c r="CL150" s="18">
        <f>IF($X150="","",AS150/$X$10)</f>
        <v>0</v>
      </c>
      <c r="CM150" s="18">
        <f>IF($X150="","",AT150/$X$10)</f>
        <v>0</v>
      </c>
      <c r="CN150" s="18">
        <f>IF($X150="","",AU150/$X$10)</f>
        <v>0</v>
      </c>
      <c r="CO150" s="18">
        <f>IF($X150="","",AV150/$X$10)</f>
        <v>0</v>
      </c>
      <c r="CP150" s="18">
        <f>IF($X150="","",AW150/$X$10)</f>
        <v>0</v>
      </c>
      <c r="CQ150" s="18">
        <f>IF($X150="","",AX150/$X$10)</f>
        <v>0</v>
      </c>
      <c r="CR150" s="18">
        <f>IF($X150="","",AY150/$X$10)</f>
        <v>0</v>
      </c>
      <c r="CS150" s="18">
        <f>IF($X150="","",AZ150/$X$10)</f>
        <v>0</v>
      </c>
      <c r="CT150" s="18">
        <f>IF($X150="","",BA150/$X$10)</f>
        <v>0</v>
      </c>
      <c r="CU150" s="18">
        <f>IF($X150="","",BB150/$X$10)</f>
        <v>0</v>
      </c>
      <c r="CV150" s="18">
        <f>IF($X150="","",BC150/$X$10)</f>
        <v>0</v>
      </c>
      <c r="CW150" s="18">
        <f>IF($X150="","",BD150/$X$10)</f>
        <v>0</v>
      </c>
      <c r="CX150" s="18">
        <f>IF($X150="","",BE150/$X$10)</f>
        <v>0</v>
      </c>
      <c r="CY150" s="18">
        <f>IF($X150="","",BF150/$X$10)</f>
        <v>0</v>
      </c>
      <c r="CZ150" s="18">
        <f>IF($X150="","",BG150/$X$10)</f>
        <v>0</v>
      </c>
      <c r="DA150" s="18">
        <f>IF($X150="","",BH150/$X$10)</f>
        <v>0</v>
      </c>
      <c r="DB150" s="18">
        <f>IF($X150="","",BI150/$X$10)</f>
        <v>0</v>
      </c>
      <c r="DC150" s="18">
        <f>IF($X150="","",BJ150/$X$10)</f>
        <v>0</v>
      </c>
      <c r="DD150" s="18">
        <f>IF($X150="","",BK150/$X$10)</f>
        <v>0</v>
      </c>
      <c r="DE150" s="18">
        <f>IF($X150="","",BL150/$X$10)</f>
        <v>0</v>
      </c>
      <c r="DF150" s="18">
        <f>IF($X150="","",BM150/$X$10)</f>
        <v>0</v>
      </c>
      <c r="DG150" s="18">
        <f t="shared" si="18"/>
        <v>0</v>
      </c>
      <c r="DH150" s="18">
        <f>IF($X150="","",BO150/$X$10)</f>
        <v>0</v>
      </c>
      <c r="DI150" s="18">
        <f>IF($X150="","",BP150/$X$10)</f>
        <v>0</v>
      </c>
      <c r="DJ150" s="18">
        <f>IF($X150="","",BQ150/$X$10)</f>
        <v>0</v>
      </c>
      <c r="DK150" s="18">
        <f>IF($X150="","",BR150/$X$10)</f>
        <v>0</v>
      </c>
      <c r="DL150" s="18">
        <f>IF($X150="","",BS150/$X$10)</f>
        <v>0</v>
      </c>
      <c r="DM150" s="18">
        <f>IF($X150="","",BT150/$X$10)</f>
        <v>0</v>
      </c>
      <c r="DN150" s="18">
        <f t="shared" si="14"/>
        <v>0</v>
      </c>
      <c r="DO150" s="16">
        <f>IF($X150="","",SUM(Tabla152[[#This Row],[PODRIDO]],Tabla152[[#This Row],[HONGO]],Tabla152[[#This Row],[PICADO DE AVE CON PUDRICIÓN]],Tabla152[[#This Row],[FUMAGINA]])/$X$10)</f>
        <v>0</v>
      </c>
      <c r="DP150" s="16">
        <f>IF($X150="","",SUM(Tabla152[[#This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50" s="16">
        <f>IF($X150="","",SUM(Tabla152[[#This Row],[BLANDO]:[COLAPSADO]])/$X$10)</f>
        <v>0</v>
      </c>
      <c r="DR150" s="16">
        <f>IF($X150="","",SUM(Tabla152[[#This Row],[DESHIDRATADO LEVE]:[DESHIDRATADO INMADURO]])/$X$10)</f>
        <v>0</v>
      </c>
      <c r="DS150" s="18">
        <f t="shared" si="15"/>
        <v>0</v>
      </c>
      <c r="DT150" s="16">
        <f>IF($X150="","",SUM(Tabla152[[#This Row],[PRESENCIA DE LARVA]],Tabla152[[#This Row],[CHANCHITO BLANCO]])/$X$10)</f>
        <v>0</v>
      </c>
      <c r="DU150" s="18">
        <f>IF($X150="","",SUM(Tabla152[[#This Row],[ROJO GRADO 2 A MÁS]],Tabla152[[#This Row],[IMMADURO VERDE]],Tabla152[[#This Row],[DESORDEN POR MADURACIÓN]],Tabla152[[#This Row],[ARO PEDICELAR VERDE EXTREMO]])/$X$10)</f>
        <v>0</v>
      </c>
      <c r="DV150" s="16">
        <f>IF($X150="","",SUM(Tabla152[[#This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50" s="16">
        <f t="shared" si="16"/>
        <v>0</v>
      </c>
      <c r="DX150" s="16">
        <f>IF($X150="","",AJ150/$X$10)</f>
        <v>0</v>
      </c>
      <c r="DY150" s="16">
        <f>IF($X150="","",SUM(Tabla152[[#This Row],[PRESENCIA DE COROLA]],Tabla152[[#This Row],[PRESENCIA DE RESTO FLORAL VERDE]],Tabla152[[#This Row],[PRESENCIA DE PEDÚNCULO]])/$X$10)</f>
        <v>0</v>
      </c>
      <c r="DZ150" s="16">
        <f>IF($X150="","",SUM(Tabla152[[#This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51" spans="1:130" x14ac:dyDescent="0.3">
      <c r="A151" s="9">
        <f>IF(W151="","",IF(ROW()=10,1,IF(W151=W150,A150,MAX($A$9:A150)+1)))</f>
        <v>47</v>
      </c>
      <c r="B151" s="9">
        <f>WEEKNUM(Tabla152[[#This Row],[FECHA DE COSECHA]],21)</f>
        <v>36</v>
      </c>
      <c r="C151" s="9"/>
      <c r="D151" s="17">
        <v>46268</v>
      </c>
      <c r="E151" s="17">
        <v>46268</v>
      </c>
      <c r="F151" s="9">
        <v>1</v>
      </c>
      <c r="G151" s="9" t="s">
        <v>77</v>
      </c>
      <c r="H151" s="9" t="s">
        <v>143</v>
      </c>
      <c r="I151" s="9" t="s">
        <v>188</v>
      </c>
      <c r="J151" s="9" t="s">
        <v>135</v>
      </c>
      <c r="K151" s="9" t="s">
        <v>196</v>
      </c>
      <c r="L151" s="9" t="s">
        <v>131</v>
      </c>
      <c r="M151" s="9" t="s">
        <v>240</v>
      </c>
      <c r="N151" s="9" t="s">
        <v>145</v>
      </c>
      <c r="O151" s="9" t="s">
        <v>195</v>
      </c>
      <c r="P151" s="9" t="s">
        <v>241</v>
      </c>
      <c r="Q151" s="9"/>
      <c r="R151" s="9">
        <v>7</v>
      </c>
      <c r="S151" s="9">
        <v>78114711</v>
      </c>
      <c r="T151" t="s">
        <v>233</v>
      </c>
      <c r="U151" s="9" t="s">
        <v>147</v>
      </c>
      <c r="V151" s="9"/>
      <c r="W151" s="19" t="s">
        <v>156</v>
      </c>
      <c r="X151" s="9">
        <v>42</v>
      </c>
      <c r="Y151" s="9">
        <v>1</v>
      </c>
      <c r="Z151" s="9">
        <v>15</v>
      </c>
      <c r="AA151" s="9" t="str">
        <f>IF(Tabla152[[#This Row],[NOTA]]=15,"CUMPLE","NO CUMPLE")</f>
        <v>CUMPLE</v>
      </c>
      <c r="AB151" s="9" t="str">
        <f>IF(COUNTIF($A$10:A151,A151)=1,IF(COUNTIFS($A:$A,A151,$AA:$AA,"NO CUMPLE")&gt;0,"NO CUMPLE","CUMPLE"),"")</f>
        <v>CUMPLE</v>
      </c>
      <c r="AC151" s="9" t="s">
        <v>140</v>
      </c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18"/>
      <c r="BX151" s="18">
        <f>IF($X151="","",AE151/$X$10)</f>
        <v>0</v>
      </c>
      <c r="BY151" s="18">
        <f>IF($X151="","",AF151/$X$10)</f>
        <v>0</v>
      </c>
      <c r="BZ151" s="18">
        <f>IF($X151="","",AG151/$X$10)</f>
        <v>0</v>
      </c>
      <c r="CA151" s="18">
        <f>IF($X151="","",AH151/$X$10)</f>
        <v>0</v>
      </c>
      <c r="CB151" s="18">
        <f t="shared" si="17"/>
        <v>0</v>
      </c>
      <c r="CC151" s="18">
        <f>IF($X151="","",AJ151/$X$10)</f>
        <v>0</v>
      </c>
      <c r="CD151" s="18">
        <f>IF($X151="","",AK151/$X$10)</f>
        <v>0</v>
      </c>
      <c r="CE151" s="18">
        <f>IF($X151="","",AL151/$X$10)</f>
        <v>0</v>
      </c>
      <c r="CF151" s="18">
        <f>IF($X151="","",AM151/$X$10)</f>
        <v>0</v>
      </c>
      <c r="CG151" s="18">
        <f>IF($X151="","",AN151/$X$10)</f>
        <v>0</v>
      </c>
      <c r="CH151" s="18">
        <f>IF($X151="","",AO151/$X$10)</f>
        <v>0</v>
      </c>
      <c r="CI151" s="18">
        <f>IF($X151="","",AP151/$X$10)</f>
        <v>0</v>
      </c>
      <c r="CJ151" s="18">
        <f>IF($X151="","",AQ151/$X$10)</f>
        <v>0</v>
      </c>
      <c r="CK151" s="18">
        <f>IF($X151="","",AR151/$X$10)</f>
        <v>0</v>
      </c>
      <c r="CL151" s="18">
        <f>IF($X151="","",AS151/$X$10)</f>
        <v>0</v>
      </c>
      <c r="CM151" s="18">
        <f>IF($X151="","",AT151/$X$10)</f>
        <v>0</v>
      </c>
      <c r="CN151" s="18">
        <f>IF($X151="","",AU151/$X$10)</f>
        <v>0</v>
      </c>
      <c r="CO151" s="18">
        <f>IF($X151="","",AV151/$X$10)</f>
        <v>0</v>
      </c>
      <c r="CP151" s="18">
        <f>IF($X151="","",AW151/$X$10)</f>
        <v>0</v>
      </c>
      <c r="CQ151" s="18">
        <f>IF($X151="","",AX151/$X$10)</f>
        <v>0</v>
      </c>
      <c r="CR151" s="18">
        <f>IF($X151="","",AY151/$X$10)</f>
        <v>0</v>
      </c>
      <c r="CS151" s="18">
        <f>IF($X151="","",AZ151/$X$10)</f>
        <v>0</v>
      </c>
      <c r="CT151" s="18">
        <f>IF($X151="","",BA151/$X$10)</f>
        <v>0</v>
      </c>
      <c r="CU151" s="18">
        <f>IF($X151="","",BB151/$X$10)</f>
        <v>0</v>
      </c>
      <c r="CV151" s="18">
        <f>IF($X151="","",BC151/$X$10)</f>
        <v>0</v>
      </c>
      <c r="CW151" s="18">
        <f>IF($X151="","",BD151/$X$10)</f>
        <v>0</v>
      </c>
      <c r="CX151" s="18">
        <f>IF($X151="","",BE151/$X$10)</f>
        <v>0</v>
      </c>
      <c r="CY151" s="18">
        <f>IF($X151="","",BF151/$X$10)</f>
        <v>0</v>
      </c>
      <c r="CZ151" s="18">
        <f>IF($X151="","",BG151/$X$10)</f>
        <v>0</v>
      </c>
      <c r="DA151" s="18">
        <f>IF($X151="","",BH151/$X$10)</f>
        <v>0</v>
      </c>
      <c r="DB151" s="18">
        <f>IF($X151="","",BI151/$X$10)</f>
        <v>0</v>
      </c>
      <c r="DC151" s="18">
        <f>IF($X151="","",BJ151/$X$10)</f>
        <v>0</v>
      </c>
      <c r="DD151" s="18">
        <f>IF($X151="","",BK151/$X$10)</f>
        <v>0</v>
      </c>
      <c r="DE151" s="18">
        <f>IF($X151="","",BL151/$X$10)</f>
        <v>0</v>
      </c>
      <c r="DF151" s="18">
        <f>IF($X151="","",BM151/$X$10)</f>
        <v>0</v>
      </c>
      <c r="DG151" s="18">
        <f t="shared" si="18"/>
        <v>0</v>
      </c>
      <c r="DH151" s="18">
        <f>IF($X151="","",BO151/$X$10)</f>
        <v>0</v>
      </c>
      <c r="DI151" s="18">
        <f>IF($X151="","",BP151/$X$10)</f>
        <v>0</v>
      </c>
      <c r="DJ151" s="18">
        <f>IF($X151="","",BQ151/$X$10)</f>
        <v>0</v>
      </c>
      <c r="DK151" s="18">
        <f>IF($X151="","",BR151/$X$10)</f>
        <v>0</v>
      </c>
      <c r="DL151" s="18">
        <f>IF($X151="","",BS151/$X$10)</f>
        <v>0</v>
      </c>
      <c r="DM151" s="18">
        <f>IF($X151="","",BT151/$X$10)</f>
        <v>0</v>
      </c>
      <c r="DN151" s="18">
        <f t="shared" si="14"/>
        <v>0</v>
      </c>
      <c r="DO151" s="16">
        <f>IF($X151="","",SUM(Tabla152[[#This Row],[PODRIDO]],Tabla152[[#This Row],[HONGO]],Tabla152[[#This Row],[PICADO DE AVE CON PUDRICIÓN]],Tabla152[[#This Row],[FUMAGINA]])/$X$10)</f>
        <v>0</v>
      </c>
      <c r="DP151" s="16">
        <f>IF($X151="","",SUM(Tabla152[[#This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51" s="16">
        <f>IF($X151="","",SUM(Tabla152[[#This Row],[BLANDO]:[COLAPSADO]])/$X$10)</f>
        <v>0</v>
      </c>
      <c r="DR151" s="16">
        <f>IF($X151="","",SUM(Tabla152[[#This Row],[DESHIDRATADO LEVE]:[DESHIDRATADO INMADURO]])/$X$10)</f>
        <v>0</v>
      </c>
      <c r="DS151" s="18">
        <f t="shared" si="15"/>
        <v>0</v>
      </c>
      <c r="DT151" s="16">
        <f>IF($X151="","",SUM(Tabla152[[#This Row],[PRESENCIA DE LARVA]],Tabla152[[#This Row],[CHANCHITO BLANCO]])/$X$10)</f>
        <v>0</v>
      </c>
      <c r="DU151" s="18">
        <f>IF($X151="","",SUM(Tabla152[[#This Row],[ROJO GRADO 2 A MÁS]],Tabla152[[#This Row],[IMMADURO VERDE]],Tabla152[[#This Row],[DESORDEN POR MADURACIÓN]],Tabla152[[#This Row],[ARO PEDICELAR VERDE EXTREMO]])/$X$10)</f>
        <v>0</v>
      </c>
      <c r="DV151" s="16">
        <f>IF($X151="","",SUM(Tabla152[[#This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51" s="16">
        <f t="shared" si="16"/>
        <v>0</v>
      </c>
      <c r="DX151" s="16">
        <f>IF($X151="","",AJ151/$X$10)</f>
        <v>0</v>
      </c>
      <c r="DY151" s="16">
        <f>IF($X151="","",SUM(Tabla152[[#This Row],[PRESENCIA DE COROLA]],Tabla152[[#This Row],[PRESENCIA DE RESTO FLORAL VERDE]],Tabla152[[#This Row],[PRESENCIA DE PEDÚNCULO]])/$X$10)</f>
        <v>0</v>
      </c>
      <c r="DZ151" s="16">
        <f>IF($X151="","",SUM(Tabla152[[#This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52" spans="1:130" x14ac:dyDescent="0.3">
      <c r="A152" s="9">
        <f>IF(W152="","",IF(ROW()=10,1,IF(W152=W151,A151,MAX($A$9:A151)+1)))</f>
        <v>47</v>
      </c>
      <c r="B152" s="9">
        <f>WEEKNUM(Tabla152[[#This Row],[FECHA DE COSECHA]],21)</f>
        <v>36</v>
      </c>
      <c r="C152" s="9"/>
      <c r="D152" s="17">
        <v>46268</v>
      </c>
      <c r="E152" s="17">
        <v>46268</v>
      </c>
      <c r="F152" s="9">
        <v>1</v>
      </c>
      <c r="G152" s="9" t="s">
        <v>77</v>
      </c>
      <c r="H152" s="9" t="s">
        <v>143</v>
      </c>
      <c r="I152" s="9" t="s">
        <v>188</v>
      </c>
      <c r="J152" s="9" t="s">
        <v>135</v>
      </c>
      <c r="K152" s="9" t="s">
        <v>196</v>
      </c>
      <c r="L152" s="9" t="s">
        <v>131</v>
      </c>
      <c r="M152" s="9" t="s">
        <v>240</v>
      </c>
      <c r="N152" s="9" t="s">
        <v>145</v>
      </c>
      <c r="O152" s="9" t="s">
        <v>195</v>
      </c>
      <c r="P152" s="9" t="s">
        <v>241</v>
      </c>
      <c r="Q152" s="9"/>
      <c r="R152" s="9">
        <v>7</v>
      </c>
      <c r="S152" s="9">
        <v>78114711</v>
      </c>
      <c r="T152" t="s">
        <v>233</v>
      </c>
      <c r="U152" s="9" t="s">
        <v>147</v>
      </c>
      <c r="V152" s="9"/>
      <c r="W152" s="19" t="s">
        <v>156</v>
      </c>
      <c r="X152" s="9">
        <v>42</v>
      </c>
      <c r="Y152" s="9">
        <v>2</v>
      </c>
      <c r="Z152" s="9">
        <v>15</v>
      </c>
      <c r="AA152" s="9" t="str">
        <f>IF(Tabla152[[#This Row],[NOTA]]=15,"CUMPLE","NO CUMPLE")</f>
        <v>CUMPLE</v>
      </c>
      <c r="AB152" s="9" t="str">
        <f>IF(COUNTIF($A$10:A152,A152)=1,IF(COUNTIFS($A:$A,A152,$AA:$AA,"NO CUMPLE")&gt;0,"NO CUMPLE","CUMPLE"),"")</f>
        <v/>
      </c>
      <c r="AC152" s="9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18"/>
      <c r="BX152" s="18">
        <f>IF($X152="","",AE152/$X$10)</f>
        <v>0</v>
      </c>
      <c r="BY152" s="18">
        <f>IF($X152="","",AF152/$X$10)</f>
        <v>0</v>
      </c>
      <c r="BZ152" s="18">
        <f>IF($X152="","",AG152/$X$10)</f>
        <v>0</v>
      </c>
      <c r="CA152" s="18">
        <f>IF($X152="","",AH152/$X$10)</f>
        <v>0</v>
      </c>
      <c r="CB152" s="18">
        <f t="shared" si="17"/>
        <v>0</v>
      </c>
      <c r="CC152" s="18">
        <f>IF($X152="","",AJ152/$X$10)</f>
        <v>0</v>
      </c>
      <c r="CD152" s="18">
        <f>IF($X152="","",AK152/$X$10)</f>
        <v>0</v>
      </c>
      <c r="CE152" s="18">
        <f>IF($X152="","",AL152/$X$10)</f>
        <v>0</v>
      </c>
      <c r="CF152" s="18">
        <f>IF($X152="","",AM152/$X$10)</f>
        <v>0</v>
      </c>
      <c r="CG152" s="18">
        <f>IF($X152="","",AN152/$X$10)</f>
        <v>0</v>
      </c>
      <c r="CH152" s="18">
        <f>IF($X152="","",AO152/$X$10)</f>
        <v>0</v>
      </c>
      <c r="CI152" s="18">
        <f>IF($X152="","",AP152/$X$10)</f>
        <v>0</v>
      </c>
      <c r="CJ152" s="18">
        <f>IF($X152="","",AQ152/$X$10)</f>
        <v>0</v>
      </c>
      <c r="CK152" s="18">
        <f>IF($X152="","",AR152/$X$10)</f>
        <v>0</v>
      </c>
      <c r="CL152" s="18">
        <f>IF($X152="","",AS152/$X$10)</f>
        <v>0</v>
      </c>
      <c r="CM152" s="18">
        <f>IF($X152="","",AT152/$X$10)</f>
        <v>0</v>
      </c>
      <c r="CN152" s="18">
        <f>IF($X152="","",AU152/$X$10)</f>
        <v>0</v>
      </c>
      <c r="CO152" s="18">
        <f>IF($X152="","",AV152/$X$10)</f>
        <v>0</v>
      </c>
      <c r="CP152" s="18">
        <f>IF($X152="","",AW152/$X$10)</f>
        <v>0</v>
      </c>
      <c r="CQ152" s="18">
        <f>IF($X152="","",AX152/$X$10)</f>
        <v>0</v>
      </c>
      <c r="CR152" s="18">
        <f>IF($X152="","",AY152/$X$10)</f>
        <v>0</v>
      </c>
      <c r="CS152" s="18">
        <f>IF($X152="","",AZ152/$X$10)</f>
        <v>0</v>
      </c>
      <c r="CT152" s="18">
        <f>IF($X152="","",BA152/$X$10)</f>
        <v>0</v>
      </c>
      <c r="CU152" s="18">
        <f>IF($X152="","",BB152/$X$10)</f>
        <v>0</v>
      </c>
      <c r="CV152" s="18">
        <f>IF($X152="","",BC152/$X$10)</f>
        <v>0</v>
      </c>
      <c r="CW152" s="18">
        <f>IF($X152="","",BD152/$X$10)</f>
        <v>0</v>
      </c>
      <c r="CX152" s="18">
        <f>IF($X152="","",BE152/$X$10)</f>
        <v>0</v>
      </c>
      <c r="CY152" s="18">
        <f>IF($X152="","",BF152/$X$10)</f>
        <v>0</v>
      </c>
      <c r="CZ152" s="18">
        <f>IF($X152="","",BG152/$X$10)</f>
        <v>0</v>
      </c>
      <c r="DA152" s="18">
        <f>IF($X152="","",BH152/$X$10)</f>
        <v>0</v>
      </c>
      <c r="DB152" s="18">
        <f>IF($X152="","",BI152/$X$10)</f>
        <v>0</v>
      </c>
      <c r="DC152" s="18">
        <f>IF($X152="","",BJ152/$X$10)</f>
        <v>0</v>
      </c>
      <c r="DD152" s="18">
        <f>IF($X152="","",BK152/$X$10)</f>
        <v>0</v>
      </c>
      <c r="DE152" s="18">
        <f>IF($X152="","",BL152/$X$10)</f>
        <v>0</v>
      </c>
      <c r="DF152" s="18">
        <f>IF($X152="","",BM152/$X$10)</f>
        <v>0</v>
      </c>
      <c r="DG152" s="18">
        <f t="shared" si="18"/>
        <v>0</v>
      </c>
      <c r="DH152" s="18">
        <f>IF($X152="","",BO152/$X$10)</f>
        <v>0</v>
      </c>
      <c r="DI152" s="18">
        <f>IF($X152="","",BP152/$X$10)</f>
        <v>0</v>
      </c>
      <c r="DJ152" s="18">
        <f>IF($X152="","",BQ152/$X$10)</f>
        <v>0</v>
      </c>
      <c r="DK152" s="18">
        <f>IF($X152="","",BR152/$X$10)</f>
        <v>0</v>
      </c>
      <c r="DL152" s="18">
        <f>IF($X152="","",BS152/$X$10)</f>
        <v>0</v>
      </c>
      <c r="DM152" s="18">
        <f>IF($X152="","",BT152/$X$10)</f>
        <v>0</v>
      </c>
      <c r="DN152" s="18">
        <f t="shared" si="14"/>
        <v>0</v>
      </c>
      <c r="DO152" s="16">
        <f>IF($X152="","",SUM(Tabla152[[#This Row],[PODRIDO]],Tabla152[[#This Row],[HONGO]],Tabla152[[#This Row],[PICADO DE AVE CON PUDRICIÓN]],Tabla152[[#This Row],[FUMAGINA]])/$X$10)</f>
        <v>0</v>
      </c>
      <c r="DP152" s="16">
        <f>IF($X152="","",SUM(Tabla152[[#This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52" s="16">
        <f>IF($X152="","",SUM(Tabla152[[#This Row],[BLANDO]:[COLAPSADO]])/$X$10)</f>
        <v>0</v>
      </c>
      <c r="DR152" s="16">
        <f>IF($X152="","",SUM(Tabla152[[#This Row],[DESHIDRATADO LEVE]:[DESHIDRATADO INMADURO]])/$X$10)</f>
        <v>0</v>
      </c>
      <c r="DS152" s="18">
        <f t="shared" si="15"/>
        <v>0</v>
      </c>
      <c r="DT152" s="16">
        <f>IF($X152="","",SUM(Tabla152[[#This Row],[PRESENCIA DE LARVA]],Tabla152[[#This Row],[CHANCHITO BLANCO]])/$X$10)</f>
        <v>0</v>
      </c>
      <c r="DU152" s="18">
        <f>IF($X152="","",SUM(Tabla152[[#This Row],[ROJO GRADO 2 A MÁS]],Tabla152[[#This Row],[IMMADURO VERDE]],Tabla152[[#This Row],[DESORDEN POR MADURACIÓN]],Tabla152[[#This Row],[ARO PEDICELAR VERDE EXTREMO]])/$X$10)</f>
        <v>0</v>
      </c>
      <c r="DV152" s="16">
        <f>IF($X152="","",SUM(Tabla152[[#This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52" s="16">
        <f t="shared" si="16"/>
        <v>0</v>
      </c>
      <c r="DX152" s="16">
        <f>IF($X152="","",AJ152/$X$10)</f>
        <v>0</v>
      </c>
      <c r="DY152" s="16">
        <f>IF($X152="","",SUM(Tabla152[[#This Row],[PRESENCIA DE COROLA]],Tabla152[[#This Row],[PRESENCIA DE RESTO FLORAL VERDE]],Tabla152[[#This Row],[PRESENCIA DE PEDÚNCULO]])/$X$10)</f>
        <v>0</v>
      </c>
      <c r="DZ152" s="16">
        <f>IF($X152="","",SUM(Tabla152[[#This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53" spans="1:130" x14ac:dyDescent="0.3">
      <c r="A153" s="9">
        <f>IF(W153="","",IF(ROW()=10,1,IF(W153=W152,A152,MAX($A$9:A152)+1)))</f>
        <v>47</v>
      </c>
      <c r="B153" s="9">
        <f>WEEKNUM(Tabla152[[#This Row],[FECHA DE COSECHA]],21)</f>
        <v>36</v>
      </c>
      <c r="C153" s="9"/>
      <c r="D153" s="17">
        <v>46268</v>
      </c>
      <c r="E153" s="17">
        <v>46268</v>
      </c>
      <c r="F153" s="9">
        <v>1</v>
      </c>
      <c r="G153" s="9" t="s">
        <v>77</v>
      </c>
      <c r="H153" s="9" t="s">
        <v>143</v>
      </c>
      <c r="I153" s="9" t="s">
        <v>188</v>
      </c>
      <c r="J153" s="9" t="s">
        <v>135</v>
      </c>
      <c r="K153" s="9" t="s">
        <v>196</v>
      </c>
      <c r="L153" s="9" t="s">
        <v>131</v>
      </c>
      <c r="M153" s="9" t="s">
        <v>240</v>
      </c>
      <c r="N153" s="9" t="s">
        <v>145</v>
      </c>
      <c r="O153" s="9" t="s">
        <v>195</v>
      </c>
      <c r="P153" s="9" t="s">
        <v>241</v>
      </c>
      <c r="Q153" s="9"/>
      <c r="R153" s="9">
        <v>7</v>
      </c>
      <c r="S153" s="9">
        <v>78114711</v>
      </c>
      <c r="T153" t="s">
        <v>233</v>
      </c>
      <c r="U153" s="9" t="s">
        <v>147</v>
      </c>
      <c r="V153" s="9"/>
      <c r="W153" s="19" t="s">
        <v>156</v>
      </c>
      <c r="X153" s="9">
        <v>42</v>
      </c>
      <c r="Y153" s="9">
        <v>3</v>
      </c>
      <c r="Z153" s="9">
        <v>15</v>
      </c>
      <c r="AA153" s="9" t="str">
        <f>IF(Tabla152[[#This Row],[NOTA]]=15,"CUMPLE","NO CUMPLE")</f>
        <v>CUMPLE</v>
      </c>
      <c r="AB153" s="9" t="str">
        <f>IF(COUNTIF($A$10:A153,A153)=1,IF(COUNTIFS($A:$A,A153,$AA:$AA,"NO CUMPLE")&gt;0,"NO CUMPLE","CUMPLE"),"")</f>
        <v/>
      </c>
      <c r="AC153" s="9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18"/>
      <c r="BX153" s="18">
        <f>IF($X153="","",AE153/$X$10)</f>
        <v>0</v>
      </c>
      <c r="BY153" s="18">
        <f>IF($X153="","",AF153/$X$10)</f>
        <v>0</v>
      </c>
      <c r="BZ153" s="18">
        <f>IF($X153="","",AG153/$X$10)</f>
        <v>0</v>
      </c>
      <c r="CA153" s="18">
        <f>IF($X153="","",AH153/$X$10)</f>
        <v>0</v>
      </c>
      <c r="CB153" s="18">
        <f t="shared" si="17"/>
        <v>0</v>
      </c>
      <c r="CC153" s="18">
        <f>IF($X153="","",AJ153/$X$10)</f>
        <v>0</v>
      </c>
      <c r="CD153" s="18">
        <f>IF($X153="","",AK153/$X$10)</f>
        <v>0</v>
      </c>
      <c r="CE153" s="18">
        <f>IF($X153="","",AL153/$X$10)</f>
        <v>0</v>
      </c>
      <c r="CF153" s="18">
        <f>IF($X153="","",AM153/$X$10)</f>
        <v>0</v>
      </c>
      <c r="CG153" s="18">
        <f>IF($X153="","",AN153/$X$10)</f>
        <v>0</v>
      </c>
      <c r="CH153" s="18">
        <f>IF($X153="","",AO153/$X$10)</f>
        <v>0</v>
      </c>
      <c r="CI153" s="18">
        <f>IF($X153="","",AP153/$X$10)</f>
        <v>0</v>
      </c>
      <c r="CJ153" s="18">
        <f>IF($X153="","",AQ153/$X$10)</f>
        <v>0</v>
      </c>
      <c r="CK153" s="18">
        <f>IF($X153="","",AR153/$X$10)</f>
        <v>0</v>
      </c>
      <c r="CL153" s="18">
        <f>IF($X153="","",AS153/$X$10)</f>
        <v>0</v>
      </c>
      <c r="CM153" s="18">
        <f>IF($X153="","",AT153/$X$10)</f>
        <v>0</v>
      </c>
      <c r="CN153" s="18">
        <f>IF($X153="","",AU153/$X$10)</f>
        <v>0</v>
      </c>
      <c r="CO153" s="18">
        <f>IF($X153="","",AV153/$X$10)</f>
        <v>0</v>
      </c>
      <c r="CP153" s="18">
        <f>IF($X153="","",AW153/$X$10)</f>
        <v>0</v>
      </c>
      <c r="CQ153" s="18">
        <f>IF($X153="","",AX153/$X$10)</f>
        <v>0</v>
      </c>
      <c r="CR153" s="18">
        <f>IF($X153="","",AY153/$X$10)</f>
        <v>0</v>
      </c>
      <c r="CS153" s="18">
        <f>IF($X153="","",AZ153/$X$10)</f>
        <v>0</v>
      </c>
      <c r="CT153" s="18">
        <f>IF($X153="","",BA153/$X$10)</f>
        <v>0</v>
      </c>
      <c r="CU153" s="18">
        <f>IF($X153="","",BB153/$X$10)</f>
        <v>0</v>
      </c>
      <c r="CV153" s="18">
        <f>IF($X153="","",BC153/$X$10)</f>
        <v>0</v>
      </c>
      <c r="CW153" s="18">
        <f>IF($X153="","",BD153/$X$10)</f>
        <v>0</v>
      </c>
      <c r="CX153" s="18">
        <f>IF($X153="","",BE153/$X$10)</f>
        <v>0</v>
      </c>
      <c r="CY153" s="18">
        <f>IF($X153="","",BF153/$X$10)</f>
        <v>0</v>
      </c>
      <c r="CZ153" s="18">
        <f>IF($X153="","",BG153/$X$10)</f>
        <v>0</v>
      </c>
      <c r="DA153" s="18">
        <f>IF($X153="","",BH153/$X$10)</f>
        <v>0</v>
      </c>
      <c r="DB153" s="18">
        <f>IF($X153="","",BI153/$X$10)</f>
        <v>0</v>
      </c>
      <c r="DC153" s="18">
        <f>IF($X153="","",BJ153/$X$10)</f>
        <v>0</v>
      </c>
      <c r="DD153" s="18">
        <f>IF($X153="","",BK153/$X$10)</f>
        <v>0</v>
      </c>
      <c r="DE153" s="18">
        <f>IF($X153="","",BL153/$X$10)</f>
        <v>0</v>
      </c>
      <c r="DF153" s="18">
        <f>IF($X153="","",BM153/$X$10)</f>
        <v>0</v>
      </c>
      <c r="DG153" s="18">
        <f t="shared" si="18"/>
        <v>0</v>
      </c>
      <c r="DH153" s="18">
        <f>IF($X153="","",BO153/$X$10)</f>
        <v>0</v>
      </c>
      <c r="DI153" s="18">
        <f>IF($X153="","",BP153/$X$10)</f>
        <v>0</v>
      </c>
      <c r="DJ153" s="18">
        <f>IF($X153="","",BQ153/$X$10)</f>
        <v>0</v>
      </c>
      <c r="DK153" s="18">
        <f>IF($X153="","",BR153/$X$10)</f>
        <v>0</v>
      </c>
      <c r="DL153" s="18">
        <f>IF($X153="","",BS153/$X$10)</f>
        <v>0</v>
      </c>
      <c r="DM153" s="18">
        <f>IF($X153="","",BT153/$X$10)</f>
        <v>0</v>
      </c>
      <c r="DN153" s="18">
        <f t="shared" si="14"/>
        <v>0</v>
      </c>
      <c r="DO153" s="16">
        <f>IF($X153="","",SUM(Tabla152[[#This Row],[PODRIDO]],Tabla152[[#This Row],[HONGO]],Tabla152[[#This Row],[PICADO DE AVE CON PUDRICIÓN]],Tabla152[[#This Row],[FUMAGINA]])/$X$10)</f>
        <v>0</v>
      </c>
      <c r="DP153" s="16">
        <f>IF($X153="","",SUM(Tabla152[[#This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53" s="16">
        <f>IF($X153="","",SUM(Tabla152[[#This Row],[BLANDO]:[COLAPSADO]])/$X$10)</f>
        <v>0</v>
      </c>
      <c r="DR153" s="16">
        <f>IF($X153="","",SUM(Tabla152[[#This Row],[DESHIDRATADO LEVE]:[DESHIDRATADO INMADURO]])/$X$10)</f>
        <v>0</v>
      </c>
      <c r="DS153" s="18">
        <f t="shared" si="15"/>
        <v>0</v>
      </c>
      <c r="DT153" s="16">
        <f>IF($X153="","",SUM(Tabla152[[#This Row],[PRESENCIA DE LARVA]],Tabla152[[#This Row],[CHANCHITO BLANCO]])/$X$10)</f>
        <v>0</v>
      </c>
      <c r="DU153" s="18">
        <f>IF($X153="","",SUM(Tabla152[[#This Row],[ROJO GRADO 2 A MÁS]],Tabla152[[#This Row],[IMMADURO VERDE]],Tabla152[[#This Row],[DESORDEN POR MADURACIÓN]],Tabla152[[#This Row],[ARO PEDICELAR VERDE EXTREMO]])/$X$10)</f>
        <v>0</v>
      </c>
      <c r="DV153" s="16">
        <f>IF($X153="","",SUM(Tabla152[[#This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53" s="16">
        <f t="shared" si="16"/>
        <v>0</v>
      </c>
      <c r="DX153" s="16">
        <f>IF($X153="","",AJ153/$X$10)</f>
        <v>0</v>
      </c>
      <c r="DY153" s="16">
        <f>IF($X153="","",SUM(Tabla152[[#This Row],[PRESENCIA DE COROLA]],Tabla152[[#This Row],[PRESENCIA DE RESTO FLORAL VERDE]],Tabla152[[#This Row],[PRESENCIA DE PEDÚNCULO]])/$X$10)</f>
        <v>0</v>
      </c>
      <c r="DZ153" s="16">
        <f>IF($X153="","",SUM(Tabla152[[#This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54" spans="1:130" x14ac:dyDescent="0.3">
      <c r="A154" s="9">
        <f>IF(W154="","",IF(ROW()=10,1,IF(W154=W153,A153,MAX($A$9:A153)+1)))</f>
        <v>48</v>
      </c>
      <c r="B154" s="9">
        <f>WEEKNUM(Tabla152[[#This Row],[FECHA DE COSECHA]],21)</f>
        <v>36</v>
      </c>
      <c r="C154" s="9"/>
      <c r="D154" s="17">
        <v>46268</v>
      </c>
      <c r="E154" s="17">
        <v>46268</v>
      </c>
      <c r="F154" s="9">
        <v>1</v>
      </c>
      <c r="G154" s="9" t="s">
        <v>77</v>
      </c>
      <c r="H154" s="9" t="s">
        <v>143</v>
      </c>
      <c r="I154" s="9" t="s">
        <v>188</v>
      </c>
      <c r="J154" s="9" t="s">
        <v>135</v>
      </c>
      <c r="K154" s="9" t="s">
        <v>196</v>
      </c>
      <c r="L154" s="9" t="s">
        <v>131</v>
      </c>
      <c r="M154" s="9" t="s">
        <v>240</v>
      </c>
      <c r="N154" s="9" t="s">
        <v>145</v>
      </c>
      <c r="O154" s="9" t="s">
        <v>195</v>
      </c>
      <c r="P154" s="9" t="s">
        <v>241</v>
      </c>
      <c r="Q154" s="9"/>
      <c r="R154" s="9">
        <v>7</v>
      </c>
      <c r="S154" s="9">
        <v>78114711</v>
      </c>
      <c r="T154" t="s">
        <v>233</v>
      </c>
      <c r="U154" s="9" t="s">
        <v>147</v>
      </c>
      <c r="V154" s="9"/>
      <c r="W154" s="19" t="s">
        <v>159</v>
      </c>
      <c r="X154" s="9">
        <v>42</v>
      </c>
      <c r="Y154" s="9">
        <v>1</v>
      </c>
      <c r="Z154" s="9">
        <v>15</v>
      </c>
      <c r="AA154" s="9" t="str">
        <f>IF(Tabla152[[#This Row],[NOTA]]=15,"CUMPLE","NO CUMPLE")</f>
        <v>CUMPLE</v>
      </c>
      <c r="AB154" s="9" t="str">
        <f>IF(COUNTIF($A$10:A154,A154)=1,IF(COUNTIFS($A:$A,A154,$AA:$AA,"NO CUMPLE")&gt;0,"NO CUMPLE","CUMPLE"),"")</f>
        <v>CUMPLE</v>
      </c>
      <c r="AC154" s="9" t="s">
        <v>140</v>
      </c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18"/>
      <c r="BX154" s="18">
        <f>IF($X154="","",AE154/$X$10)</f>
        <v>0</v>
      </c>
      <c r="BY154" s="18">
        <f>IF($X154="","",AF154/$X$10)</f>
        <v>0</v>
      </c>
      <c r="BZ154" s="18">
        <f>IF($X154="","",AG154/$X$10)</f>
        <v>0</v>
      </c>
      <c r="CA154" s="18">
        <f>IF($X154="","",AH154/$X$10)</f>
        <v>0</v>
      </c>
      <c r="CB154" s="18">
        <f t="shared" si="17"/>
        <v>0</v>
      </c>
      <c r="CC154" s="18">
        <f>IF($X154="","",AJ154/$X$10)</f>
        <v>0</v>
      </c>
      <c r="CD154" s="18">
        <f>IF($X154="","",AK154/$X$10)</f>
        <v>0</v>
      </c>
      <c r="CE154" s="18">
        <f>IF($X154="","",AL154/$X$10)</f>
        <v>0</v>
      </c>
      <c r="CF154" s="18">
        <f>IF($X154="","",AM154/$X$10)</f>
        <v>0</v>
      </c>
      <c r="CG154" s="18">
        <f>IF($X154="","",AN154/$X$10)</f>
        <v>0</v>
      </c>
      <c r="CH154" s="18">
        <f>IF($X154="","",AO154/$X$10)</f>
        <v>0</v>
      </c>
      <c r="CI154" s="18">
        <f>IF($X154="","",AP154/$X$10)</f>
        <v>0</v>
      </c>
      <c r="CJ154" s="18">
        <f>IF($X154="","",AQ154/$X$10)</f>
        <v>0</v>
      </c>
      <c r="CK154" s="18">
        <f>IF($X154="","",AR154/$X$10)</f>
        <v>0</v>
      </c>
      <c r="CL154" s="18">
        <f>IF($X154="","",AS154/$X$10)</f>
        <v>0</v>
      </c>
      <c r="CM154" s="18">
        <f>IF($X154="","",AT154/$X$10)</f>
        <v>0</v>
      </c>
      <c r="CN154" s="18">
        <f>IF($X154="","",AU154/$X$10)</f>
        <v>0</v>
      </c>
      <c r="CO154" s="18">
        <f>IF($X154="","",AV154/$X$10)</f>
        <v>0</v>
      </c>
      <c r="CP154" s="18">
        <f>IF($X154="","",AW154/$X$10)</f>
        <v>0</v>
      </c>
      <c r="CQ154" s="18">
        <f>IF($X154="","",AX154/$X$10)</f>
        <v>0</v>
      </c>
      <c r="CR154" s="18">
        <f>IF($X154="","",AY154/$X$10)</f>
        <v>0</v>
      </c>
      <c r="CS154" s="18">
        <f>IF($X154="","",AZ154/$X$10)</f>
        <v>0</v>
      </c>
      <c r="CT154" s="18">
        <f>IF($X154="","",BA154/$X$10)</f>
        <v>0</v>
      </c>
      <c r="CU154" s="18">
        <f>IF($X154="","",BB154/$X$10)</f>
        <v>0</v>
      </c>
      <c r="CV154" s="18">
        <f>IF($X154="","",BC154/$X$10)</f>
        <v>0</v>
      </c>
      <c r="CW154" s="18">
        <f>IF($X154="","",BD154/$X$10)</f>
        <v>0</v>
      </c>
      <c r="CX154" s="18">
        <f>IF($X154="","",BE154/$X$10)</f>
        <v>0</v>
      </c>
      <c r="CY154" s="18">
        <f>IF($X154="","",BF154/$X$10)</f>
        <v>0</v>
      </c>
      <c r="CZ154" s="18">
        <f>IF($X154="","",BG154/$X$10)</f>
        <v>0</v>
      </c>
      <c r="DA154" s="18">
        <f>IF($X154="","",BH154/$X$10)</f>
        <v>0</v>
      </c>
      <c r="DB154" s="18">
        <f>IF($X154="","",BI154/$X$10)</f>
        <v>0</v>
      </c>
      <c r="DC154" s="18">
        <f>IF($X154="","",BJ154/$X$10)</f>
        <v>0</v>
      </c>
      <c r="DD154" s="18">
        <f>IF($X154="","",BK154/$X$10)</f>
        <v>0</v>
      </c>
      <c r="DE154" s="18">
        <f>IF($X154="","",BL154/$X$10)</f>
        <v>0</v>
      </c>
      <c r="DF154" s="18">
        <f>IF($X154="","",BM154/$X$10)</f>
        <v>0</v>
      </c>
      <c r="DG154" s="18">
        <f t="shared" si="18"/>
        <v>0</v>
      </c>
      <c r="DH154" s="18">
        <f>IF($X154="","",BO154/$X$10)</f>
        <v>0</v>
      </c>
      <c r="DI154" s="18">
        <f>IF($X154="","",BP154/$X$10)</f>
        <v>0</v>
      </c>
      <c r="DJ154" s="18">
        <f>IF($X154="","",BQ154/$X$10)</f>
        <v>0</v>
      </c>
      <c r="DK154" s="18">
        <f>IF($X154="","",BR154/$X$10)</f>
        <v>0</v>
      </c>
      <c r="DL154" s="18">
        <f>IF($X154="","",BS154/$X$10)</f>
        <v>0</v>
      </c>
      <c r="DM154" s="18">
        <f>IF($X154="","",BT154/$X$10)</f>
        <v>0</v>
      </c>
      <c r="DN154" s="18">
        <f t="shared" si="14"/>
        <v>0</v>
      </c>
      <c r="DO154" s="16">
        <f>IF($X154="","",SUM(Tabla152[[#This Row],[PODRIDO]],Tabla152[[#This Row],[HONGO]],Tabla152[[#This Row],[PICADO DE AVE CON PUDRICIÓN]],Tabla152[[#This Row],[FUMAGINA]])/$X$10)</f>
        <v>0</v>
      </c>
      <c r="DP154" s="16">
        <f>IF($X154="","",SUM(Tabla152[[#This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54" s="16">
        <f>IF($X154="","",SUM(Tabla152[[#This Row],[BLANDO]:[COLAPSADO]])/$X$10)</f>
        <v>0</v>
      </c>
      <c r="DR154" s="16">
        <f>IF($X154="","",SUM(Tabla152[[#This Row],[DESHIDRATADO LEVE]:[DESHIDRATADO INMADURO]])/$X$10)</f>
        <v>0</v>
      </c>
      <c r="DS154" s="18">
        <f t="shared" si="15"/>
        <v>0</v>
      </c>
      <c r="DT154" s="16">
        <f>IF($X154="","",SUM(Tabla152[[#This Row],[PRESENCIA DE LARVA]],Tabla152[[#This Row],[CHANCHITO BLANCO]])/$X$10)</f>
        <v>0</v>
      </c>
      <c r="DU154" s="18">
        <f>IF($X154="","",SUM(Tabla152[[#This Row],[ROJO GRADO 2 A MÁS]],Tabla152[[#This Row],[IMMADURO VERDE]],Tabla152[[#This Row],[DESORDEN POR MADURACIÓN]],Tabla152[[#This Row],[ARO PEDICELAR VERDE EXTREMO]])/$X$10)</f>
        <v>0</v>
      </c>
      <c r="DV154" s="16">
        <f>IF($X154="","",SUM(Tabla152[[#This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54" s="16">
        <f t="shared" si="16"/>
        <v>0</v>
      </c>
      <c r="DX154" s="16">
        <f>IF($X154="","",AJ154/$X$10)</f>
        <v>0</v>
      </c>
      <c r="DY154" s="16">
        <f>IF($X154="","",SUM(Tabla152[[#This Row],[PRESENCIA DE COROLA]],Tabla152[[#This Row],[PRESENCIA DE RESTO FLORAL VERDE]],Tabla152[[#This Row],[PRESENCIA DE PEDÚNCULO]])/$X$10)</f>
        <v>0</v>
      </c>
      <c r="DZ154" s="16">
        <f>IF($X154="","",SUM(Tabla152[[#This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55" spans="1:130" x14ac:dyDescent="0.3">
      <c r="A155" s="9">
        <f>IF(W155="","",IF(ROW()=10,1,IF(W155=W154,A154,MAX($A$9:A154)+1)))</f>
        <v>48</v>
      </c>
      <c r="B155" s="9">
        <f>WEEKNUM(Tabla152[[#This Row],[FECHA DE COSECHA]],21)</f>
        <v>36</v>
      </c>
      <c r="C155" s="9"/>
      <c r="D155" s="17">
        <v>46268</v>
      </c>
      <c r="E155" s="17">
        <v>46268</v>
      </c>
      <c r="F155" s="9">
        <v>1</v>
      </c>
      <c r="G155" s="9" t="s">
        <v>77</v>
      </c>
      <c r="H155" s="9" t="s">
        <v>143</v>
      </c>
      <c r="I155" s="9" t="s">
        <v>188</v>
      </c>
      <c r="J155" s="9" t="s">
        <v>135</v>
      </c>
      <c r="K155" s="9" t="s">
        <v>196</v>
      </c>
      <c r="L155" s="9" t="s">
        <v>131</v>
      </c>
      <c r="M155" s="9" t="s">
        <v>240</v>
      </c>
      <c r="N155" s="9" t="s">
        <v>145</v>
      </c>
      <c r="O155" s="9" t="s">
        <v>195</v>
      </c>
      <c r="P155" s="9" t="s">
        <v>241</v>
      </c>
      <c r="Q155" s="9"/>
      <c r="R155" s="9">
        <v>7</v>
      </c>
      <c r="S155" s="9">
        <v>78114711</v>
      </c>
      <c r="T155" t="s">
        <v>233</v>
      </c>
      <c r="U155" s="9" t="s">
        <v>147</v>
      </c>
      <c r="V155" s="9"/>
      <c r="W155" s="19" t="s">
        <v>159</v>
      </c>
      <c r="X155" s="9">
        <v>42</v>
      </c>
      <c r="Y155" s="9">
        <v>2</v>
      </c>
      <c r="Z155" s="9">
        <v>15</v>
      </c>
      <c r="AA155" s="9" t="str">
        <f>IF(Tabla152[[#This Row],[NOTA]]=15,"CUMPLE","NO CUMPLE")</f>
        <v>CUMPLE</v>
      </c>
      <c r="AB155" s="9" t="str">
        <f>IF(COUNTIF($A$10:A155,A155)=1,IF(COUNTIFS($A:$A,A155,$AA:$AA,"NO CUMPLE")&gt;0,"NO CUMPLE","CUMPLE"),"")</f>
        <v/>
      </c>
      <c r="AC155" s="9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18"/>
      <c r="BX155" s="18">
        <f>IF($X155="","",AE155/$X$10)</f>
        <v>0</v>
      </c>
      <c r="BY155" s="18">
        <f>IF($X155="","",AF155/$X$10)</f>
        <v>0</v>
      </c>
      <c r="BZ155" s="18">
        <f>IF($X155="","",AG155/$X$10)</f>
        <v>0</v>
      </c>
      <c r="CA155" s="18">
        <f>IF($X155="","",AH155/$X$10)</f>
        <v>0</v>
      </c>
      <c r="CB155" s="18">
        <f t="shared" si="17"/>
        <v>0</v>
      </c>
      <c r="CC155" s="18">
        <f>IF($X155="","",AJ155/$X$10)</f>
        <v>0</v>
      </c>
      <c r="CD155" s="18">
        <f>IF($X155="","",AK155/$X$10)</f>
        <v>0</v>
      </c>
      <c r="CE155" s="18">
        <f>IF($X155="","",AL155/$X$10)</f>
        <v>0</v>
      </c>
      <c r="CF155" s="18">
        <f>IF($X155="","",AM155/$X$10)</f>
        <v>0</v>
      </c>
      <c r="CG155" s="18">
        <f>IF($X155="","",AN155/$X$10)</f>
        <v>0</v>
      </c>
      <c r="CH155" s="18">
        <f>IF($X155="","",AO155/$X$10)</f>
        <v>0</v>
      </c>
      <c r="CI155" s="18">
        <f>IF($X155="","",AP155/$X$10)</f>
        <v>0</v>
      </c>
      <c r="CJ155" s="18">
        <f>IF($X155="","",AQ155/$X$10)</f>
        <v>0</v>
      </c>
      <c r="CK155" s="18">
        <f>IF($X155="","",AR155/$X$10)</f>
        <v>0</v>
      </c>
      <c r="CL155" s="18">
        <f>IF($X155="","",AS155/$X$10)</f>
        <v>0</v>
      </c>
      <c r="CM155" s="18">
        <f>IF($X155="","",AT155/$X$10)</f>
        <v>0</v>
      </c>
      <c r="CN155" s="18">
        <f>IF($X155="","",AU155/$X$10)</f>
        <v>0</v>
      </c>
      <c r="CO155" s="18">
        <f>IF($X155="","",AV155/$X$10)</f>
        <v>0</v>
      </c>
      <c r="CP155" s="18">
        <f>IF($X155="","",AW155/$X$10)</f>
        <v>0</v>
      </c>
      <c r="CQ155" s="18">
        <f>IF($X155="","",AX155/$X$10)</f>
        <v>0</v>
      </c>
      <c r="CR155" s="18">
        <f>IF($X155="","",AY155/$X$10)</f>
        <v>0</v>
      </c>
      <c r="CS155" s="18">
        <f>IF($X155="","",AZ155/$X$10)</f>
        <v>0</v>
      </c>
      <c r="CT155" s="18">
        <f>IF($X155="","",BA155/$X$10)</f>
        <v>0</v>
      </c>
      <c r="CU155" s="18">
        <f>IF($X155="","",BB155/$X$10)</f>
        <v>0</v>
      </c>
      <c r="CV155" s="18">
        <f>IF($X155="","",BC155/$X$10)</f>
        <v>0</v>
      </c>
      <c r="CW155" s="18">
        <f>IF($X155="","",BD155/$X$10)</f>
        <v>0</v>
      </c>
      <c r="CX155" s="18">
        <f>IF($X155="","",BE155/$X$10)</f>
        <v>0</v>
      </c>
      <c r="CY155" s="18">
        <f>IF($X155="","",BF155/$X$10)</f>
        <v>0</v>
      </c>
      <c r="CZ155" s="18">
        <f>IF($X155="","",BG155/$X$10)</f>
        <v>0</v>
      </c>
      <c r="DA155" s="18">
        <f>IF($X155="","",BH155/$X$10)</f>
        <v>0</v>
      </c>
      <c r="DB155" s="18">
        <f>IF($X155="","",BI155/$X$10)</f>
        <v>0</v>
      </c>
      <c r="DC155" s="18">
        <f>IF($X155="","",BJ155/$X$10)</f>
        <v>0</v>
      </c>
      <c r="DD155" s="18">
        <f>IF($X155="","",BK155/$X$10)</f>
        <v>0</v>
      </c>
      <c r="DE155" s="18">
        <f>IF($X155="","",BL155/$X$10)</f>
        <v>0</v>
      </c>
      <c r="DF155" s="18">
        <f>IF($X155="","",BM155/$X$10)</f>
        <v>0</v>
      </c>
      <c r="DG155" s="18">
        <f t="shared" si="18"/>
        <v>0</v>
      </c>
      <c r="DH155" s="18">
        <f>IF($X155="","",BO155/$X$10)</f>
        <v>0</v>
      </c>
      <c r="DI155" s="18">
        <f>IF($X155="","",BP155/$X$10)</f>
        <v>0</v>
      </c>
      <c r="DJ155" s="18">
        <f>IF($X155="","",BQ155/$X$10)</f>
        <v>0</v>
      </c>
      <c r="DK155" s="18">
        <f>IF($X155="","",BR155/$X$10)</f>
        <v>0</v>
      </c>
      <c r="DL155" s="18">
        <f>IF($X155="","",BS155/$X$10)</f>
        <v>0</v>
      </c>
      <c r="DM155" s="18">
        <f>IF($X155="","",BT155/$X$10)</f>
        <v>0</v>
      </c>
      <c r="DN155" s="18">
        <f t="shared" si="14"/>
        <v>0</v>
      </c>
      <c r="DO155" s="16">
        <f>IF($X155="","",SUM(Tabla152[[#This Row],[PODRIDO]],Tabla152[[#This Row],[HONGO]],Tabla152[[#This Row],[PICADO DE AVE CON PUDRICIÓN]],Tabla152[[#This Row],[FUMAGINA]])/$X$10)</f>
        <v>0</v>
      </c>
      <c r="DP155" s="16">
        <f>IF($X155="","",SUM(Tabla152[[#This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55" s="16">
        <f>IF($X155="","",SUM(Tabla152[[#This Row],[BLANDO]:[COLAPSADO]])/$X$10)</f>
        <v>0</v>
      </c>
      <c r="DR155" s="16">
        <f>IF($X155="","",SUM(Tabla152[[#This Row],[DESHIDRATADO LEVE]:[DESHIDRATADO INMADURO]])/$X$10)</f>
        <v>0</v>
      </c>
      <c r="DS155" s="18">
        <f t="shared" si="15"/>
        <v>0</v>
      </c>
      <c r="DT155" s="16">
        <f>IF($X155="","",SUM(Tabla152[[#This Row],[PRESENCIA DE LARVA]],Tabla152[[#This Row],[CHANCHITO BLANCO]])/$X$10)</f>
        <v>0</v>
      </c>
      <c r="DU155" s="18">
        <f>IF($X155="","",SUM(Tabla152[[#This Row],[ROJO GRADO 2 A MÁS]],Tabla152[[#This Row],[IMMADURO VERDE]],Tabla152[[#This Row],[DESORDEN POR MADURACIÓN]],Tabla152[[#This Row],[ARO PEDICELAR VERDE EXTREMO]])/$X$10)</f>
        <v>0</v>
      </c>
      <c r="DV155" s="16">
        <f>IF($X155="","",SUM(Tabla152[[#This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55" s="16">
        <f t="shared" si="16"/>
        <v>0</v>
      </c>
      <c r="DX155" s="16">
        <f>IF($X155="","",AJ155/$X$10)</f>
        <v>0</v>
      </c>
      <c r="DY155" s="16">
        <f>IF($X155="","",SUM(Tabla152[[#This Row],[PRESENCIA DE COROLA]],Tabla152[[#This Row],[PRESENCIA DE RESTO FLORAL VERDE]],Tabla152[[#This Row],[PRESENCIA DE PEDÚNCULO]])/$X$10)</f>
        <v>0</v>
      </c>
      <c r="DZ155" s="16">
        <f>IF($X155="","",SUM(Tabla152[[#This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56" spans="1:130" x14ac:dyDescent="0.3">
      <c r="A156" s="9">
        <f>IF(W156="","",IF(ROW()=10,1,IF(W156=W155,A155,MAX($A$9:A155)+1)))</f>
        <v>48</v>
      </c>
      <c r="B156" s="9">
        <f>WEEKNUM(Tabla152[[#This Row],[FECHA DE COSECHA]],21)</f>
        <v>36</v>
      </c>
      <c r="C156" s="9"/>
      <c r="D156" s="17">
        <v>46268</v>
      </c>
      <c r="E156" s="17">
        <v>46268</v>
      </c>
      <c r="F156" s="9">
        <v>1</v>
      </c>
      <c r="G156" s="9" t="s">
        <v>77</v>
      </c>
      <c r="H156" s="9" t="s">
        <v>143</v>
      </c>
      <c r="I156" s="9" t="s">
        <v>188</v>
      </c>
      <c r="J156" s="9" t="s">
        <v>135</v>
      </c>
      <c r="K156" s="9" t="s">
        <v>196</v>
      </c>
      <c r="L156" s="9" t="s">
        <v>131</v>
      </c>
      <c r="M156" s="9" t="s">
        <v>240</v>
      </c>
      <c r="N156" s="9" t="s">
        <v>145</v>
      </c>
      <c r="O156" s="9" t="s">
        <v>195</v>
      </c>
      <c r="P156" s="9" t="s">
        <v>241</v>
      </c>
      <c r="Q156" s="9"/>
      <c r="R156" s="9">
        <v>7</v>
      </c>
      <c r="S156" s="9">
        <v>78114711</v>
      </c>
      <c r="T156" t="s">
        <v>233</v>
      </c>
      <c r="U156" s="9" t="s">
        <v>147</v>
      </c>
      <c r="V156" s="9"/>
      <c r="W156" s="19" t="s">
        <v>159</v>
      </c>
      <c r="X156" s="9">
        <v>42</v>
      </c>
      <c r="Y156" s="9">
        <v>3</v>
      </c>
      <c r="Z156" s="9">
        <v>15</v>
      </c>
      <c r="AA156" s="9" t="str">
        <f>IF(Tabla152[[#This Row],[NOTA]]=15,"CUMPLE","NO CUMPLE")</f>
        <v>CUMPLE</v>
      </c>
      <c r="AB156" s="9" t="str">
        <f>IF(COUNTIF($A$10:A156,A156)=1,IF(COUNTIFS($A:$A,A156,$AA:$AA,"NO CUMPLE")&gt;0,"NO CUMPLE","CUMPLE"),"")</f>
        <v/>
      </c>
      <c r="AC156" s="9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18"/>
      <c r="BX156" s="18">
        <f>IF($X156="","",AE156/$X$10)</f>
        <v>0</v>
      </c>
      <c r="BY156" s="18">
        <f>IF($X156="","",AF156/$X$10)</f>
        <v>0</v>
      </c>
      <c r="BZ156" s="18">
        <f>IF($X156="","",AG156/$X$10)</f>
        <v>0</v>
      </c>
      <c r="CA156" s="18">
        <f>IF($X156="","",AH156/$X$10)</f>
        <v>0</v>
      </c>
      <c r="CB156" s="18">
        <f t="shared" si="17"/>
        <v>0</v>
      </c>
      <c r="CC156" s="18">
        <f>IF($X156="","",AJ156/$X$10)</f>
        <v>0</v>
      </c>
      <c r="CD156" s="18">
        <f>IF($X156="","",AK156/$X$10)</f>
        <v>0</v>
      </c>
      <c r="CE156" s="18">
        <f>IF($X156="","",AL156/$X$10)</f>
        <v>0</v>
      </c>
      <c r="CF156" s="18">
        <f>IF($X156="","",AM156/$X$10)</f>
        <v>0</v>
      </c>
      <c r="CG156" s="18">
        <f>IF($X156="","",AN156/$X$10)</f>
        <v>0</v>
      </c>
      <c r="CH156" s="18">
        <f>IF($X156="","",AO156/$X$10)</f>
        <v>0</v>
      </c>
      <c r="CI156" s="18">
        <f>IF($X156="","",AP156/$X$10)</f>
        <v>0</v>
      </c>
      <c r="CJ156" s="18">
        <f>IF($X156="","",AQ156/$X$10)</f>
        <v>0</v>
      </c>
      <c r="CK156" s="18">
        <f>IF($X156="","",AR156/$X$10)</f>
        <v>0</v>
      </c>
      <c r="CL156" s="18">
        <f>IF($X156="","",AS156/$X$10)</f>
        <v>0</v>
      </c>
      <c r="CM156" s="18">
        <f>IF($X156="","",AT156/$X$10)</f>
        <v>0</v>
      </c>
      <c r="CN156" s="18">
        <f>IF($X156="","",AU156/$X$10)</f>
        <v>0</v>
      </c>
      <c r="CO156" s="18">
        <f>IF($X156="","",AV156/$X$10)</f>
        <v>0</v>
      </c>
      <c r="CP156" s="18">
        <f>IF($X156="","",AW156/$X$10)</f>
        <v>0</v>
      </c>
      <c r="CQ156" s="18">
        <f>IF($X156="","",AX156/$X$10)</f>
        <v>0</v>
      </c>
      <c r="CR156" s="18">
        <f>IF($X156="","",AY156/$X$10)</f>
        <v>0</v>
      </c>
      <c r="CS156" s="18">
        <f>IF($X156="","",AZ156/$X$10)</f>
        <v>0</v>
      </c>
      <c r="CT156" s="18">
        <f>IF($X156="","",BA156/$X$10)</f>
        <v>0</v>
      </c>
      <c r="CU156" s="18">
        <f>IF($X156="","",BB156/$X$10)</f>
        <v>0</v>
      </c>
      <c r="CV156" s="18">
        <f>IF($X156="","",BC156/$X$10)</f>
        <v>0</v>
      </c>
      <c r="CW156" s="18">
        <f>IF($X156="","",BD156/$X$10)</f>
        <v>0</v>
      </c>
      <c r="CX156" s="18">
        <f>IF($X156="","",BE156/$X$10)</f>
        <v>0</v>
      </c>
      <c r="CY156" s="18">
        <f>IF($X156="","",BF156/$X$10)</f>
        <v>0</v>
      </c>
      <c r="CZ156" s="18">
        <f>IF($X156="","",BG156/$X$10)</f>
        <v>0</v>
      </c>
      <c r="DA156" s="18">
        <f>IF($X156="","",BH156/$X$10)</f>
        <v>0</v>
      </c>
      <c r="DB156" s="18">
        <f>IF($X156="","",BI156/$X$10)</f>
        <v>0</v>
      </c>
      <c r="DC156" s="18">
        <f>IF($X156="","",BJ156/$X$10)</f>
        <v>0</v>
      </c>
      <c r="DD156" s="18">
        <f>IF($X156="","",BK156/$X$10)</f>
        <v>0</v>
      </c>
      <c r="DE156" s="18">
        <f>IF($X156="","",BL156/$X$10)</f>
        <v>0</v>
      </c>
      <c r="DF156" s="18">
        <f>IF($X156="","",BM156/$X$10)</f>
        <v>0</v>
      </c>
      <c r="DG156" s="18">
        <f t="shared" si="18"/>
        <v>0</v>
      </c>
      <c r="DH156" s="18">
        <f>IF($X156="","",BO156/$X$10)</f>
        <v>0</v>
      </c>
      <c r="DI156" s="18">
        <f>IF($X156="","",BP156/$X$10)</f>
        <v>0</v>
      </c>
      <c r="DJ156" s="18">
        <f>IF($X156="","",BQ156/$X$10)</f>
        <v>0</v>
      </c>
      <c r="DK156" s="18">
        <f>IF($X156="","",BR156/$X$10)</f>
        <v>0</v>
      </c>
      <c r="DL156" s="18">
        <f>IF($X156="","",BS156/$X$10)</f>
        <v>0</v>
      </c>
      <c r="DM156" s="18">
        <f>IF($X156="","",BT156/$X$10)</f>
        <v>0</v>
      </c>
      <c r="DN156" s="18">
        <f t="shared" si="14"/>
        <v>0</v>
      </c>
      <c r="DO156" s="16">
        <f>IF($X156="","",SUM(Tabla152[[#This Row],[PODRIDO]],Tabla152[[#This Row],[HONGO]],Tabla152[[#This Row],[PICADO DE AVE CON PUDRICIÓN]],Tabla152[[#This Row],[FUMAGINA]])/$X$10)</f>
        <v>0</v>
      </c>
      <c r="DP156" s="16">
        <f>IF($X156="","",SUM(Tabla152[[#This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56" s="16">
        <f>IF($X156="","",SUM(Tabla152[[#This Row],[BLANDO]:[COLAPSADO]])/$X$10)</f>
        <v>0</v>
      </c>
      <c r="DR156" s="16">
        <f>IF($X156="","",SUM(Tabla152[[#This Row],[DESHIDRATADO LEVE]:[DESHIDRATADO INMADURO]])/$X$10)</f>
        <v>0</v>
      </c>
      <c r="DS156" s="18">
        <f t="shared" si="15"/>
        <v>0</v>
      </c>
      <c r="DT156" s="16">
        <f>IF($X156="","",SUM(Tabla152[[#This Row],[PRESENCIA DE LARVA]],Tabla152[[#This Row],[CHANCHITO BLANCO]])/$X$10)</f>
        <v>0</v>
      </c>
      <c r="DU156" s="18">
        <f>IF($X156="","",SUM(Tabla152[[#This Row],[ROJO GRADO 2 A MÁS]],Tabla152[[#This Row],[IMMADURO VERDE]],Tabla152[[#This Row],[DESORDEN POR MADURACIÓN]],Tabla152[[#This Row],[ARO PEDICELAR VERDE EXTREMO]])/$X$10)</f>
        <v>0</v>
      </c>
      <c r="DV156" s="16">
        <f>IF($X156="","",SUM(Tabla152[[#This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56" s="16">
        <f t="shared" si="16"/>
        <v>0</v>
      </c>
      <c r="DX156" s="16">
        <f>IF($X156="","",AJ156/$X$10)</f>
        <v>0</v>
      </c>
      <c r="DY156" s="16">
        <f>IF($X156="","",SUM(Tabla152[[#This Row],[PRESENCIA DE COROLA]],Tabla152[[#This Row],[PRESENCIA DE RESTO FLORAL VERDE]],Tabla152[[#This Row],[PRESENCIA DE PEDÚNCULO]])/$X$10)</f>
        <v>0</v>
      </c>
      <c r="DZ156" s="16">
        <f>IF($X156="","",SUM(Tabla152[[#This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57" spans="1:130" x14ac:dyDescent="0.3">
      <c r="A157" s="9">
        <f>IF(W157="","",IF(ROW()=10,1,IF(W157=W156,A156,MAX($A$9:A156)+1)))</f>
        <v>49</v>
      </c>
      <c r="B157" s="9">
        <f>WEEKNUM(Tabla152[[#This Row],[FECHA DE COSECHA]],21)</f>
        <v>36</v>
      </c>
      <c r="C157" s="9"/>
      <c r="D157" s="17">
        <v>46268</v>
      </c>
      <c r="E157" s="17">
        <v>46268</v>
      </c>
      <c r="F157" s="9">
        <v>1</v>
      </c>
      <c r="G157" s="9" t="s">
        <v>77</v>
      </c>
      <c r="H157" s="9" t="s">
        <v>143</v>
      </c>
      <c r="I157" s="9" t="s">
        <v>188</v>
      </c>
      <c r="J157" s="9" t="s">
        <v>135</v>
      </c>
      <c r="K157" s="9" t="s">
        <v>196</v>
      </c>
      <c r="L157" s="9" t="s">
        <v>131</v>
      </c>
      <c r="M157" s="9" t="s">
        <v>240</v>
      </c>
      <c r="N157" s="9" t="s">
        <v>145</v>
      </c>
      <c r="O157" s="9" t="s">
        <v>195</v>
      </c>
      <c r="P157" s="9" t="s">
        <v>241</v>
      </c>
      <c r="Q157" s="9"/>
      <c r="R157" s="9">
        <v>7</v>
      </c>
      <c r="S157" s="9">
        <v>78114711</v>
      </c>
      <c r="T157" t="s">
        <v>233</v>
      </c>
      <c r="U157" s="9" t="s">
        <v>147</v>
      </c>
      <c r="V157" s="9"/>
      <c r="W157" s="19" t="s">
        <v>200</v>
      </c>
      <c r="X157" s="9">
        <v>42</v>
      </c>
      <c r="Y157" s="9">
        <v>1</v>
      </c>
      <c r="Z157" s="9">
        <v>15</v>
      </c>
      <c r="AA157" s="9" t="str">
        <f>IF(Tabla152[[#This Row],[NOTA]]=15,"CUMPLE","NO CUMPLE")</f>
        <v>CUMPLE</v>
      </c>
      <c r="AB157" s="9" t="str">
        <f>IF(COUNTIF($A$10:A157,A157)=1,IF(COUNTIFS($A:$A,A157,$AA:$AA,"NO CUMPLE")&gt;0,"NO CUMPLE","CUMPLE"),"")</f>
        <v>NO CUMPLE</v>
      </c>
      <c r="AC157" s="9" t="s">
        <v>140</v>
      </c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18"/>
      <c r="BX157" s="18">
        <f>IF($X157="","",AE157/$X$10)</f>
        <v>0</v>
      </c>
      <c r="BY157" s="18">
        <f>IF($X157="","",AF157/$X$10)</f>
        <v>0</v>
      </c>
      <c r="BZ157" s="18">
        <f>IF($X157="","",AG157/$X$10)</f>
        <v>0</v>
      </c>
      <c r="CA157" s="18">
        <f>IF($X157="","",AH157/$X$10)</f>
        <v>0</v>
      </c>
      <c r="CB157" s="18">
        <f t="shared" si="17"/>
        <v>0</v>
      </c>
      <c r="CC157" s="18">
        <f>IF($X157="","",AJ157/$X$10)</f>
        <v>0</v>
      </c>
      <c r="CD157" s="18">
        <f>IF($X157="","",AK157/$X$10)</f>
        <v>0</v>
      </c>
      <c r="CE157" s="18">
        <f>IF($X157="","",AL157/$X$10)</f>
        <v>0</v>
      </c>
      <c r="CF157" s="18">
        <f>IF($X157="","",AM157/$X$10)</f>
        <v>0</v>
      </c>
      <c r="CG157" s="18">
        <f>IF($X157="","",AN157/$X$10)</f>
        <v>0</v>
      </c>
      <c r="CH157" s="18">
        <f>IF($X157="","",AO157/$X$10)</f>
        <v>0</v>
      </c>
      <c r="CI157" s="18">
        <f>IF($X157="","",AP157/$X$10)</f>
        <v>0</v>
      </c>
      <c r="CJ157" s="18">
        <f>IF($X157="","",AQ157/$X$10)</f>
        <v>0</v>
      </c>
      <c r="CK157" s="18">
        <f>IF($X157="","",AR157/$X$10)</f>
        <v>0</v>
      </c>
      <c r="CL157" s="18">
        <f>IF($X157="","",AS157/$X$10)</f>
        <v>0</v>
      </c>
      <c r="CM157" s="18">
        <f>IF($X157="","",AT157/$X$10)</f>
        <v>0</v>
      </c>
      <c r="CN157" s="18">
        <f>IF($X157="","",AU157/$X$10)</f>
        <v>0</v>
      </c>
      <c r="CO157" s="18">
        <f>IF($X157="","",AV157/$X$10)</f>
        <v>0</v>
      </c>
      <c r="CP157" s="18">
        <f>IF($X157="","",AW157/$X$10)</f>
        <v>0</v>
      </c>
      <c r="CQ157" s="18">
        <f>IF($X157="","",AX157/$X$10)</f>
        <v>0</v>
      </c>
      <c r="CR157" s="18">
        <f>IF($X157="","",AY157/$X$10)</f>
        <v>0</v>
      </c>
      <c r="CS157" s="18">
        <f>IF($X157="","",AZ157/$X$10)</f>
        <v>0</v>
      </c>
      <c r="CT157" s="18">
        <f>IF($X157="","",BA157/$X$10)</f>
        <v>0</v>
      </c>
      <c r="CU157" s="18">
        <f>IF($X157="","",BB157/$X$10)</f>
        <v>0</v>
      </c>
      <c r="CV157" s="18">
        <f>IF($X157="","",BC157/$X$10)</f>
        <v>0</v>
      </c>
      <c r="CW157" s="18">
        <f>IF($X157="","",BD157/$X$10)</f>
        <v>0</v>
      </c>
      <c r="CX157" s="18">
        <f>IF($X157="","",BE157/$X$10)</f>
        <v>0</v>
      </c>
      <c r="CY157" s="18">
        <f>IF($X157="","",BF157/$X$10)</f>
        <v>0</v>
      </c>
      <c r="CZ157" s="18">
        <f>IF($X157="","",BG157/$X$10)</f>
        <v>0</v>
      </c>
      <c r="DA157" s="18">
        <f>IF($X157="","",BH157/$X$10)</f>
        <v>0</v>
      </c>
      <c r="DB157" s="18">
        <f>IF($X157="","",BI157/$X$10)</f>
        <v>0</v>
      </c>
      <c r="DC157" s="18">
        <f>IF($X157="","",BJ157/$X$10)</f>
        <v>0</v>
      </c>
      <c r="DD157" s="18">
        <f>IF($X157="","",BK157/$X$10)</f>
        <v>0</v>
      </c>
      <c r="DE157" s="18">
        <f>IF($X157="","",BL157/$X$10)</f>
        <v>0</v>
      </c>
      <c r="DF157" s="18">
        <f>IF($X157="","",BM157/$X$10)</f>
        <v>0</v>
      </c>
      <c r="DG157" s="18">
        <f t="shared" si="18"/>
        <v>0</v>
      </c>
      <c r="DH157" s="18">
        <f>IF($X157="","",BO157/$X$10)</f>
        <v>0</v>
      </c>
      <c r="DI157" s="18">
        <f>IF($X157="","",BP157/$X$10)</f>
        <v>0</v>
      </c>
      <c r="DJ157" s="18">
        <f>IF($X157="","",BQ157/$X$10)</f>
        <v>0</v>
      </c>
      <c r="DK157" s="18">
        <f>IF($X157="","",BR157/$X$10)</f>
        <v>0</v>
      </c>
      <c r="DL157" s="18">
        <f>IF($X157="","",BS157/$X$10)</f>
        <v>0</v>
      </c>
      <c r="DM157" s="18">
        <f>IF($X157="","",BT157/$X$10)</f>
        <v>0</v>
      </c>
      <c r="DN157" s="18">
        <f t="shared" si="14"/>
        <v>0</v>
      </c>
      <c r="DO157" s="16">
        <f>IF($X157="","",SUM(Tabla152[[#This Row],[PODRIDO]],Tabla152[[#This Row],[HONGO]],Tabla152[[#This Row],[PICADO DE AVE CON PUDRICIÓN]],Tabla152[[#This Row],[FUMAGINA]])/$X$10)</f>
        <v>0</v>
      </c>
      <c r="DP157" s="16">
        <f>IF($X157="","",SUM(Tabla152[[#This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57" s="16">
        <f>IF($X157="","",SUM(Tabla152[[#This Row],[BLANDO]:[COLAPSADO]])/$X$10)</f>
        <v>0</v>
      </c>
      <c r="DR157" s="16">
        <f>IF($X157="","",SUM(Tabla152[[#This Row],[DESHIDRATADO LEVE]:[DESHIDRATADO INMADURO]])/$X$10)</f>
        <v>0</v>
      </c>
      <c r="DS157" s="18">
        <f t="shared" si="15"/>
        <v>0</v>
      </c>
      <c r="DT157" s="16">
        <f>IF($X157="","",SUM(Tabla152[[#This Row],[PRESENCIA DE LARVA]],Tabla152[[#This Row],[CHANCHITO BLANCO]])/$X$10)</f>
        <v>0</v>
      </c>
      <c r="DU157" s="18">
        <f>IF($X157="","",SUM(Tabla152[[#This Row],[ROJO GRADO 2 A MÁS]],Tabla152[[#This Row],[IMMADURO VERDE]],Tabla152[[#This Row],[DESORDEN POR MADURACIÓN]],Tabla152[[#This Row],[ARO PEDICELAR VERDE EXTREMO]])/$X$10)</f>
        <v>0</v>
      </c>
      <c r="DV157" s="16">
        <f>IF($X157="","",SUM(Tabla152[[#This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57" s="16">
        <f t="shared" si="16"/>
        <v>0</v>
      </c>
      <c r="DX157" s="16">
        <f>IF($X157="","",AJ157/$X$10)</f>
        <v>0</v>
      </c>
      <c r="DY157" s="16">
        <f>IF($X157="","",SUM(Tabla152[[#This Row],[PRESENCIA DE COROLA]],Tabla152[[#This Row],[PRESENCIA DE RESTO FLORAL VERDE]],Tabla152[[#This Row],[PRESENCIA DE PEDÚNCULO]])/$X$10)</f>
        <v>0</v>
      </c>
      <c r="DZ157" s="16">
        <f>IF($X157="","",SUM(Tabla152[[#This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58" spans="1:130" x14ac:dyDescent="0.3">
      <c r="A158" s="9">
        <f>IF(W158="","",IF(ROW()=10,1,IF(W158=W157,A157,MAX($A$9:A157)+1)))</f>
        <v>49</v>
      </c>
      <c r="B158" s="9">
        <f>WEEKNUM(Tabla152[[#This Row],[FECHA DE COSECHA]],21)</f>
        <v>36</v>
      </c>
      <c r="C158" s="9"/>
      <c r="D158" s="17">
        <v>46268</v>
      </c>
      <c r="E158" s="17">
        <v>46268</v>
      </c>
      <c r="F158" s="9">
        <v>1</v>
      </c>
      <c r="G158" s="9" t="s">
        <v>77</v>
      </c>
      <c r="H158" s="9" t="s">
        <v>143</v>
      </c>
      <c r="I158" s="9" t="s">
        <v>188</v>
      </c>
      <c r="J158" s="9" t="s">
        <v>135</v>
      </c>
      <c r="K158" s="9" t="s">
        <v>196</v>
      </c>
      <c r="L158" s="9" t="s">
        <v>131</v>
      </c>
      <c r="M158" s="9" t="s">
        <v>240</v>
      </c>
      <c r="N158" s="9" t="s">
        <v>145</v>
      </c>
      <c r="O158" s="9" t="s">
        <v>195</v>
      </c>
      <c r="P158" s="9" t="s">
        <v>241</v>
      </c>
      <c r="Q158" s="9"/>
      <c r="R158" s="9">
        <v>7</v>
      </c>
      <c r="S158" s="9">
        <v>78114711</v>
      </c>
      <c r="T158" t="s">
        <v>233</v>
      </c>
      <c r="U158" s="9" t="s">
        <v>147</v>
      </c>
      <c r="V158" s="9"/>
      <c r="W158" s="19" t="s">
        <v>200</v>
      </c>
      <c r="X158" s="9">
        <v>42</v>
      </c>
      <c r="Y158" s="9">
        <v>2</v>
      </c>
      <c r="Z158" s="9">
        <v>5</v>
      </c>
      <c r="AA158" s="9" t="str">
        <f>IF(Tabla152[[#This Row],[NOTA]]=15,"CUMPLE","NO CUMPLE")</f>
        <v>NO CUMPLE</v>
      </c>
      <c r="AB158" s="9" t="str">
        <f>IF(COUNTIF($A$10:A158,A158)=1,IF(COUNTIFS($A:$A,A158,$AA:$AA,"NO CUMPLE")&gt;0,"NO CUMPLE","CUMPLE"),"")</f>
        <v/>
      </c>
      <c r="AC158" s="9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7">
        <v>1</v>
      </c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18"/>
      <c r="BX158" s="18">
        <f>IF($X158="","",AE158/$X$10)</f>
        <v>0</v>
      </c>
      <c r="BY158" s="18">
        <f>IF($X158="","",AF158/$X$10)</f>
        <v>0</v>
      </c>
      <c r="BZ158" s="18">
        <f>IF($X158="","",AG158/$X$10)</f>
        <v>0</v>
      </c>
      <c r="CA158" s="18">
        <f>IF($X158="","",AH158/$X$10)</f>
        <v>0</v>
      </c>
      <c r="CB158" s="18">
        <f t="shared" si="17"/>
        <v>0</v>
      </c>
      <c r="CC158" s="18">
        <f>IF($X158="","",AJ158/$X$10)</f>
        <v>0</v>
      </c>
      <c r="CD158" s="18">
        <f>IF($X158="","",AK158/$X$10)</f>
        <v>0</v>
      </c>
      <c r="CE158" s="18">
        <f>IF($X158="","",AL158/$X$10)</f>
        <v>0</v>
      </c>
      <c r="CF158" s="18">
        <f>IF($X158="","",AM158/$X$10)</f>
        <v>0</v>
      </c>
      <c r="CG158" s="18">
        <f>IF($X158="","",AN158/$X$10)</f>
        <v>0</v>
      </c>
      <c r="CH158" s="18">
        <f>IF($X158="","",AO158/$X$10)</f>
        <v>0</v>
      </c>
      <c r="CI158" s="18">
        <f>IF($X158="","",AP158/$X$10)</f>
        <v>0</v>
      </c>
      <c r="CJ158" s="18">
        <f>IF($X158="","",AQ158/$X$10)</f>
        <v>1.5873015873015872E-2</v>
      </c>
      <c r="CK158" s="18">
        <f>IF($X158="","",AR158/$X$10)</f>
        <v>0</v>
      </c>
      <c r="CL158" s="18">
        <f>IF($X158="","",AS158/$X$10)</f>
        <v>0</v>
      </c>
      <c r="CM158" s="18">
        <f>IF($X158="","",AT158/$X$10)</f>
        <v>0</v>
      </c>
      <c r="CN158" s="18">
        <f>IF($X158="","",AU158/$X$10)</f>
        <v>0</v>
      </c>
      <c r="CO158" s="18">
        <f>IF($X158="","",AV158/$X$10)</f>
        <v>0</v>
      </c>
      <c r="CP158" s="18">
        <f>IF($X158="","",AW158/$X$10)</f>
        <v>0</v>
      </c>
      <c r="CQ158" s="18">
        <f>IF($X158="","",AX158/$X$10)</f>
        <v>0</v>
      </c>
      <c r="CR158" s="18">
        <f>IF($X158="","",AY158/$X$10)</f>
        <v>0</v>
      </c>
      <c r="CS158" s="18">
        <f>IF($X158="","",AZ158/$X$10)</f>
        <v>0</v>
      </c>
      <c r="CT158" s="18">
        <f>IF($X158="","",BA158/$X$10)</f>
        <v>0</v>
      </c>
      <c r="CU158" s="18">
        <f>IF($X158="","",BB158/$X$10)</f>
        <v>0</v>
      </c>
      <c r="CV158" s="18">
        <f>IF($X158="","",BC158/$X$10)</f>
        <v>0</v>
      </c>
      <c r="CW158" s="18">
        <f>IF($X158="","",BD158/$X$10)</f>
        <v>0</v>
      </c>
      <c r="CX158" s="18">
        <f>IF($X158="","",BE158/$X$10)</f>
        <v>0</v>
      </c>
      <c r="CY158" s="18">
        <f>IF($X158="","",BF158/$X$10)</f>
        <v>0</v>
      </c>
      <c r="CZ158" s="18">
        <f>IF($X158="","",BG158/$X$10)</f>
        <v>0</v>
      </c>
      <c r="DA158" s="18">
        <f>IF($X158="","",BH158/$X$10)</f>
        <v>0</v>
      </c>
      <c r="DB158" s="18">
        <f>IF($X158="","",BI158/$X$10)</f>
        <v>0</v>
      </c>
      <c r="DC158" s="18">
        <f>IF($X158="","",BJ158/$X$10)</f>
        <v>0</v>
      </c>
      <c r="DD158" s="18">
        <f>IF($X158="","",BK158/$X$10)</f>
        <v>0</v>
      </c>
      <c r="DE158" s="18">
        <f>IF($X158="","",BL158/$X$10)</f>
        <v>0</v>
      </c>
      <c r="DF158" s="18">
        <f>IF($X158="","",BM158/$X$10)</f>
        <v>0</v>
      </c>
      <c r="DG158" s="18">
        <f t="shared" si="18"/>
        <v>0</v>
      </c>
      <c r="DH158" s="18">
        <f>IF($X158="","",BO158/$X$10)</f>
        <v>0</v>
      </c>
      <c r="DI158" s="18">
        <f>IF($X158="","",BP158/$X$10)</f>
        <v>0</v>
      </c>
      <c r="DJ158" s="18">
        <f>IF($X158="","",BQ158/$X$10)</f>
        <v>0</v>
      </c>
      <c r="DK158" s="18">
        <f>IF($X158="","",BR158/$X$10)</f>
        <v>0</v>
      </c>
      <c r="DL158" s="18">
        <f>IF($X158="","",BS158/$X$10)</f>
        <v>0</v>
      </c>
      <c r="DM158" s="18">
        <f>IF($X158="","",BT158/$X$10)</f>
        <v>0</v>
      </c>
      <c r="DN158" s="18">
        <f t="shared" si="14"/>
        <v>0</v>
      </c>
      <c r="DO158" s="16">
        <f>IF($X158="","",SUM(Tabla152[[#This Row],[PODRIDO]],Tabla152[[#This Row],[HONGO]],Tabla152[[#This Row],[PICADO DE AVE CON PUDRICIÓN]],Tabla152[[#This Row],[FUMAGINA]])/$X$10)</f>
        <v>0</v>
      </c>
      <c r="DP158" s="16">
        <f>IF($X158="","",SUM(Tabla152[[#This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58" s="16">
        <f>IF($X158="","",SUM(Tabla152[[#This Row],[BLANDO]:[COLAPSADO]])/$X$10)</f>
        <v>0</v>
      </c>
      <c r="DR158" s="16">
        <f>IF($X158="","",SUM(Tabla152[[#This Row],[DESHIDRATADO LEVE]:[DESHIDRATADO INMADURO]])/$X$10)</f>
        <v>1.5873015873015872E-2</v>
      </c>
      <c r="DS158" s="18">
        <f t="shared" si="15"/>
        <v>0</v>
      </c>
      <c r="DT158" s="16">
        <f>IF($X158="","",SUM(Tabla152[[#This Row],[PRESENCIA DE LARVA]],Tabla152[[#This Row],[CHANCHITO BLANCO]])/$X$10)</f>
        <v>0</v>
      </c>
      <c r="DU158" s="18">
        <f>IF($X158="","",SUM(Tabla152[[#This Row],[ROJO GRADO 2 A MÁS]],Tabla152[[#This Row],[IMMADURO VERDE]],Tabla152[[#This Row],[DESORDEN POR MADURACIÓN]],Tabla152[[#This Row],[ARO PEDICELAR VERDE EXTREMO]])/$X$10)</f>
        <v>0</v>
      </c>
      <c r="DV158" s="16">
        <f>IF($X158="","",SUM(Tabla152[[#This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58" s="16">
        <f t="shared" si="16"/>
        <v>0</v>
      </c>
      <c r="DX158" s="16">
        <f>IF($X158="","",AJ158/$X$10)</f>
        <v>0</v>
      </c>
      <c r="DY158" s="16">
        <f>IF($X158="","",SUM(Tabla152[[#This Row],[PRESENCIA DE COROLA]],Tabla152[[#This Row],[PRESENCIA DE RESTO FLORAL VERDE]],Tabla152[[#This Row],[PRESENCIA DE PEDÚNCULO]])/$X$10)</f>
        <v>0</v>
      </c>
      <c r="DZ158" s="16">
        <f>IF($X158="","",SUM(Tabla152[[#This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59" spans="1:130" x14ac:dyDescent="0.3">
      <c r="A159" s="9">
        <f>IF(W159="","",IF(ROW()=10,1,IF(W159=W158,A158,MAX($A$9:A158)+1)))</f>
        <v>49</v>
      </c>
      <c r="B159" s="9">
        <f>WEEKNUM(Tabla152[[#This Row],[FECHA DE COSECHA]],21)</f>
        <v>36</v>
      </c>
      <c r="C159" s="9"/>
      <c r="D159" s="17">
        <v>46268</v>
      </c>
      <c r="E159" s="17">
        <v>46268</v>
      </c>
      <c r="F159" s="9">
        <v>1</v>
      </c>
      <c r="G159" s="9" t="s">
        <v>77</v>
      </c>
      <c r="H159" s="9" t="s">
        <v>143</v>
      </c>
      <c r="I159" s="9" t="s">
        <v>188</v>
      </c>
      <c r="J159" s="9" t="s">
        <v>135</v>
      </c>
      <c r="K159" s="9" t="s">
        <v>196</v>
      </c>
      <c r="L159" s="9" t="s">
        <v>131</v>
      </c>
      <c r="M159" s="9" t="s">
        <v>240</v>
      </c>
      <c r="N159" s="9" t="s">
        <v>145</v>
      </c>
      <c r="O159" s="9" t="s">
        <v>195</v>
      </c>
      <c r="P159" s="9" t="s">
        <v>241</v>
      </c>
      <c r="Q159" s="9"/>
      <c r="R159" s="9">
        <v>7</v>
      </c>
      <c r="S159" s="9">
        <v>78114711</v>
      </c>
      <c r="T159" t="s">
        <v>233</v>
      </c>
      <c r="U159" s="9" t="s">
        <v>147</v>
      </c>
      <c r="V159" s="9"/>
      <c r="W159" s="19" t="s">
        <v>200</v>
      </c>
      <c r="X159" s="9">
        <v>42</v>
      </c>
      <c r="Y159" s="9">
        <v>3</v>
      </c>
      <c r="Z159" s="9">
        <v>15</v>
      </c>
      <c r="AA159" s="9" t="str">
        <f>IF(Tabla152[[#This Row],[NOTA]]=15,"CUMPLE","NO CUMPLE")</f>
        <v>CUMPLE</v>
      </c>
      <c r="AB159" s="9" t="str">
        <f>IF(COUNTIF($A$10:A159,A159)=1,IF(COUNTIFS($A:$A,A159,$AA:$AA,"NO CUMPLE")&gt;0,"NO CUMPLE","CUMPLE"),"")</f>
        <v/>
      </c>
      <c r="AC159" s="9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18"/>
      <c r="BX159" s="18">
        <f>IF($X159="","",AE159/$X$10)</f>
        <v>0</v>
      </c>
      <c r="BY159" s="18">
        <f>IF($X159="","",AF159/$X$10)</f>
        <v>0</v>
      </c>
      <c r="BZ159" s="18">
        <f>IF($X159="","",AG159/$X$10)</f>
        <v>0</v>
      </c>
      <c r="CA159" s="18">
        <f>IF($X159="","",AH159/$X$10)</f>
        <v>0</v>
      </c>
      <c r="CB159" s="18">
        <f t="shared" si="17"/>
        <v>0</v>
      </c>
      <c r="CC159" s="18">
        <f>IF($X159="","",AJ159/$X$10)</f>
        <v>0</v>
      </c>
      <c r="CD159" s="18">
        <f>IF($X159="","",AK159/$X$10)</f>
        <v>0</v>
      </c>
      <c r="CE159" s="18">
        <f>IF($X159="","",AL159/$X$10)</f>
        <v>0</v>
      </c>
      <c r="CF159" s="18">
        <f>IF($X159="","",AM159/$X$10)</f>
        <v>0</v>
      </c>
      <c r="CG159" s="18">
        <f>IF($X159="","",AN159/$X$10)</f>
        <v>0</v>
      </c>
      <c r="CH159" s="18">
        <f>IF($X159="","",AO159/$X$10)</f>
        <v>0</v>
      </c>
      <c r="CI159" s="18">
        <f>IF($X159="","",AP159/$X$10)</f>
        <v>0</v>
      </c>
      <c r="CJ159" s="18">
        <f>IF($X159="","",AQ159/$X$10)</f>
        <v>0</v>
      </c>
      <c r="CK159" s="18">
        <f>IF($X159="","",AR159/$X$10)</f>
        <v>0</v>
      </c>
      <c r="CL159" s="18">
        <f>IF($X159="","",AS159/$X$10)</f>
        <v>0</v>
      </c>
      <c r="CM159" s="18">
        <f>IF($X159="","",AT159/$X$10)</f>
        <v>0</v>
      </c>
      <c r="CN159" s="18">
        <f>IF($X159="","",AU159/$X$10)</f>
        <v>0</v>
      </c>
      <c r="CO159" s="18">
        <f>IF($X159="","",AV159/$X$10)</f>
        <v>0</v>
      </c>
      <c r="CP159" s="18">
        <f>IF($X159="","",AW159/$X$10)</f>
        <v>0</v>
      </c>
      <c r="CQ159" s="18">
        <f>IF($X159="","",AX159/$X$10)</f>
        <v>0</v>
      </c>
      <c r="CR159" s="18">
        <f>IF($X159="","",AY159/$X$10)</f>
        <v>0</v>
      </c>
      <c r="CS159" s="18">
        <f>IF($X159="","",AZ159/$X$10)</f>
        <v>0</v>
      </c>
      <c r="CT159" s="18">
        <f>IF($X159="","",BA159/$X$10)</f>
        <v>0</v>
      </c>
      <c r="CU159" s="18">
        <f>IF($X159="","",BB159/$X$10)</f>
        <v>0</v>
      </c>
      <c r="CV159" s="18">
        <f>IF($X159="","",BC159/$X$10)</f>
        <v>0</v>
      </c>
      <c r="CW159" s="18">
        <f>IF($X159="","",BD159/$X$10)</f>
        <v>0</v>
      </c>
      <c r="CX159" s="18">
        <f>IF($X159="","",BE159/$X$10)</f>
        <v>0</v>
      </c>
      <c r="CY159" s="18">
        <f>IF($X159="","",BF159/$X$10)</f>
        <v>0</v>
      </c>
      <c r="CZ159" s="18">
        <f>IF($X159="","",BG159/$X$10)</f>
        <v>0</v>
      </c>
      <c r="DA159" s="18">
        <f>IF($X159="","",BH159/$X$10)</f>
        <v>0</v>
      </c>
      <c r="DB159" s="18">
        <f>IF($X159="","",BI159/$X$10)</f>
        <v>0</v>
      </c>
      <c r="DC159" s="18">
        <f>IF($X159="","",BJ159/$X$10)</f>
        <v>0</v>
      </c>
      <c r="DD159" s="18">
        <f>IF($X159="","",BK159/$X$10)</f>
        <v>0</v>
      </c>
      <c r="DE159" s="18">
        <f>IF($X159="","",BL159/$X$10)</f>
        <v>0</v>
      </c>
      <c r="DF159" s="18">
        <f>IF($X159="","",BM159/$X$10)</f>
        <v>0</v>
      </c>
      <c r="DG159" s="18">
        <f t="shared" si="18"/>
        <v>0</v>
      </c>
      <c r="DH159" s="18">
        <f>IF($X159="","",BO159/$X$10)</f>
        <v>0</v>
      </c>
      <c r="DI159" s="18">
        <f>IF($X159="","",BP159/$X$10)</f>
        <v>0</v>
      </c>
      <c r="DJ159" s="18">
        <f>IF($X159="","",BQ159/$X$10)</f>
        <v>0</v>
      </c>
      <c r="DK159" s="18">
        <f>IF($X159="","",BR159/$X$10)</f>
        <v>0</v>
      </c>
      <c r="DL159" s="18">
        <f>IF($X159="","",BS159/$X$10)</f>
        <v>0</v>
      </c>
      <c r="DM159" s="18">
        <f>IF($X159="","",BT159/$X$10)</f>
        <v>0</v>
      </c>
      <c r="DN159" s="18">
        <f t="shared" si="14"/>
        <v>0</v>
      </c>
      <c r="DO159" s="16">
        <f>IF($X159="","",SUM(Tabla152[[#This Row],[PODRIDO]],Tabla152[[#This Row],[HONGO]],Tabla152[[#This Row],[PICADO DE AVE CON PUDRICIÓN]],Tabla152[[#This Row],[FUMAGINA]])/$X$10)</f>
        <v>0</v>
      </c>
      <c r="DP159" s="16">
        <f>IF($X159="","",SUM(Tabla152[[#This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59" s="16">
        <f>IF($X159="","",SUM(Tabla152[[#This Row],[BLANDO]:[COLAPSADO]])/$X$10)</f>
        <v>0</v>
      </c>
      <c r="DR159" s="16">
        <f>IF($X159="","",SUM(Tabla152[[#This Row],[DESHIDRATADO LEVE]:[DESHIDRATADO INMADURO]])/$X$10)</f>
        <v>0</v>
      </c>
      <c r="DS159" s="18">
        <f t="shared" si="15"/>
        <v>0</v>
      </c>
      <c r="DT159" s="16">
        <f>IF($X159="","",SUM(Tabla152[[#This Row],[PRESENCIA DE LARVA]],Tabla152[[#This Row],[CHANCHITO BLANCO]])/$X$10)</f>
        <v>0</v>
      </c>
      <c r="DU159" s="18">
        <f>IF($X159="","",SUM(Tabla152[[#This Row],[ROJO GRADO 2 A MÁS]],Tabla152[[#This Row],[IMMADURO VERDE]],Tabla152[[#This Row],[DESORDEN POR MADURACIÓN]],Tabla152[[#This Row],[ARO PEDICELAR VERDE EXTREMO]])/$X$10)</f>
        <v>0</v>
      </c>
      <c r="DV159" s="16">
        <f>IF($X159="","",SUM(Tabla152[[#This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59" s="16">
        <f t="shared" si="16"/>
        <v>0</v>
      </c>
      <c r="DX159" s="16">
        <f>IF($X159="","",AJ159/$X$10)</f>
        <v>0</v>
      </c>
      <c r="DY159" s="16">
        <f>IF($X159="","",SUM(Tabla152[[#This Row],[PRESENCIA DE COROLA]],Tabla152[[#This Row],[PRESENCIA DE RESTO FLORAL VERDE]],Tabla152[[#This Row],[PRESENCIA DE PEDÚNCULO]])/$X$10)</f>
        <v>0</v>
      </c>
      <c r="DZ159" s="16">
        <f>IF($X159="","",SUM(Tabla152[[#This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60" spans="1:130" x14ac:dyDescent="0.3">
      <c r="A160" s="9">
        <f>IF(W160="","",IF(ROW()=10,1,IF(W160=W159,A159,MAX($A$9:A159)+1)))</f>
        <v>50</v>
      </c>
      <c r="B160" s="9">
        <f>WEEKNUM(Tabla152[[#This Row],[FECHA DE COSECHA]],21)</f>
        <v>36</v>
      </c>
      <c r="C160" s="9"/>
      <c r="D160" s="17">
        <v>46268</v>
      </c>
      <c r="E160" s="17">
        <v>46268</v>
      </c>
      <c r="F160" s="9">
        <v>1</v>
      </c>
      <c r="G160" s="9" t="s">
        <v>77</v>
      </c>
      <c r="H160" s="9" t="s">
        <v>143</v>
      </c>
      <c r="I160" s="9" t="s">
        <v>134</v>
      </c>
      <c r="J160" s="9" t="s">
        <v>78</v>
      </c>
      <c r="K160" s="9" t="s">
        <v>153</v>
      </c>
      <c r="L160" s="9" t="s">
        <v>131</v>
      </c>
      <c r="M160" s="9" t="s">
        <v>240</v>
      </c>
      <c r="N160" s="9" t="s">
        <v>145</v>
      </c>
      <c r="O160" s="9" t="s">
        <v>244</v>
      </c>
      <c r="P160" s="9" t="s">
        <v>152</v>
      </c>
      <c r="Q160" s="9"/>
      <c r="R160" s="9">
        <v>8</v>
      </c>
      <c r="S160" s="9">
        <v>78114711</v>
      </c>
      <c r="T160" t="s">
        <v>233</v>
      </c>
      <c r="U160" s="9" t="s">
        <v>147</v>
      </c>
      <c r="V160" s="9"/>
      <c r="W160" s="19" t="s">
        <v>201</v>
      </c>
      <c r="X160" s="9">
        <v>44</v>
      </c>
      <c r="Y160" s="9">
        <v>1</v>
      </c>
      <c r="Z160" s="9">
        <v>15</v>
      </c>
      <c r="AA160" s="9" t="str">
        <f>IF(Tabla152[[#This Row],[NOTA]]=15,"CUMPLE","NO CUMPLE")</f>
        <v>CUMPLE</v>
      </c>
      <c r="AB160" s="9" t="str">
        <f>IF(COUNTIF($A$10:A160,A160)=1,IF(COUNTIFS($A:$A,A160,$AA:$AA,"NO CUMPLE")&gt;0,"NO CUMPLE","CUMPLE"),"")</f>
        <v>NO CUMPLE</v>
      </c>
      <c r="AC160" s="9" t="s">
        <v>140</v>
      </c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18"/>
      <c r="BX160" s="18">
        <f>IF($X160="","",AE160/$X$10)</f>
        <v>0</v>
      </c>
      <c r="BY160" s="18">
        <f>IF($X160="","",AF160/$X$10)</f>
        <v>0</v>
      </c>
      <c r="BZ160" s="18">
        <f>IF($X160="","",AG160/$X$10)</f>
        <v>0</v>
      </c>
      <c r="CA160" s="18">
        <f>IF($X160="","",AH160/$X$10)</f>
        <v>0</v>
      </c>
      <c r="CB160" s="18">
        <f t="shared" si="17"/>
        <v>0</v>
      </c>
      <c r="CC160" s="18">
        <f>IF($X160="","",AJ160/$X$10)</f>
        <v>0</v>
      </c>
      <c r="CD160" s="18">
        <f>IF($X160="","",AK160/$X$10)</f>
        <v>0</v>
      </c>
      <c r="CE160" s="18">
        <f>IF($X160="","",AL160/$X$10)</f>
        <v>0</v>
      </c>
      <c r="CF160" s="18">
        <f>IF($X160="","",AM160/$X$10)</f>
        <v>0</v>
      </c>
      <c r="CG160" s="18">
        <f>IF($X160="","",AN160/$X$10)</f>
        <v>0</v>
      </c>
      <c r="CH160" s="18">
        <f>IF($X160="","",AO160/$X$10)</f>
        <v>0</v>
      </c>
      <c r="CI160" s="18">
        <f>IF($X160="","",AP160/$X$10)</f>
        <v>0</v>
      </c>
      <c r="CJ160" s="18">
        <f>IF($X160="","",AQ160/$X$10)</f>
        <v>0</v>
      </c>
      <c r="CK160" s="18">
        <f>IF($X160="","",AR160/$X$10)</f>
        <v>0</v>
      </c>
      <c r="CL160" s="18">
        <f>IF($X160="","",AS160/$X$10)</f>
        <v>0</v>
      </c>
      <c r="CM160" s="18">
        <f>IF($X160="","",AT160/$X$10)</f>
        <v>0</v>
      </c>
      <c r="CN160" s="18">
        <f>IF($X160="","",AU160/$X$10)</f>
        <v>0</v>
      </c>
      <c r="CO160" s="18">
        <f>IF($X160="","",AV160/$X$10)</f>
        <v>0</v>
      </c>
      <c r="CP160" s="18">
        <f>IF($X160="","",AW160/$X$10)</f>
        <v>0</v>
      </c>
      <c r="CQ160" s="18">
        <f>IF($X160="","",AX160/$X$10)</f>
        <v>0</v>
      </c>
      <c r="CR160" s="18">
        <f>IF($X160="","",AY160/$X$10)</f>
        <v>0</v>
      </c>
      <c r="CS160" s="18">
        <f>IF($X160="","",AZ160/$X$10)</f>
        <v>0</v>
      </c>
      <c r="CT160" s="18">
        <f>IF($X160="","",BA160/$X$10)</f>
        <v>0</v>
      </c>
      <c r="CU160" s="18">
        <f>IF($X160="","",BB160/$X$10)</f>
        <v>0</v>
      </c>
      <c r="CV160" s="18">
        <f>IF($X160="","",BC160/$X$10)</f>
        <v>0</v>
      </c>
      <c r="CW160" s="18">
        <f>IF($X160="","",BD160/$X$10)</f>
        <v>0</v>
      </c>
      <c r="CX160" s="18">
        <f>IF($X160="","",BE160/$X$10)</f>
        <v>0</v>
      </c>
      <c r="CY160" s="18">
        <f>IF($X160="","",BF160/$X$10)</f>
        <v>0</v>
      </c>
      <c r="CZ160" s="18">
        <f>IF($X160="","",BG160/$X$10)</f>
        <v>0</v>
      </c>
      <c r="DA160" s="18">
        <f>IF($X160="","",BH160/$X$10)</f>
        <v>0</v>
      </c>
      <c r="DB160" s="18">
        <f>IF($X160="","",BI160/$X$10)</f>
        <v>0</v>
      </c>
      <c r="DC160" s="18">
        <f>IF($X160="","",BJ160/$X$10)</f>
        <v>0</v>
      </c>
      <c r="DD160" s="18">
        <f>IF($X160="","",BK160/$X$10)</f>
        <v>0</v>
      </c>
      <c r="DE160" s="18">
        <f>IF($X160="","",BL160/$X$10)</f>
        <v>0</v>
      </c>
      <c r="DF160" s="18">
        <f>IF($X160="","",BM160/$X$10)</f>
        <v>0</v>
      </c>
      <c r="DG160" s="18">
        <f t="shared" si="18"/>
        <v>0</v>
      </c>
      <c r="DH160" s="18">
        <f>IF($X160="","",BO160/$X$10)</f>
        <v>0</v>
      </c>
      <c r="DI160" s="18">
        <f>IF($X160="","",BP160/$X$10)</f>
        <v>0</v>
      </c>
      <c r="DJ160" s="18">
        <f>IF($X160="","",BQ160/$X$10)</f>
        <v>0</v>
      </c>
      <c r="DK160" s="18">
        <f>IF($X160="","",BR160/$X$10)</f>
        <v>0</v>
      </c>
      <c r="DL160" s="18">
        <f>IF($X160="","",BS160/$X$10)</f>
        <v>0</v>
      </c>
      <c r="DM160" s="18">
        <f>IF($X160="","",BT160/$X$10)</f>
        <v>0</v>
      </c>
      <c r="DN160" s="18">
        <f t="shared" si="14"/>
        <v>0</v>
      </c>
      <c r="DO160" s="16">
        <f>IF($X160="","",SUM(Tabla152[[#This Row],[PODRIDO]],Tabla152[[#This Row],[HONGO]],Tabla152[[#This Row],[PICADO DE AVE CON PUDRICIÓN]],Tabla152[[#This Row],[FUMAGINA]])/$X$10)</f>
        <v>0</v>
      </c>
      <c r="DP160" s="16">
        <f>IF($X160="","",SUM(Tabla152[[#This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60" s="16">
        <f>IF($X160="","",SUM(Tabla152[[#This Row],[BLANDO]:[COLAPSADO]])/$X$10)</f>
        <v>0</v>
      </c>
      <c r="DR160" s="16">
        <f>IF($X160="","",SUM(Tabla152[[#This Row],[DESHIDRATADO LEVE]:[DESHIDRATADO INMADURO]])/$X$10)</f>
        <v>0</v>
      </c>
      <c r="DS160" s="18">
        <f t="shared" si="15"/>
        <v>0</v>
      </c>
      <c r="DT160" s="16">
        <f>IF($X160="","",SUM(Tabla152[[#This Row],[PRESENCIA DE LARVA]],Tabla152[[#This Row],[CHANCHITO BLANCO]])/$X$10)</f>
        <v>0</v>
      </c>
      <c r="DU160" s="18">
        <f>IF($X160="","",SUM(Tabla152[[#This Row],[ROJO GRADO 2 A MÁS]],Tabla152[[#This Row],[IMMADURO VERDE]],Tabla152[[#This Row],[DESORDEN POR MADURACIÓN]],Tabla152[[#This Row],[ARO PEDICELAR VERDE EXTREMO]])/$X$10)</f>
        <v>0</v>
      </c>
      <c r="DV160" s="16">
        <f>IF($X160="","",SUM(Tabla152[[#This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60" s="16">
        <f t="shared" si="16"/>
        <v>0</v>
      </c>
      <c r="DX160" s="16">
        <f>IF($X160="","",AJ160/$X$10)</f>
        <v>0</v>
      </c>
      <c r="DY160" s="16">
        <f>IF($X160="","",SUM(Tabla152[[#This Row],[PRESENCIA DE COROLA]],Tabla152[[#This Row],[PRESENCIA DE RESTO FLORAL VERDE]],Tabla152[[#This Row],[PRESENCIA DE PEDÚNCULO]])/$X$10)</f>
        <v>0</v>
      </c>
      <c r="DZ160" s="16">
        <f>IF($X160="","",SUM(Tabla152[[#This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61" spans="1:130" x14ac:dyDescent="0.3">
      <c r="A161" s="9">
        <f>IF(W161="","",IF(ROW()=10,1,IF(W161=W160,A160,MAX($A$9:A160)+1)))</f>
        <v>50</v>
      </c>
      <c r="B161" s="9">
        <f>WEEKNUM(Tabla152[[#This Row],[FECHA DE COSECHA]],21)</f>
        <v>36</v>
      </c>
      <c r="C161" s="9"/>
      <c r="D161" s="17">
        <v>46268</v>
      </c>
      <c r="E161" s="17">
        <v>46268</v>
      </c>
      <c r="F161" s="9">
        <v>1</v>
      </c>
      <c r="G161" s="9" t="s">
        <v>77</v>
      </c>
      <c r="H161" s="9" t="s">
        <v>143</v>
      </c>
      <c r="I161" s="9" t="s">
        <v>134</v>
      </c>
      <c r="J161" s="9" t="s">
        <v>78</v>
      </c>
      <c r="K161" s="9" t="s">
        <v>153</v>
      </c>
      <c r="L161" s="9" t="s">
        <v>131</v>
      </c>
      <c r="M161" s="9" t="s">
        <v>240</v>
      </c>
      <c r="N161" s="9" t="s">
        <v>145</v>
      </c>
      <c r="O161" s="9" t="s">
        <v>244</v>
      </c>
      <c r="P161" s="9" t="s">
        <v>152</v>
      </c>
      <c r="Q161" s="9"/>
      <c r="R161" s="9">
        <v>8</v>
      </c>
      <c r="S161" s="9">
        <v>78114711</v>
      </c>
      <c r="T161" t="s">
        <v>233</v>
      </c>
      <c r="U161" s="9" t="s">
        <v>147</v>
      </c>
      <c r="V161" s="9"/>
      <c r="W161" s="19" t="s">
        <v>201</v>
      </c>
      <c r="X161" s="9">
        <v>44</v>
      </c>
      <c r="Y161" s="9">
        <v>2</v>
      </c>
      <c r="Z161" s="9">
        <v>15</v>
      </c>
      <c r="AA161" s="9" t="str">
        <f>IF(Tabla152[[#This Row],[NOTA]]=15,"CUMPLE","NO CUMPLE")</f>
        <v>CUMPLE</v>
      </c>
      <c r="AB161" s="9" t="str">
        <f>IF(COUNTIF($A$10:A161,A161)=1,IF(COUNTIFS($A:$A,A161,$AA:$AA,"NO CUMPLE")&gt;0,"NO CUMPLE","CUMPLE"),"")</f>
        <v/>
      </c>
      <c r="AC161" s="9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18"/>
      <c r="BX161" s="18">
        <f>IF($X161="","",AE161/$X$10)</f>
        <v>0</v>
      </c>
      <c r="BY161" s="18">
        <f>IF($X161="","",AF161/$X$10)</f>
        <v>0</v>
      </c>
      <c r="BZ161" s="18">
        <f>IF($X161="","",AG161/$X$10)</f>
        <v>0</v>
      </c>
      <c r="CA161" s="18">
        <f>IF($X161="","",AH161/$X$10)</f>
        <v>0</v>
      </c>
      <c r="CB161" s="18">
        <f t="shared" si="17"/>
        <v>0</v>
      </c>
      <c r="CC161" s="18">
        <f>IF($X161="","",AJ161/$X$10)</f>
        <v>0</v>
      </c>
      <c r="CD161" s="18">
        <f>IF($X161="","",AK161/$X$10)</f>
        <v>0</v>
      </c>
      <c r="CE161" s="18">
        <f>IF($X161="","",AL161/$X$10)</f>
        <v>0</v>
      </c>
      <c r="CF161" s="18">
        <f>IF($X161="","",AM161/$X$10)</f>
        <v>0</v>
      </c>
      <c r="CG161" s="18">
        <f>IF($X161="","",AN161/$X$10)</f>
        <v>0</v>
      </c>
      <c r="CH161" s="18">
        <f>IF($X161="","",AO161/$X$10)</f>
        <v>0</v>
      </c>
      <c r="CI161" s="18">
        <f>IF($X161="","",AP161/$X$10)</f>
        <v>0</v>
      </c>
      <c r="CJ161" s="18">
        <f>IF($X161="","",AQ161/$X$10)</f>
        <v>0</v>
      </c>
      <c r="CK161" s="18">
        <f>IF($X161="","",AR161/$X$10)</f>
        <v>0</v>
      </c>
      <c r="CL161" s="18">
        <f>IF($X161="","",AS161/$X$10)</f>
        <v>0</v>
      </c>
      <c r="CM161" s="18">
        <f>IF($X161="","",AT161/$X$10)</f>
        <v>0</v>
      </c>
      <c r="CN161" s="18">
        <f>IF($X161="","",AU161/$X$10)</f>
        <v>0</v>
      </c>
      <c r="CO161" s="18">
        <f>IF($X161="","",AV161/$X$10)</f>
        <v>0</v>
      </c>
      <c r="CP161" s="18">
        <f>IF($X161="","",AW161/$X$10)</f>
        <v>0</v>
      </c>
      <c r="CQ161" s="18">
        <f>IF($X161="","",AX161/$X$10)</f>
        <v>0</v>
      </c>
      <c r="CR161" s="18">
        <f>IF($X161="","",AY161/$X$10)</f>
        <v>0</v>
      </c>
      <c r="CS161" s="18">
        <f>IF($X161="","",AZ161/$X$10)</f>
        <v>0</v>
      </c>
      <c r="CT161" s="18">
        <f>IF($X161="","",BA161/$X$10)</f>
        <v>0</v>
      </c>
      <c r="CU161" s="18">
        <f>IF($X161="","",BB161/$X$10)</f>
        <v>0</v>
      </c>
      <c r="CV161" s="18">
        <f>IF($X161="","",BC161/$X$10)</f>
        <v>0</v>
      </c>
      <c r="CW161" s="18">
        <f>IF($X161="","",BD161/$X$10)</f>
        <v>0</v>
      </c>
      <c r="CX161" s="18">
        <f>IF($X161="","",BE161/$X$10)</f>
        <v>0</v>
      </c>
      <c r="CY161" s="18">
        <f>IF($X161="","",BF161/$X$10)</f>
        <v>0</v>
      </c>
      <c r="CZ161" s="18">
        <f>IF($X161="","",BG161/$X$10)</f>
        <v>0</v>
      </c>
      <c r="DA161" s="18">
        <f>IF($X161="","",BH161/$X$10)</f>
        <v>0</v>
      </c>
      <c r="DB161" s="18">
        <f>IF($X161="","",BI161/$X$10)</f>
        <v>0</v>
      </c>
      <c r="DC161" s="18">
        <f>IF($X161="","",BJ161/$X$10)</f>
        <v>0</v>
      </c>
      <c r="DD161" s="18">
        <f>IF($X161="","",BK161/$X$10)</f>
        <v>0</v>
      </c>
      <c r="DE161" s="18">
        <f>IF($X161="","",BL161/$X$10)</f>
        <v>0</v>
      </c>
      <c r="DF161" s="18">
        <f>IF($X161="","",BM161/$X$10)</f>
        <v>0</v>
      </c>
      <c r="DG161" s="18">
        <f t="shared" si="18"/>
        <v>0</v>
      </c>
      <c r="DH161" s="18">
        <f>IF($X161="","",BO161/$X$10)</f>
        <v>0</v>
      </c>
      <c r="DI161" s="18">
        <f>IF($X161="","",BP161/$X$10)</f>
        <v>0</v>
      </c>
      <c r="DJ161" s="18">
        <f>IF($X161="","",BQ161/$X$10)</f>
        <v>0</v>
      </c>
      <c r="DK161" s="18">
        <f>IF($X161="","",BR161/$X$10)</f>
        <v>0</v>
      </c>
      <c r="DL161" s="18">
        <f>IF($X161="","",BS161/$X$10)</f>
        <v>0</v>
      </c>
      <c r="DM161" s="18">
        <f>IF($X161="","",BT161/$X$10)</f>
        <v>0</v>
      </c>
      <c r="DN161" s="18">
        <f t="shared" si="14"/>
        <v>0</v>
      </c>
      <c r="DO161" s="16">
        <f>IF($X161="","",SUM(Tabla152[[#This Row],[PODRIDO]],Tabla152[[#This Row],[HONGO]],Tabla152[[#This Row],[PICADO DE AVE CON PUDRICIÓN]],Tabla152[[#This Row],[FUMAGINA]])/$X$10)</f>
        <v>0</v>
      </c>
      <c r="DP161" s="16">
        <f>IF($X161="","",SUM(Tabla152[[#This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61" s="16">
        <f>IF($X161="","",SUM(Tabla152[[#This Row],[BLANDO]:[COLAPSADO]])/$X$10)</f>
        <v>0</v>
      </c>
      <c r="DR161" s="16">
        <f>IF($X161="","",SUM(Tabla152[[#This Row],[DESHIDRATADO LEVE]:[DESHIDRATADO INMADURO]])/$X$10)</f>
        <v>0</v>
      </c>
      <c r="DS161" s="18">
        <f t="shared" si="15"/>
        <v>0</v>
      </c>
      <c r="DT161" s="16">
        <f>IF($X161="","",SUM(Tabla152[[#This Row],[PRESENCIA DE LARVA]],Tabla152[[#This Row],[CHANCHITO BLANCO]])/$X$10)</f>
        <v>0</v>
      </c>
      <c r="DU161" s="18">
        <f>IF($X161="","",SUM(Tabla152[[#This Row],[ROJO GRADO 2 A MÁS]],Tabla152[[#This Row],[IMMADURO VERDE]],Tabla152[[#This Row],[DESORDEN POR MADURACIÓN]],Tabla152[[#This Row],[ARO PEDICELAR VERDE EXTREMO]])/$X$10)</f>
        <v>0</v>
      </c>
      <c r="DV161" s="16">
        <f>IF($X161="","",SUM(Tabla152[[#This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61" s="16">
        <f t="shared" si="16"/>
        <v>0</v>
      </c>
      <c r="DX161" s="16">
        <f>IF($X161="","",AJ161/$X$10)</f>
        <v>0</v>
      </c>
      <c r="DY161" s="16">
        <f>IF($X161="","",SUM(Tabla152[[#This Row],[PRESENCIA DE COROLA]],Tabla152[[#This Row],[PRESENCIA DE RESTO FLORAL VERDE]],Tabla152[[#This Row],[PRESENCIA DE PEDÚNCULO]])/$X$10)</f>
        <v>0</v>
      </c>
      <c r="DZ161" s="16">
        <f>IF($X161="","",SUM(Tabla152[[#This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62" spans="1:130" x14ac:dyDescent="0.3">
      <c r="A162" s="9">
        <f>IF(W162="","",IF(ROW()=10,1,IF(W162=W161,A161,MAX($A$9:A161)+1)))</f>
        <v>50</v>
      </c>
      <c r="B162" s="9">
        <f>WEEKNUM(Tabla152[[#This Row],[FECHA DE COSECHA]],21)</f>
        <v>36</v>
      </c>
      <c r="C162" s="9"/>
      <c r="D162" s="17">
        <v>46268</v>
      </c>
      <c r="E162" s="17">
        <v>46268</v>
      </c>
      <c r="F162" s="9">
        <v>1</v>
      </c>
      <c r="G162" s="9" t="s">
        <v>77</v>
      </c>
      <c r="H162" s="9" t="s">
        <v>143</v>
      </c>
      <c r="I162" s="9" t="s">
        <v>134</v>
      </c>
      <c r="J162" s="9" t="s">
        <v>78</v>
      </c>
      <c r="K162" s="9" t="s">
        <v>153</v>
      </c>
      <c r="L162" s="9" t="s">
        <v>131</v>
      </c>
      <c r="M162" s="9" t="s">
        <v>240</v>
      </c>
      <c r="N162" s="9" t="s">
        <v>145</v>
      </c>
      <c r="O162" s="9" t="s">
        <v>244</v>
      </c>
      <c r="P162" s="9" t="s">
        <v>152</v>
      </c>
      <c r="Q162" s="9"/>
      <c r="R162" s="9">
        <v>8</v>
      </c>
      <c r="S162" s="9">
        <v>78114711</v>
      </c>
      <c r="T162" t="s">
        <v>233</v>
      </c>
      <c r="U162" s="9" t="s">
        <v>147</v>
      </c>
      <c r="V162" s="9"/>
      <c r="W162" s="19" t="s">
        <v>201</v>
      </c>
      <c r="X162" s="9">
        <v>44</v>
      </c>
      <c r="Y162" s="9">
        <v>3</v>
      </c>
      <c r="Z162" s="9">
        <v>5</v>
      </c>
      <c r="AA162" s="9" t="str">
        <f>IF(Tabla152[[#This Row],[NOTA]]=15,"CUMPLE","NO CUMPLE")</f>
        <v>NO CUMPLE</v>
      </c>
      <c r="AB162" s="9" t="str">
        <f>IF(COUNTIF($A$10:A162,A162)=1,IF(COUNTIFS($A:$A,A162,$AA:$AA,"NO CUMPLE")&gt;0,"NO CUMPLE","CUMPLE"),"")</f>
        <v/>
      </c>
      <c r="AC162" s="9"/>
      <c r="AD162" s="8">
        <v>1</v>
      </c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7"/>
      <c r="AR162" s="7"/>
      <c r="AS162" s="7"/>
      <c r="AT162" s="7"/>
      <c r="AU162" s="7">
        <v>1</v>
      </c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18"/>
      <c r="BX162" s="18">
        <f>IF($X162="","",AE162/$X$10)</f>
        <v>0</v>
      </c>
      <c r="BY162" s="18">
        <f>IF($X162="","",AF162/$X$10)</f>
        <v>0</v>
      </c>
      <c r="BZ162" s="18">
        <f>IF($X162="","",AG162/$X$10)</f>
        <v>0</v>
      </c>
      <c r="CA162" s="18">
        <f>IF($X162="","",AH162/$X$10)</f>
        <v>0</v>
      </c>
      <c r="CB162" s="18">
        <f t="shared" si="17"/>
        <v>0</v>
      </c>
      <c r="CC162" s="18">
        <f>IF($X162="","",AJ162/$X$10)</f>
        <v>0</v>
      </c>
      <c r="CD162" s="18">
        <f>IF($X162="","",AK162/$X$10)</f>
        <v>0</v>
      </c>
      <c r="CE162" s="18">
        <f>IF($X162="","",AL162/$X$10)</f>
        <v>0</v>
      </c>
      <c r="CF162" s="18">
        <f>IF($X162="","",AM162/$X$10)</f>
        <v>0</v>
      </c>
      <c r="CG162" s="18">
        <f>IF($X162="","",AN162/$X$10)</f>
        <v>0</v>
      </c>
      <c r="CH162" s="18">
        <f>IF($X162="","",AO162/$X$10)</f>
        <v>0</v>
      </c>
      <c r="CI162" s="18">
        <f>IF($X162="","",AP162/$X$10)</f>
        <v>0</v>
      </c>
      <c r="CJ162" s="18">
        <f>IF($X162="","",AQ162/$X$10)</f>
        <v>0</v>
      </c>
      <c r="CK162" s="18">
        <f>IF($X162="","",AR162/$X$10)</f>
        <v>0</v>
      </c>
      <c r="CL162" s="18">
        <f>IF($X162="","",AS162/$X$10)</f>
        <v>0</v>
      </c>
      <c r="CM162" s="18">
        <f>IF($X162="","",AT162/$X$10)</f>
        <v>0</v>
      </c>
      <c r="CN162" s="18">
        <f>IF($X162="","",AU162/$X$10)</f>
        <v>1.5873015873015872E-2</v>
      </c>
      <c r="CO162" s="18">
        <f>IF($X162="","",AV162/$X$10)</f>
        <v>0</v>
      </c>
      <c r="CP162" s="18">
        <f>IF($X162="","",AW162/$X$10)</f>
        <v>0</v>
      </c>
      <c r="CQ162" s="18">
        <f>IF($X162="","",AX162/$X$10)</f>
        <v>0</v>
      </c>
      <c r="CR162" s="18">
        <f>IF($X162="","",AY162/$X$10)</f>
        <v>0</v>
      </c>
      <c r="CS162" s="18">
        <f>IF($X162="","",AZ162/$X$10)</f>
        <v>0</v>
      </c>
      <c r="CT162" s="18">
        <f>IF($X162="","",BA162/$X$10)</f>
        <v>0</v>
      </c>
      <c r="CU162" s="18">
        <f>IF($X162="","",BB162/$X$10)</f>
        <v>0</v>
      </c>
      <c r="CV162" s="18">
        <f>IF($X162="","",BC162/$X$10)</f>
        <v>0</v>
      </c>
      <c r="CW162" s="18">
        <f>IF($X162="","",BD162/$X$10)</f>
        <v>0</v>
      </c>
      <c r="CX162" s="18">
        <f>IF($X162="","",BE162/$X$10)</f>
        <v>0</v>
      </c>
      <c r="CY162" s="18">
        <f>IF($X162="","",BF162/$X$10)</f>
        <v>0</v>
      </c>
      <c r="CZ162" s="18">
        <f>IF($X162="","",BG162/$X$10)</f>
        <v>0</v>
      </c>
      <c r="DA162" s="18">
        <f>IF($X162="","",BH162/$X$10)</f>
        <v>0</v>
      </c>
      <c r="DB162" s="18">
        <f>IF($X162="","",BI162/$X$10)</f>
        <v>0</v>
      </c>
      <c r="DC162" s="18">
        <f>IF($X162="","",BJ162/$X$10)</f>
        <v>0</v>
      </c>
      <c r="DD162" s="18">
        <f>IF($X162="","",BK162/$X$10)</f>
        <v>0</v>
      </c>
      <c r="DE162" s="18">
        <f>IF($X162="","",BL162/$X$10)</f>
        <v>0</v>
      </c>
      <c r="DF162" s="18">
        <f>IF($X162="","",BM162/$X$10)</f>
        <v>0</v>
      </c>
      <c r="DG162" s="18">
        <f t="shared" si="18"/>
        <v>0</v>
      </c>
      <c r="DH162" s="18">
        <f>IF($X162="","",BO162/$X$10)</f>
        <v>0</v>
      </c>
      <c r="DI162" s="18">
        <f>IF($X162="","",BP162/$X$10)</f>
        <v>0</v>
      </c>
      <c r="DJ162" s="18">
        <f>IF($X162="","",BQ162/$X$10)</f>
        <v>0</v>
      </c>
      <c r="DK162" s="18">
        <f>IF($X162="","",BR162/$X$10)</f>
        <v>0</v>
      </c>
      <c r="DL162" s="18">
        <f>IF($X162="","",BS162/$X$10)</f>
        <v>0</v>
      </c>
      <c r="DM162" s="18">
        <f>IF($X162="","",BT162/$X$10)</f>
        <v>0</v>
      </c>
      <c r="DN162" s="18">
        <f t="shared" si="14"/>
        <v>0</v>
      </c>
      <c r="DO162" s="16">
        <f>IF($X162="","",SUM(Tabla152[[#This Row],[PODRIDO]],Tabla152[[#This Row],[HONGO]],Tabla152[[#This Row],[PICADO DE AVE CON PUDRICIÓN]],Tabla152[[#This Row],[FUMAGINA]])/$X$10)</f>
        <v>0</v>
      </c>
      <c r="DP162" s="16">
        <f>IF($X162="","",SUM(Tabla152[[#This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1.5873015873015872E-2</v>
      </c>
      <c r="DQ162" s="16">
        <f>IF($X162="","",SUM(Tabla152[[#This Row],[BLANDO]:[COLAPSADO]])/$X$10)</f>
        <v>0</v>
      </c>
      <c r="DR162" s="16">
        <f>IF($X162="","",SUM(Tabla152[[#This Row],[DESHIDRATADO LEVE]:[DESHIDRATADO INMADURO]])/$X$10)</f>
        <v>0</v>
      </c>
      <c r="DS162" s="18">
        <f t="shared" si="15"/>
        <v>0</v>
      </c>
      <c r="DT162" s="16">
        <f>IF($X162="","",SUM(Tabla152[[#This Row],[PRESENCIA DE LARVA]],Tabla152[[#This Row],[CHANCHITO BLANCO]])/$X$10)</f>
        <v>0</v>
      </c>
      <c r="DU162" s="18">
        <f>IF($X162="","",SUM(Tabla152[[#This Row],[ROJO GRADO 2 A MÁS]],Tabla152[[#This Row],[IMMADURO VERDE]],Tabla152[[#This Row],[DESORDEN POR MADURACIÓN]],Tabla152[[#This Row],[ARO PEDICELAR VERDE EXTREMO]])/$X$10)</f>
        <v>0</v>
      </c>
      <c r="DV162" s="16">
        <f>IF($X162="","",SUM(Tabla152[[#This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62" s="16">
        <f t="shared" si="16"/>
        <v>0</v>
      </c>
      <c r="DX162" s="16">
        <f>IF($X162="","",AJ162/$X$10)</f>
        <v>0</v>
      </c>
      <c r="DY162" s="16">
        <f>IF($X162="","",SUM(Tabla152[[#This Row],[PRESENCIA DE COROLA]],Tabla152[[#This Row],[PRESENCIA DE RESTO FLORAL VERDE]],Tabla152[[#This Row],[PRESENCIA DE PEDÚNCULO]])/$X$10)</f>
        <v>0</v>
      </c>
      <c r="DZ162" s="16">
        <f>IF($X162="","",SUM(Tabla152[[#This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1.5873015873015872E-2</v>
      </c>
    </row>
    <row r="163" spans="1:130" x14ac:dyDescent="0.3">
      <c r="A163" s="9">
        <f>IF(W163="","",IF(ROW()=10,1,IF(W163=W162,A162,MAX($A$9:A162)+1)))</f>
        <v>51</v>
      </c>
      <c r="B163" s="9">
        <f>WEEKNUM(Tabla152[[#This Row],[FECHA DE COSECHA]],21)</f>
        <v>36</v>
      </c>
      <c r="C163" s="9"/>
      <c r="D163" s="17">
        <v>46268</v>
      </c>
      <c r="E163" s="17">
        <v>46268</v>
      </c>
      <c r="F163" s="9">
        <v>1</v>
      </c>
      <c r="G163" s="9" t="s">
        <v>77</v>
      </c>
      <c r="H163" s="9" t="s">
        <v>143</v>
      </c>
      <c r="I163" s="9" t="s">
        <v>134</v>
      </c>
      <c r="J163" s="9" t="s">
        <v>78</v>
      </c>
      <c r="K163" s="9" t="s">
        <v>153</v>
      </c>
      <c r="L163" s="9" t="s">
        <v>131</v>
      </c>
      <c r="M163" s="9" t="s">
        <v>240</v>
      </c>
      <c r="N163" s="9" t="s">
        <v>145</v>
      </c>
      <c r="O163" s="9" t="s">
        <v>244</v>
      </c>
      <c r="P163" s="9" t="s">
        <v>152</v>
      </c>
      <c r="Q163" s="9"/>
      <c r="R163" s="9">
        <v>8</v>
      </c>
      <c r="S163" s="9">
        <v>78114711</v>
      </c>
      <c r="T163" t="s">
        <v>233</v>
      </c>
      <c r="U163" s="9" t="s">
        <v>147</v>
      </c>
      <c r="V163" s="9"/>
      <c r="W163" s="19" t="s">
        <v>202</v>
      </c>
      <c r="X163" s="9">
        <v>44</v>
      </c>
      <c r="Y163" s="9">
        <v>1</v>
      </c>
      <c r="Z163" s="9">
        <v>15</v>
      </c>
      <c r="AA163" s="9" t="str">
        <f>IF(Tabla152[[#This Row],[NOTA]]=15,"CUMPLE","NO CUMPLE")</f>
        <v>CUMPLE</v>
      </c>
      <c r="AB163" s="9" t="str">
        <f>IF(COUNTIF($A$10:A163,A163)=1,IF(COUNTIFS($A:$A,A163,$AA:$AA,"NO CUMPLE")&gt;0,"NO CUMPLE","CUMPLE"),"")</f>
        <v>CUMPLE</v>
      </c>
      <c r="AC163" s="9" t="s">
        <v>140</v>
      </c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18"/>
      <c r="BX163" s="18">
        <f>IF($X163="","",AE163/$X$10)</f>
        <v>0</v>
      </c>
      <c r="BY163" s="18">
        <f>IF($X163="","",AF163/$X$10)</f>
        <v>0</v>
      </c>
      <c r="BZ163" s="18">
        <f>IF($X163="","",AG163/$X$10)</f>
        <v>0</v>
      </c>
      <c r="CA163" s="18">
        <f>IF($X163="","",AH163/$X$10)</f>
        <v>0</v>
      </c>
      <c r="CB163" s="18">
        <f t="shared" si="17"/>
        <v>0</v>
      </c>
      <c r="CC163" s="18">
        <f>IF($X163="","",AJ163/$X$10)</f>
        <v>0</v>
      </c>
      <c r="CD163" s="18">
        <f>IF($X163="","",AK163/$X$10)</f>
        <v>0</v>
      </c>
      <c r="CE163" s="18">
        <f>IF($X163="","",AL163/$X$10)</f>
        <v>0</v>
      </c>
      <c r="CF163" s="18">
        <f>IF($X163="","",AM163/$X$10)</f>
        <v>0</v>
      </c>
      <c r="CG163" s="18">
        <f>IF($X163="","",AN163/$X$10)</f>
        <v>0</v>
      </c>
      <c r="CH163" s="18">
        <f>IF($X163="","",AO163/$X$10)</f>
        <v>0</v>
      </c>
      <c r="CI163" s="18">
        <f>IF($X163="","",AP163/$X$10)</f>
        <v>0</v>
      </c>
      <c r="CJ163" s="18">
        <f>IF($X163="","",AQ163/$X$10)</f>
        <v>0</v>
      </c>
      <c r="CK163" s="18">
        <f>IF($X163="","",AR163/$X$10)</f>
        <v>0</v>
      </c>
      <c r="CL163" s="18">
        <f>IF($X163="","",AS163/$X$10)</f>
        <v>0</v>
      </c>
      <c r="CM163" s="18">
        <f>IF($X163="","",AT163/$X$10)</f>
        <v>0</v>
      </c>
      <c r="CN163" s="18">
        <f>IF($X163="","",AU163/$X$10)</f>
        <v>0</v>
      </c>
      <c r="CO163" s="18">
        <f>IF($X163="","",AV163/$X$10)</f>
        <v>0</v>
      </c>
      <c r="CP163" s="18">
        <f>IF($X163="","",AW163/$X$10)</f>
        <v>0</v>
      </c>
      <c r="CQ163" s="18">
        <f>IF($X163="","",AX163/$X$10)</f>
        <v>0</v>
      </c>
      <c r="CR163" s="18">
        <f>IF($X163="","",AY163/$X$10)</f>
        <v>0</v>
      </c>
      <c r="CS163" s="18">
        <f>IF($X163="","",AZ163/$X$10)</f>
        <v>0</v>
      </c>
      <c r="CT163" s="18">
        <f>IF($X163="","",BA163/$X$10)</f>
        <v>0</v>
      </c>
      <c r="CU163" s="18">
        <f>IF($X163="","",BB163/$X$10)</f>
        <v>0</v>
      </c>
      <c r="CV163" s="18">
        <f>IF($X163="","",BC163/$X$10)</f>
        <v>0</v>
      </c>
      <c r="CW163" s="18">
        <f>IF($X163="","",BD163/$X$10)</f>
        <v>0</v>
      </c>
      <c r="CX163" s="18">
        <f>IF($X163="","",BE163/$X$10)</f>
        <v>0</v>
      </c>
      <c r="CY163" s="18">
        <f>IF($X163="","",BF163/$X$10)</f>
        <v>0</v>
      </c>
      <c r="CZ163" s="18">
        <f>IF($X163="","",BG163/$X$10)</f>
        <v>0</v>
      </c>
      <c r="DA163" s="18">
        <f>IF($X163="","",BH163/$X$10)</f>
        <v>0</v>
      </c>
      <c r="DB163" s="18">
        <f>IF($X163="","",BI163/$X$10)</f>
        <v>0</v>
      </c>
      <c r="DC163" s="18">
        <f>IF($X163="","",BJ163/$X$10)</f>
        <v>0</v>
      </c>
      <c r="DD163" s="18">
        <f>IF($X163="","",BK163/$X$10)</f>
        <v>0</v>
      </c>
      <c r="DE163" s="18">
        <f>IF($X163="","",BL163/$X$10)</f>
        <v>0</v>
      </c>
      <c r="DF163" s="18">
        <f>IF($X163="","",BM163/$X$10)</f>
        <v>0</v>
      </c>
      <c r="DG163" s="18">
        <f t="shared" si="18"/>
        <v>0</v>
      </c>
      <c r="DH163" s="18">
        <f>IF($X163="","",BO163/$X$10)</f>
        <v>0</v>
      </c>
      <c r="DI163" s="18">
        <f>IF($X163="","",BP163/$X$10)</f>
        <v>0</v>
      </c>
      <c r="DJ163" s="18">
        <f>IF($X163="","",BQ163/$X$10)</f>
        <v>0</v>
      </c>
      <c r="DK163" s="18">
        <f>IF($X163="","",BR163/$X$10)</f>
        <v>0</v>
      </c>
      <c r="DL163" s="18">
        <f>IF($X163="","",BS163/$X$10)</f>
        <v>0</v>
      </c>
      <c r="DM163" s="18">
        <f>IF($X163="","",BT163/$X$10)</f>
        <v>0</v>
      </c>
      <c r="DN163" s="18">
        <f t="shared" si="14"/>
        <v>0</v>
      </c>
      <c r="DO163" s="16">
        <f>IF($X163="","",SUM(Tabla152[[#This Row],[PODRIDO]],Tabla152[[#This Row],[HONGO]],Tabla152[[#This Row],[PICADO DE AVE CON PUDRICIÓN]],Tabla152[[#This Row],[FUMAGINA]])/$X$10)</f>
        <v>0</v>
      </c>
      <c r="DP163" s="16">
        <f>IF($X163="","",SUM(Tabla152[[#This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63" s="16">
        <f>IF($X163="","",SUM(Tabla152[[#This Row],[BLANDO]:[COLAPSADO]])/$X$10)</f>
        <v>0</v>
      </c>
      <c r="DR163" s="16">
        <f>IF($X163="","",SUM(Tabla152[[#This Row],[DESHIDRATADO LEVE]:[DESHIDRATADO INMADURO]])/$X$10)</f>
        <v>0</v>
      </c>
      <c r="DS163" s="18">
        <f t="shared" si="15"/>
        <v>0</v>
      </c>
      <c r="DT163" s="16">
        <f>IF($X163="","",SUM(Tabla152[[#This Row],[PRESENCIA DE LARVA]],Tabla152[[#This Row],[CHANCHITO BLANCO]])/$X$10)</f>
        <v>0</v>
      </c>
      <c r="DU163" s="18">
        <f>IF($X163="","",SUM(Tabla152[[#This Row],[ROJO GRADO 2 A MÁS]],Tabla152[[#This Row],[IMMADURO VERDE]],Tabla152[[#This Row],[DESORDEN POR MADURACIÓN]],Tabla152[[#This Row],[ARO PEDICELAR VERDE EXTREMO]])/$X$10)</f>
        <v>0</v>
      </c>
      <c r="DV163" s="16">
        <f>IF($X163="","",SUM(Tabla152[[#This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63" s="16">
        <f t="shared" si="16"/>
        <v>0</v>
      </c>
      <c r="DX163" s="16">
        <f>IF($X163="","",AJ163/$X$10)</f>
        <v>0</v>
      </c>
      <c r="DY163" s="16">
        <f>IF($X163="","",SUM(Tabla152[[#This Row],[PRESENCIA DE COROLA]],Tabla152[[#This Row],[PRESENCIA DE RESTO FLORAL VERDE]],Tabla152[[#This Row],[PRESENCIA DE PEDÚNCULO]])/$X$10)</f>
        <v>0</v>
      </c>
      <c r="DZ163" s="16">
        <f>IF($X163="","",SUM(Tabla152[[#This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64" spans="1:130" x14ac:dyDescent="0.3">
      <c r="A164" s="9">
        <f>IF(W164="","",IF(ROW()=10,1,IF(W164=W163,A163,MAX($A$9:A163)+1)))</f>
        <v>51</v>
      </c>
      <c r="B164" s="9">
        <f>WEEKNUM(Tabla152[[#This Row],[FECHA DE COSECHA]],21)</f>
        <v>36</v>
      </c>
      <c r="C164" s="9"/>
      <c r="D164" s="17">
        <v>46268</v>
      </c>
      <c r="E164" s="17">
        <v>46268</v>
      </c>
      <c r="F164" s="9">
        <v>1</v>
      </c>
      <c r="G164" s="9" t="s">
        <v>77</v>
      </c>
      <c r="H164" s="9" t="s">
        <v>143</v>
      </c>
      <c r="I164" s="9" t="s">
        <v>134</v>
      </c>
      <c r="J164" s="9" t="s">
        <v>78</v>
      </c>
      <c r="K164" s="9" t="s">
        <v>153</v>
      </c>
      <c r="L164" s="9" t="s">
        <v>131</v>
      </c>
      <c r="M164" s="9" t="s">
        <v>240</v>
      </c>
      <c r="N164" s="9" t="s">
        <v>145</v>
      </c>
      <c r="O164" s="9" t="s">
        <v>244</v>
      </c>
      <c r="P164" s="9" t="s">
        <v>152</v>
      </c>
      <c r="Q164" s="9"/>
      <c r="R164" s="9">
        <v>8</v>
      </c>
      <c r="S164" s="9">
        <v>78114711</v>
      </c>
      <c r="T164" t="s">
        <v>233</v>
      </c>
      <c r="U164" s="9" t="s">
        <v>147</v>
      </c>
      <c r="V164" s="9"/>
      <c r="W164" s="19" t="s">
        <v>202</v>
      </c>
      <c r="X164" s="9">
        <v>44</v>
      </c>
      <c r="Y164" s="9">
        <v>2</v>
      </c>
      <c r="Z164" s="9">
        <v>15</v>
      </c>
      <c r="AA164" s="9" t="str">
        <f>IF(Tabla152[[#This Row],[NOTA]]=15,"CUMPLE","NO CUMPLE")</f>
        <v>CUMPLE</v>
      </c>
      <c r="AB164" s="9" t="str">
        <f>IF(COUNTIF($A$10:A164,A164)=1,IF(COUNTIFS($A:$A,A164,$AA:$AA,"NO CUMPLE")&gt;0,"NO CUMPLE","CUMPLE"),"")</f>
        <v/>
      </c>
      <c r="AC164" s="9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18"/>
      <c r="BX164" s="18">
        <f>IF($X164="","",AE164/$X$10)</f>
        <v>0</v>
      </c>
      <c r="BY164" s="18">
        <f>IF($X164="","",AF164/$X$10)</f>
        <v>0</v>
      </c>
      <c r="BZ164" s="18">
        <f>IF($X164="","",AG164/$X$10)</f>
        <v>0</v>
      </c>
      <c r="CA164" s="18">
        <f>IF($X164="","",AH164/$X$10)</f>
        <v>0</v>
      </c>
      <c r="CB164" s="18">
        <f t="shared" si="17"/>
        <v>0</v>
      </c>
      <c r="CC164" s="18">
        <f>IF($X164="","",AJ164/$X$10)</f>
        <v>0</v>
      </c>
      <c r="CD164" s="18">
        <f>IF($X164="","",AK164/$X$10)</f>
        <v>0</v>
      </c>
      <c r="CE164" s="18">
        <f>IF($X164="","",AL164/$X$10)</f>
        <v>0</v>
      </c>
      <c r="CF164" s="18">
        <f>IF($X164="","",AM164/$X$10)</f>
        <v>0</v>
      </c>
      <c r="CG164" s="18">
        <f>IF($X164="","",AN164/$X$10)</f>
        <v>0</v>
      </c>
      <c r="CH164" s="18">
        <f>IF($X164="","",AO164/$X$10)</f>
        <v>0</v>
      </c>
      <c r="CI164" s="18">
        <f>IF($X164="","",AP164/$X$10)</f>
        <v>0</v>
      </c>
      <c r="CJ164" s="18">
        <f>IF($X164="","",AQ164/$X$10)</f>
        <v>0</v>
      </c>
      <c r="CK164" s="18">
        <f>IF($X164="","",AR164/$X$10)</f>
        <v>0</v>
      </c>
      <c r="CL164" s="18">
        <f>IF($X164="","",AS164/$X$10)</f>
        <v>0</v>
      </c>
      <c r="CM164" s="18">
        <f>IF($X164="","",AT164/$X$10)</f>
        <v>0</v>
      </c>
      <c r="CN164" s="18">
        <f>IF($X164="","",AU164/$X$10)</f>
        <v>0</v>
      </c>
      <c r="CO164" s="18">
        <f>IF($X164="","",AV164/$X$10)</f>
        <v>0</v>
      </c>
      <c r="CP164" s="18">
        <f>IF($X164="","",AW164/$X$10)</f>
        <v>0</v>
      </c>
      <c r="CQ164" s="18">
        <f>IF($X164="","",AX164/$X$10)</f>
        <v>0</v>
      </c>
      <c r="CR164" s="18">
        <f>IF($X164="","",AY164/$X$10)</f>
        <v>0</v>
      </c>
      <c r="CS164" s="18">
        <f>IF($X164="","",AZ164/$X$10)</f>
        <v>0</v>
      </c>
      <c r="CT164" s="18">
        <f>IF($X164="","",BA164/$X$10)</f>
        <v>0</v>
      </c>
      <c r="CU164" s="18">
        <f>IF($X164="","",BB164/$X$10)</f>
        <v>0</v>
      </c>
      <c r="CV164" s="18">
        <f>IF($X164="","",BC164/$X$10)</f>
        <v>0</v>
      </c>
      <c r="CW164" s="18">
        <f>IF($X164="","",BD164/$X$10)</f>
        <v>0</v>
      </c>
      <c r="CX164" s="18">
        <f>IF($X164="","",BE164/$X$10)</f>
        <v>0</v>
      </c>
      <c r="CY164" s="18">
        <f>IF($X164="","",BF164/$X$10)</f>
        <v>0</v>
      </c>
      <c r="CZ164" s="18">
        <f>IF($X164="","",BG164/$X$10)</f>
        <v>0</v>
      </c>
      <c r="DA164" s="18">
        <f>IF($X164="","",BH164/$X$10)</f>
        <v>0</v>
      </c>
      <c r="DB164" s="18">
        <f>IF($X164="","",BI164/$X$10)</f>
        <v>0</v>
      </c>
      <c r="DC164" s="18">
        <f>IF($X164="","",BJ164/$X$10)</f>
        <v>0</v>
      </c>
      <c r="DD164" s="18">
        <f>IF($X164="","",BK164/$X$10)</f>
        <v>0</v>
      </c>
      <c r="DE164" s="18">
        <f>IF($X164="","",BL164/$X$10)</f>
        <v>0</v>
      </c>
      <c r="DF164" s="18">
        <f>IF($X164="","",BM164/$X$10)</f>
        <v>0</v>
      </c>
      <c r="DG164" s="18">
        <f t="shared" si="18"/>
        <v>0</v>
      </c>
      <c r="DH164" s="18">
        <f>IF($X164="","",BO164/$X$10)</f>
        <v>0</v>
      </c>
      <c r="DI164" s="18">
        <f>IF($X164="","",BP164/$X$10)</f>
        <v>0</v>
      </c>
      <c r="DJ164" s="18">
        <f>IF($X164="","",BQ164/$X$10)</f>
        <v>0</v>
      </c>
      <c r="DK164" s="18">
        <f>IF($X164="","",BR164/$X$10)</f>
        <v>0</v>
      </c>
      <c r="DL164" s="18">
        <f>IF($X164="","",BS164/$X$10)</f>
        <v>0</v>
      </c>
      <c r="DM164" s="18">
        <f>IF($X164="","",BT164/$X$10)</f>
        <v>0</v>
      </c>
      <c r="DN164" s="18">
        <f t="shared" si="14"/>
        <v>0</v>
      </c>
      <c r="DO164" s="16">
        <f>IF($X164="","",SUM(Tabla152[[#This Row],[PODRIDO]],Tabla152[[#This Row],[HONGO]],Tabla152[[#This Row],[PICADO DE AVE CON PUDRICIÓN]],Tabla152[[#This Row],[FUMAGINA]])/$X$10)</f>
        <v>0</v>
      </c>
      <c r="DP164" s="16">
        <f>IF($X164="","",SUM(Tabla152[[#This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64" s="16">
        <f>IF($X164="","",SUM(Tabla152[[#This Row],[BLANDO]:[COLAPSADO]])/$X$10)</f>
        <v>0</v>
      </c>
      <c r="DR164" s="16">
        <f>IF($X164="","",SUM(Tabla152[[#This Row],[DESHIDRATADO LEVE]:[DESHIDRATADO INMADURO]])/$X$10)</f>
        <v>0</v>
      </c>
      <c r="DS164" s="18">
        <f t="shared" si="15"/>
        <v>0</v>
      </c>
      <c r="DT164" s="16">
        <f>IF($X164="","",SUM(Tabla152[[#This Row],[PRESENCIA DE LARVA]],Tabla152[[#This Row],[CHANCHITO BLANCO]])/$X$10)</f>
        <v>0</v>
      </c>
      <c r="DU164" s="18">
        <f>IF($X164="","",SUM(Tabla152[[#This Row],[ROJO GRADO 2 A MÁS]],Tabla152[[#This Row],[IMMADURO VERDE]],Tabla152[[#This Row],[DESORDEN POR MADURACIÓN]],Tabla152[[#This Row],[ARO PEDICELAR VERDE EXTREMO]])/$X$10)</f>
        <v>0</v>
      </c>
      <c r="DV164" s="16">
        <f>IF($X164="","",SUM(Tabla152[[#This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64" s="16">
        <f t="shared" si="16"/>
        <v>0</v>
      </c>
      <c r="DX164" s="16">
        <f>IF($X164="","",AJ164/$X$10)</f>
        <v>0</v>
      </c>
      <c r="DY164" s="16">
        <f>IF($X164="","",SUM(Tabla152[[#This Row],[PRESENCIA DE COROLA]],Tabla152[[#This Row],[PRESENCIA DE RESTO FLORAL VERDE]],Tabla152[[#This Row],[PRESENCIA DE PEDÚNCULO]])/$X$10)</f>
        <v>0</v>
      </c>
      <c r="DZ164" s="16">
        <f>IF($X164="","",SUM(Tabla152[[#This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65" spans="1:130" x14ac:dyDescent="0.3">
      <c r="A165" s="9">
        <f>IF(W165="","",IF(ROW()=10,1,IF(W165=W164,A164,MAX($A$9:A164)+1)))</f>
        <v>51</v>
      </c>
      <c r="B165" s="9">
        <f>WEEKNUM(Tabla152[[#This Row],[FECHA DE COSECHA]],21)</f>
        <v>36</v>
      </c>
      <c r="C165" s="9"/>
      <c r="D165" s="17">
        <v>46268</v>
      </c>
      <c r="E165" s="17">
        <v>46268</v>
      </c>
      <c r="F165" s="9">
        <v>1</v>
      </c>
      <c r="G165" s="9" t="s">
        <v>77</v>
      </c>
      <c r="H165" s="9" t="s">
        <v>143</v>
      </c>
      <c r="I165" s="9" t="s">
        <v>134</v>
      </c>
      <c r="J165" s="9" t="s">
        <v>78</v>
      </c>
      <c r="K165" s="9" t="s">
        <v>153</v>
      </c>
      <c r="L165" s="9" t="s">
        <v>131</v>
      </c>
      <c r="M165" s="9" t="s">
        <v>240</v>
      </c>
      <c r="N165" s="9" t="s">
        <v>145</v>
      </c>
      <c r="O165" s="9" t="s">
        <v>244</v>
      </c>
      <c r="P165" s="9" t="s">
        <v>152</v>
      </c>
      <c r="Q165" s="9"/>
      <c r="R165" s="9">
        <v>8</v>
      </c>
      <c r="S165" s="9">
        <v>78114711</v>
      </c>
      <c r="T165" t="s">
        <v>233</v>
      </c>
      <c r="U165" s="9" t="s">
        <v>147</v>
      </c>
      <c r="V165" s="9"/>
      <c r="W165" s="19" t="s">
        <v>202</v>
      </c>
      <c r="X165" s="9">
        <v>44</v>
      </c>
      <c r="Y165" s="9">
        <v>3</v>
      </c>
      <c r="Z165" s="9">
        <v>15</v>
      </c>
      <c r="AA165" s="9" t="str">
        <f>IF(Tabla152[[#This Row],[NOTA]]=15,"CUMPLE","NO CUMPLE")</f>
        <v>CUMPLE</v>
      </c>
      <c r="AB165" s="9" t="str">
        <f>IF(COUNTIF($A$10:A165,A165)=1,IF(COUNTIFS($A:$A,A165,$AA:$AA,"NO CUMPLE")&gt;0,"NO CUMPLE","CUMPLE"),"")</f>
        <v/>
      </c>
      <c r="AC165" s="9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18"/>
      <c r="BX165" s="18">
        <f>IF($X165="","",AE165/$X$10)</f>
        <v>0</v>
      </c>
      <c r="BY165" s="18">
        <f>IF($X165="","",AF165/$X$10)</f>
        <v>0</v>
      </c>
      <c r="BZ165" s="18">
        <f>IF($X165="","",AG165/$X$10)</f>
        <v>0</v>
      </c>
      <c r="CA165" s="18">
        <f>IF($X165="","",AH165/$X$10)</f>
        <v>0</v>
      </c>
      <c r="CB165" s="18">
        <f t="shared" si="17"/>
        <v>0</v>
      </c>
      <c r="CC165" s="18">
        <f>IF($X165="","",AJ165/$X$10)</f>
        <v>0</v>
      </c>
      <c r="CD165" s="18">
        <f>IF($X165="","",AK165/$X$10)</f>
        <v>0</v>
      </c>
      <c r="CE165" s="18">
        <f>IF($X165="","",AL165/$X$10)</f>
        <v>0</v>
      </c>
      <c r="CF165" s="18">
        <f>IF($X165="","",AM165/$X$10)</f>
        <v>0</v>
      </c>
      <c r="CG165" s="18">
        <f>IF($X165="","",AN165/$X$10)</f>
        <v>0</v>
      </c>
      <c r="CH165" s="18">
        <f>IF($X165="","",AO165/$X$10)</f>
        <v>0</v>
      </c>
      <c r="CI165" s="18">
        <f>IF($X165="","",AP165/$X$10)</f>
        <v>0</v>
      </c>
      <c r="CJ165" s="18">
        <f>IF($X165="","",AQ165/$X$10)</f>
        <v>0</v>
      </c>
      <c r="CK165" s="18">
        <f>IF($X165="","",AR165/$X$10)</f>
        <v>0</v>
      </c>
      <c r="CL165" s="18">
        <f>IF($X165="","",AS165/$X$10)</f>
        <v>0</v>
      </c>
      <c r="CM165" s="18">
        <f>IF($X165="","",AT165/$X$10)</f>
        <v>0</v>
      </c>
      <c r="CN165" s="18">
        <f>IF($X165="","",AU165/$X$10)</f>
        <v>0</v>
      </c>
      <c r="CO165" s="18">
        <f>IF($X165="","",AV165/$X$10)</f>
        <v>0</v>
      </c>
      <c r="CP165" s="18">
        <f>IF($X165="","",AW165/$X$10)</f>
        <v>0</v>
      </c>
      <c r="CQ165" s="18">
        <f>IF($X165="","",AX165/$X$10)</f>
        <v>0</v>
      </c>
      <c r="CR165" s="18">
        <f>IF($X165="","",AY165/$X$10)</f>
        <v>0</v>
      </c>
      <c r="CS165" s="18">
        <f>IF($X165="","",AZ165/$X$10)</f>
        <v>0</v>
      </c>
      <c r="CT165" s="18">
        <f>IF($X165="","",BA165/$X$10)</f>
        <v>0</v>
      </c>
      <c r="CU165" s="18">
        <f>IF($X165="","",BB165/$X$10)</f>
        <v>0</v>
      </c>
      <c r="CV165" s="18">
        <f>IF($X165="","",BC165/$X$10)</f>
        <v>0</v>
      </c>
      <c r="CW165" s="18">
        <f>IF($X165="","",BD165/$X$10)</f>
        <v>0</v>
      </c>
      <c r="CX165" s="18">
        <f>IF($X165="","",BE165/$X$10)</f>
        <v>0</v>
      </c>
      <c r="CY165" s="18">
        <f>IF($X165="","",BF165/$X$10)</f>
        <v>0</v>
      </c>
      <c r="CZ165" s="18">
        <f>IF($X165="","",BG165/$X$10)</f>
        <v>0</v>
      </c>
      <c r="DA165" s="18">
        <f>IF($X165="","",BH165/$X$10)</f>
        <v>0</v>
      </c>
      <c r="DB165" s="18">
        <f>IF($X165="","",BI165/$X$10)</f>
        <v>0</v>
      </c>
      <c r="DC165" s="18">
        <f>IF($X165="","",BJ165/$X$10)</f>
        <v>0</v>
      </c>
      <c r="DD165" s="18">
        <f>IF($X165="","",BK165/$X$10)</f>
        <v>0</v>
      </c>
      <c r="DE165" s="18">
        <f>IF($X165="","",BL165/$X$10)</f>
        <v>0</v>
      </c>
      <c r="DF165" s="18">
        <f>IF($X165="","",BM165/$X$10)</f>
        <v>0</v>
      </c>
      <c r="DG165" s="18">
        <f t="shared" si="18"/>
        <v>0</v>
      </c>
      <c r="DH165" s="18">
        <f>IF($X165="","",BO165/$X$10)</f>
        <v>0</v>
      </c>
      <c r="DI165" s="18">
        <f>IF($X165="","",BP165/$X$10)</f>
        <v>0</v>
      </c>
      <c r="DJ165" s="18">
        <f>IF($X165="","",BQ165/$X$10)</f>
        <v>0</v>
      </c>
      <c r="DK165" s="18">
        <f>IF($X165="","",BR165/$X$10)</f>
        <v>0</v>
      </c>
      <c r="DL165" s="18">
        <f>IF($X165="","",BS165/$X$10)</f>
        <v>0</v>
      </c>
      <c r="DM165" s="18">
        <f>IF($X165="","",BT165/$X$10)</f>
        <v>0</v>
      </c>
      <c r="DN165" s="18">
        <f t="shared" si="14"/>
        <v>0</v>
      </c>
      <c r="DO165" s="16">
        <f>IF($X165="","",SUM(Tabla152[[#This Row],[PODRIDO]],Tabla152[[#This Row],[HONGO]],Tabla152[[#This Row],[PICADO DE AVE CON PUDRICIÓN]],Tabla152[[#This Row],[FUMAGINA]])/$X$10)</f>
        <v>0</v>
      </c>
      <c r="DP165" s="16">
        <f>IF($X165="","",SUM(Tabla152[[#This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65" s="16">
        <f>IF($X165="","",SUM(Tabla152[[#This Row],[BLANDO]:[COLAPSADO]])/$X$10)</f>
        <v>0</v>
      </c>
      <c r="DR165" s="16">
        <f>IF($X165="","",SUM(Tabla152[[#This Row],[DESHIDRATADO LEVE]:[DESHIDRATADO INMADURO]])/$X$10)</f>
        <v>0</v>
      </c>
      <c r="DS165" s="18">
        <f t="shared" si="15"/>
        <v>0</v>
      </c>
      <c r="DT165" s="16">
        <f>IF($X165="","",SUM(Tabla152[[#This Row],[PRESENCIA DE LARVA]],Tabla152[[#This Row],[CHANCHITO BLANCO]])/$X$10)</f>
        <v>0</v>
      </c>
      <c r="DU165" s="18">
        <f>IF($X165="","",SUM(Tabla152[[#This Row],[ROJO GRADO 2 A MÁS]],Tabla152[[#This Row],[IMMADURO VERDE]],Tabla152[[#This Row],[DESORDEN POR MADURACIÓN]],Tabla152[[#This Row],[ARO PEDICELAR VERDE EXTREMO]])/$X$10)</f>
        <v>0</v>
      </c>
      <c r="DV165" s="16">
        <f>IF($X165="","",SUM(Tabla152[[#This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65" s="16">
        <f t="shared" si="16"/>
        <v>0</v>
      </c>
      <c r="DX165" s="16">
        <f>IF($X165="","",AJ165/$X$10)</f>
        <v>0</v>
      </c>
      <c r="DY165" s="16">
        <f>IF($X165="","",SUM(Tabla152[[#This Row],[PRESENCIA DE COROLA]],Tabla152[[#This Row],[PRESENCIA DE RESTO FLORAL VERDE]],Tabla152[[#This Row],[PRESENCIA DE PEDÚNCULO]])/$X$10)</f>
        <v>0</v>
      </c>
      <c r="DZ165" s="16">
        <f>IF($X165="","",SUM(Tabla152[[#This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66" spans="1:130" x14ac:dyDescent="0.3">
      <c r="A166" s="9">
        <f>IF(W166="","",IF(ROW()=10,1,IF(W166=W165,A165,MAX($A$9:A165)+1)))</f>
        <v>52</v>
      </c>
      <c r="B166" s="9">
        <f>WEEKNUM(Tabla152[[#This Row],[FECHA DE COSECHA]],21)</f>
        <v>36</v>
      </c>
      <c r="C166" s="9"/>
      <c r="D166" s="17">
        <v>46268</v>
      </c>
      <c r="E166" s="17">
        <v>46268</v>
      </c>
      <c r="F166" s="9">
        <v>1</v>
      </c>
      <c r="G166" s="9" t="s">
        <v>77</v>
      </c>
      <c r="H166" s="9" t="s">
        <v>143</v>
      </c>
      <c r="I166" s="9" t="s">
        <v>134</v>
      </c>
      <c r="J166" s="9" t="s">
        <v>78</v>
      </c>
      <c r="K166" s="9" t="s">
        <v>153</v>
      </c>
      <c r="L166" s="9" t="s">
        <v>131</v>
      </c>
      <c r="M166" s="9" t="s">
        <v>240</v>
      </c>
      <c r="N166" s="9" t="s">
        <v>145</v>
      </c>
      <c r="O166" s="9" t="s">
        <v>244</v>
      </c>
      <c r="P166" s="9" t="s">
        <v>152</v>
      </c>
      <c r="Q166" s="9"/>
      <c r="R166" s="9">
        <v>8</v>
      </c>
      <c r="S166" s="9">
        <v>78114711</v>
      </c>
      <c r="T166" t="s">
        <v>233</v>
      </c>
      <c r="U166" s="9" t="s">
        <v>147</v>
      </c>
      <c r="V166" s="9"/>
      <c r="W166" s="19" t="s">
        <v>203</v>
      </c>
      <c r="X166" s="9">
        <v>44</v>
      </c>
      <c r="Y166" s="9">
        <v>1</v>
      </c>
      <c r="Z166" s="9">
        <v>5</v>
      </c>
      <c r="AA166" s="9" t="str">
        <f>IF(Tabla152[[#This Row],[NOTA]]=15,"CUMPLE","NO CUMPLE")</f>
        <v>NO CUMPLE</v>
      </c>
      <c r="AB166" s="9" t="str">
        <f>IF(COUNTIF($A$10:A166,A166)=1,IF(COUNTIFS($A:$A,A166,$AA:$AA,"NO CUMPLE")&gt;0,"NO CUMPLE","CUMPLE"),"")</f>
        <v>NO CUMPLE</v>
      </c>
      <c r="AC166" s="9" t="s">
        <v>140</v>
      </c>
      <c r="AD166" s="8"/>
      <c r="AE166" s="8">
        <v>3</v>
      </c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18"/>
      <c r="BX166" s="18">
        <f>IF($X166="","",AE166/$X$10)</f>
        <v>4.7619047619047616E-2</v>
      </c>
      <c r="BY166" s="18">
        <f>IF($X166="","",AF166/$X$10)</f>
        <v>0</v>
      </c>
      <c r="BZ166" s="18">
        <f>IF($X166="","",AG166/$X$10)</f>
        <v>0</v>
      </c>
      <c r="CA166" s="18">
        <f>IF($X166="","",AH166/$X$10)</f>
        <v>0</v>
      </c>
      <c r="CB166" s="18">
        <f t="shared" si="17"/>
        <v>0</v>
      </c>
      <c r="CC166" s="18">
        <f>IF($X166="","",AJ166/$X$10)</f>
        <v>0</v>
      </c>
      <c r="CD166" s="18">
        <f>IF($X166="","",AK166/$X$10)</f>
        <v>0</v>
      </c>
      <c r="CE166" s="18">
        <f>IF($X166="","",AL166/$X$10)</f>
        <v>0</v>
      </c>
      <c r="CF166" s="18">
        <f>IF($X166="","",AM166/$X$10)</f>
        <v>0</v>
      </c>
      <c r="CG166" s="18">
        <f>IF($X166="","",AN166/$X$10)</f>
        <v>0</v>
      </c>
      <c r="CH166" s="18">
        <f>IF($X166="","",AO166/$X$10)</f>
        <v>0</v>
      </c>
      <c r="CI166" s="18">
        <f>IF($X166="","",AP166/$X$10)</f>
        <v>0</v>
      </c>
      <c r="CJ166" s="18">
        <f>IF($X166="","",AQ166/$X$10)</f>
        <v>0</v>
      </c>
      <c r="CK166" s="18">
        <f>IF($X166="","",AR166/$X$10)</f>
        <v>0</v>
      </c>
      <c r="CL166" s="18">
        <f>IF($X166="","",AS166/$X$10)</f>
        <v>0</v>
      </c>
      <c r="CM166" s="18">
        <f>IF($X166="","",AT166/$X$10)</f>
        <v>0</v>
      </c>
      <c r="CN166" s="18">
        <f>IF($X166="","",AU166/$X$10)</f>
        <v>0</v>
      </c>
      <c r="CO166" s="18">
        <f>IF($X166="","",AV166/$X$10)</f>
        <v>0</v>
      </c>
      <c r="CP166" s="18">
        <f>IF($X166="","",AW166/$X$10)</f>
        <v>0</v>
      </c>
      <c r="CQ166" s="18">
        <f>IF($X166="","",AX166/$X$10)</f>
        <v>0</v>
      </c>
      <c r="CR166" s="18">
        <f>IF($X166="","",AY166/$X$10)</f>
        <v>0</v>
      </c>
      <c r="CS166" s="18">
        <f>IF($X166="","",AZ166/$X$10)</f>
        <v>0</v>
      </c>
      <c r="CT166" s="18">
        <f>IF($X166="","",BA166/$X$10)</f>
        <v>0</v>
      </c>
      <c r="CU166" s="18">
        <f>IF($X166="","",BB166/$X$10)</f>
        <v>0</v>
      </c>
      <c r="CV166" s="18">
        <f>IF($X166="","",BC166/$X$10)</f>
        <v>0</v>
      </c>
      <c r="CW166" s="18">
        <f>IF($X166="","",BD166/$X$10)</f>
        <v>0</v>
      </c>
      <c r="CX166" s="18">
        <f>IF($X166="","",BE166/$X$10)</f>
        <v>0</v>
      </c>
      <c r="CY166" s="18">
        <f>IF($X166="","",BF166/$X$10)</f>
        <v>0</v>
      </c>
      <c r="CZ166" s="18">
        <f>IF($X166="","",BG166/$X$10)</f>
        <v>0</v>
      </c>
      <c r="DA166" s="18">
        <f>IF($X166="","",BH166/$X$10)</f>
        <v>0</v>
      </c>
      <c r="DB166" s="18">
        <f>IF($X166="","",BI166/$X$10)</f>
        <v>0</v>
      </c>
      <c r="DC166" s="18">
        <f>IF($X166="","",BJ166/$X$10)</f>
        <v>0</v>
      </c>
      <c r="DD166" s="18">
        <f>IF($X166="","",BK166/$X$10)</f>
        <v>0</v>
      </c>
      <c r="DE166" s="18">
        <f>IF($X166="","",BL166/$X$10)</f>
        <v>0</v>
      </c>
      <c r="DF166" s="18">
        <f>IF($X166="","",BM166/$X$10)</f>
        <v>0</v>
      </c>
      <c r="DG166" s="18">
        <f t="shared" si="18"/>
        <v>0</v>
      </c>
      <c r="DH166" s="18">
        <f>IF($X166="","",BO166/$X$10)</f>
        <v>0</v>
      </c>
      <c r="DI166" s="18">
        <f>IF($X166="","",BP166/$X$10)</f>
        <v>0</v>
      </c>
      <c r="DJ166" s="18">
        <f>IF($X166="","",BQ166/$X$10)</f>
        <v>0</v>
      </c>
      <c r="DK166" s="18">
        <f>IF($X166="","",BR166/$X$10)</f>
        <v>0</v>
      </c>
      <c r="DL166" s="18">
        <f>IF($X166="","",BS166/$X$10)</f>
        <v>0</v>
      </c>
      <c r="DM166" s="18">
        <f>IF($X166="","",BT166/$X$10)</f>
        <v>0</v>
      </c>
      <c r="DN166" s="18">
        <f t="shared" si="14"/>
        <v>0</v>
      </c>
      <c r="DO166" s="16">
        <f>IF($X166="","",SUM(Tabla152[[#This Row],[PODRIDO]],Tabla152[[#This Row],[HONGO]],Tabla152[[#This Row],[PICADO DE AVE CON PUDRICIÓN]],Tabla152[[#This Row],[FUMAGINA]])/$X$10)</f>
        <v>0</v>
      </c>
      <c r="DP166" s="16">
        <f>IF($X166="","",SUM(Tabla152[[#This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66" s="16">
        <f>IF($X166="","",SUM(Tabla152[[#This Row],[BLANDO]:[COLAPSADO]])/$X$10)</f>
        <v>0</v>
      </c>
      <c r="DR166" s="16">
        <f>IF($X166="","",SUM(Tabla152[[#This Row],[DESHIDRATADO LEVE]:[DESHIDRATADO INMADURO]])/$X$10)</f>
        <v>0</v>
      </c>
      <c r="DS166" s="18">
        <f t="shared" si="15"/>
        <v>0</v>
      </c>
      <c r="DT166" s="16">
        <f>IF($X166="","",SUM(Tabla152[[#This Row],[PRESENCIA DE LARVA]],Tabla152[[#This Row],[CHANCHITO BLANCO]])/$X$10)</f>
        <v>0</v>
      </c>
      <c r="DU166" s="18">
        <f>IF($X166="","",SUM(Tabla152[[#This Row],[ROJO GRADO 2 A MÁS]],Tabla152[[#This Row],[IMMADURO VERDE]],Tabla152[[#This Row],[DESORDEN POR MADURACIÓN]],Tabla152[[#This Row],[ARO PEDICELAR VERDE EXTREMO]])/$X$10)</f>
        <v>0</v>
      </c>
      <c r="DV166" s="16">
        <f>IF($X166="","",SUM(Tabla152[[#This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66" s="16">
        <f t="shared" si="16"/>
        <v>0</v>
      </c>
      <c r="DX166" s="16">
        <f>IF($X166="","",AJ166/$X$10)</f>
        <v>0</v>
      </c>
      <c r="DY166" s="16">
        <f>IF($X166="","",SUM(Tabla152[[#This Row],[PRESENCIA DE COROLA]],Tabla152[[#This Row],[PRESENCIA DE RESTO FLORAL VERDE]],Tabla152[[#This Row],[PRESENCIA DE PEDÚNCULO]])/$X$10)</f>
        <v>4.7619047619047616E-2</v>
      </c>
      <c r="DZ166" s="16">
        <f>IF($X166="","",SUM(Tabla152[[#This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67" spans="1:130" x14ac:dyDescent="0.3">
      <c r="A167" s="9">
        <f>IF(W167="","",IF(ROW()=10,1,IF(W167=W166,A166,MAX($A$9:A166)+1)))</f>
        <v>52</v>
      </c>
      <c r="B167" s="9">
        <f>WEEKNUM(Tabla152[[#This Row],[FECHA DE COSECHA]],21)</f>
        <v>36</v>
      </c>
      <c r="C167" s="9"/>
      <c r="D167" s="17">
        <v>46268</v>
      </c>
      <c r="E167" s="17">
        <v>46268</v>
      </c>
      <c r="F167" s="9">
        <v>1</v>
      </c>
      <c r="G167" s="9" t="s">
        <v>77</v>
      </c>
      <c r="H167" s="9" t="s">
        <v>143</v>
      </c>
      <c r="I167" s="9" t="s">
        <v>134</v>
      </c>
      <c r="J167" s="9" t="s">
        <v>78</v>
      </c>
      <c r="K167" s="9" t="s">
        <v>153</v>
      </c>
      <c r="L167" s="9" t="s">
        <v>131</v>
      </c>
      <c r="M167" s="9" t="s">
        <v>240</v>
      </c>
      <c r="N167" s="9" t="s">
        <v>145</v>
      </c>
      <c r="O167" s="9" t="s">
        <v>244</v>
      </c>
      <c r="P167" s="9" t="s">
        <v>152</v>
      </c>
      <c r="Q167" s="9"/>
      <c r="R167" s="9">
        <v>8</v>
      </c>
      <c r="S167" s="9">
        <v>78114711</v>
      </c>
      <c r="T167" t="s">
        <v>233</v>
      </c>
      <c r="U167" s="9" t="s">
        <v>147</v>
      </c>
      <c r="V167" s="9"/>
      <c r="W167" s="19" t="s">
        <v>203</v>
      </c>
      <c r="X167" s="9">
        <v>44</v>
      </c>
      <c r="Y167" s="9">
        <v>2</v>
      </c>
      <c r="Z167" s="9">
        <v>15</v>
      </c>
      <c r="AA167" s="9" t="str">
        <f>IF(Tabla152[[#This Row],[NOTA]]=15,"CUMPLE","NO CUMPLE")</f>
        <v>CUMPLE</v>
      </c>
      <c r="AB167" s="9" t="str">
        <f>IF(COUNTIF($A$10:A167,A167)=1,IF(COUNTIFS($A:$A,A167,$AA:$AA,"NO CUMPLE")&gt;0,"NO CUMPLE","CUMPLE"),"")</f>
        <v/>
      </c>
      <c r="AC167" s="9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18"/>
      <c r="BX167" s="18">
        <f>IF($X167="","",AE167/$X$10)</f>
        <v>0</v>
      </c>
      <c r="BY167" s="18">
        <f>IF($X167="","",AF167/$X$10)</f>
        <v>0</v>
      </c>
      <c r="BZ167" s="18">
        <f>IF($X167="","",AG167/$X$10)</f>
        <v>0</v>
      </c>
      <c r="CA167" s="18">
        <f>IF($X167="","",AH167/$X$10)</f>
        <v>0</v>
      </c>
      <c r="CB167" s="18">
        <f t="shared" si="17"/>
        <v>0</v>
      </c>
      <c r="CC167" s="18">
        <f>IF($X167="","",AJ167/$X$10)</f>
        <v>0</v>
      </c>
      <c r="CD167" s="18">
        <f>IF($X167="","",AK167/$X$10)</f>
        <v>0</v>
      </c>
      <c r="CE167" s="18">
        <f>IF($X167="","",AL167/$X$10)</f>
        <v>0</v>
      </c>
      <c r="CF167" s="18">
        <f>IF($X167="","",AM167/$X$10)</f>
        <v>0</v>
      </c>
      <c r="CG167" s="18">
        <f>IF($X167="","",AN167/$X$10)</f>
        <v>0</v>
      </c>
      <c r="CH167" s="18">
        <f>IF($X167="","",AO167/$X$10)</f>
        <v>0</v>
      </c>
      <c r="CI167" s="18">
        <f>IF($X167="","",AP167/$X$10)</f>
        <v>0</v>
      </c>
      <c r="CJ167" s="18">
        <f>IF($X167="","",AQ167/$X$10)</f>
        <v>0</v>
      </c>
      <c r="CK167" s="18">
        <f>IF($X167="","",AR167/$X$10)</f>
        <v>0</v>
      </c>
      <c r="CL167" s="18">
        <f>IF($X167="","",AS167/$X$10)</f>
        <v>0</v>
      </c>
      <c r="CM167" s="18">
        <f>IF($X167="","",AT167/$X$10)</f>
        <v>0</v>
      </c>
      <c r="CN167" s="18">
        <f>IF($X167="","",AU167/$X$10)</f>
        <v>0</v>
      </c>
      <c r="CO167" s="18">
        <f>IF($X167="","",AV167/$X$10)</f>
        <v>0</v>
      </c>
      <c r="CP167" s="18">
        <f>IF($X167="","",AW167/$X$10)</f>
        <v>0</v>
      </c>
      <c r="CQ167" s="18">
        <f>IF($X167="","",AX167/$X$10)</f>
        <v>0</v>
      </c>
      <c r="CR167" s="18">
        <f>IF($X167="","",AY167/$X$10)</f>
        <v>0</v>
      </c>
      <c r="CS167" s="18">
        <f>IF($X167="","",AZ167/$X$10)</f>
        <v>0</v>
      </c>
      <c r="CT167" s="18">
        <f>IF($X167="","",BA167/$X$10)</f>
        <v>0</v>
      </c>
      <c r="CU167" s="18">
        <f>IF($X167="","",BB167/$X$10)</f>
        <v>0</v>
      </c>
      <c r="CV167" s="18">
        <f>IF($X167="","",BC167/$X$10)</f>
        <v>0</v>
      </c>
      <c r="CW167" s="18">
        <f>IF($X167="","",BD167/$X$10)</f>
        <v>0</v>
      </c>
      <c r="CX167" s="18">
        <f>IF($X167="","",BE167/$X$10)</f>
        <v>0</v>
      </c>
      <c r="CY167" s="18">
        <f>IF($X167="","",BF167/$X$10)</f>
        <v>0</v>
      </c>
      <c r="CZ167" s="18">
        <f>IF($X167="","",BG167/$X$10)</f>
        <v>0</v>
      </c>
      <c r="DA167" s="18">
        <f>IF($X167="","",BH167/$X$10)</f>
        <v>0</v>
      </c>
      <c r="DB167" s="18">
        <f>IF($X167="","",BI167/$X$10)</f>
        <v>0</v>
      </c>
      <c r="DC167" s="18">
        <f>IF($X167="","",BJ167/$X$10)</f>
        <v>0</v>
      </c>
      <c r="DD167" s="18">
        <f>IF($X167="","",BK167/$X$10)</f>
        <v>0</v>
      </c>
      <c r="DE167" s="18">
        <f>IF($X167="","",BL167/$X$10)</f>
        <v>0</v>
      </c>
      <c r="DF167" s="18">
        <f>IF($X167="","",BM167/$X$10)</f>
        <v>0</v>
      </c>
      <c r="DG167" s="18">
        <f t="shared" si="18"/>
        <v>0</v>
      </c>
      <c r="DH167" s="18">
        <f>IF($X167="","",BO167/$X$10)</f>
        <v>0</v>
      </c>
      <c r="DI167" s="18">
        <f>IF($X167="","",BP167/$X$10)</f>
        <v>0</v>
      </c>
      <c r="DJ167" s="18">
        <f>IF($X167="","",BQ167/$X$10)</f>
        <v>0</v>
      </c>
      <c r="DK167" s="18">
        <f>IF($X167="","",BR167/$X$10)</f>
        <v>0</v>
      </c>
      <c r="DL167" s="18">
        <f>IF($X167="","",BS167/$X$10)</f>
        <v>0</v>
      </c>
      <c r="DM167" s="18">
        <f>IF($X167="","",BT167/$X$10)</f>
        <v>0</v>
      </c>
      <c r="DN167" s="18">
        <f t="shared" si="14"/>
        <v>0</v>
      </c>
      <c r="DO167" s="16">
        <f>IF($X167="","",SUM(Tabla152[[#This Row],[PODRIDO]],Tabla152[[#This Row],[HONGO]],Tabla152[[#This Row],[PICADO DE AVE CON PUDRICIÓN]],Tabla152[[#This Row],[FUMAGINA]])/$X$10)</f>
        <v>0</v>
      </c>
      <c r="DP167" s="16">
        <f>IF($X167="","",SUM(Tabla152[[#This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67" s="16">
        <f>IF($X167="","",SUM(Tabla152[[#This Row],[BLANDO]:[COLAPSADO]])/$X$10)</f>
        <v>0</v>
      </c>
      <c r="DR167" s="16">
        <f>IF($X167="","",SUM(Tabla152[[#This Row],[DESHIDRATADO LEVE]:[DESHIDRATADO INMADURO]])/$X$10)</f>
        <v>0</v>
      </c>
      <c r="DS167" s="18">
        <f t="shared" si="15"/>
        <v>0</v>
      </c>
      <c r="DT167" s="16">
        <f>IF($X167="","",SUM(Tabla152[[#This Row],[PRESENCIA DE LARVA]],Tabla152[[#This Row],[CHANCHITO BLANCO]])/$X$10)</f>
        <v>0</v>
      </c>
      <c r="DU167" s="18">
        <f>IF($X167="","",SUM(Tabla152[[#This Row],[ROJO GRADO 2 A MÁS]],Tabla152[[#This Row],[IMMADURO VERDE]],Tabla152[[#This Row],[DESORDEN POR MADURACIÓN]],Tabla152[[#This Row],[ARO PEDICELAR VERDE EXTREMO]])/$X$10)</f>
        <v>0</v>
      </c>
      <c r="DV167" s="16">
        <f>IF($X167="","",SUM(Tabla152[[#This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67" s="16">
        <f t="shared" si="16"/>
        <v>0</v>
      </c>
      <c r="DX167" s="16">
        <f>IF($X167="","",AJ167/$X$10)</f>
        <v>0</v>
      </c>
      <c r="DY167" s="16">
        <f>IF($X167="","",SUM(Tabla152[[#This Row],[PRESENCIA DE COROLA]],Tabla152[[#This Row],[PRESENCIA DE RESTO FLORAL VERDE]],Tabla152[[#This Row],[PRESENCIA DE PEDÚNCULO]])/$X$10)</f>
        <v>0</v>
      </c>
      <c r="DZ167" s="16">
        <f>IF($X167="","",SUM(Tabla152[[#This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68" spans="1:130" x14ac:dyDescent="0.3">
      <c r="A168" s="9">
        <f>IF(W168="","",IF(ROW()=10,1,IF(W168=W167,A167,MAX($A$9:A167)+1)))</f>
        <v>52</v>
      </c>
      <c r="B168" s="9">
        <f>WEEKNUM(Tabla152[[#This Row],[FECHA DE COSECHA]],21)</f>
        <v>36</v>
      </c>
      <c r="C168" s="9"/>
      <c r="D168" s="17">
        <v>46268</v>
      </c>
      <c r="E168" s="17">
        <v>46268</v>
      </c>
      <c r="F168" s="9">
        <v>1</v>
      </c>
      <c r="G168" s="9" t="s">
        <v>77</v>
      </c>
      <c r="H168" s="9" t="s">
        <v>143</v>
      </c>
      <c r="I168" s="9" t="s">
        <v>134</v>
      </c>
      <c r="J168" s="9" t="s">
        <v>78</v>
      </c>
      <c r="K168" s="9" t="s">
        <v>153</v>
      </c>
      <c r="L168" s="9" t="s">
        <v>131</v>
      </c>
      <c r="M168" s="9" t="s">
        <v>240</v>
      </c>
      <c r="N168" s="9" t="s">
        <v>145</v>
      </c>
      <c r="O168" s="9" t="s">
        <v>244</v>
      </c>
      <c r="P168" s="9" t="s">
        <v>152</v>
      </c>
      <c r="Q168" s="9"/>
      <c r="R168" s="9">
        <v>8</v>
      </c>
      <c r="S168" s="9">
        <v>78114711</v>
      </c>
      <c r="T168" t="s">
        <v>233</v>
      </c>
      <c r="U168" s="9" t="s">
        <v>147</v>
      </c>
      <c r="V168" s="9"/>
      <c r="W168" s="19" t="s">
        <v>203</v>
      </c>
      <c r="X168" s="9">
        <v>44</v>
      </c>
      <c r="Y168" s="9">
        <v>3</v>
      </c>
      <c r="Z168" s="9">
        <v>15</v>
      </c>
      <c r="AA168" s="9" t="str">
        <f>IF(Tabla152[[#This Row],[NOTA]]=15,"CUMPLE","NO CUMPLE")</f>
        <v>CUMPLE</v>
      </c>
      <c r="AB168" s="9" t="str">
        <f>IF(COUNTIF($A$10:A168,A168)=1,IF(COUNTIFS($A:$A,A168,$AA:$AA,"NO CUMPLE")&gt;0,"NO CUMPLE","CUMPLE"),"")</f>
        <v/>
      </c>
      <c r="AC168" s="9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18"/>
      <c r="BX168" s="18">
        <f>IF($X168="","",AE168/$X$10)</f>
        <v>0</v>
      </c>
      <c r="BY168" s="18">
        <f>IF($X168="","",AF168/$X$10)</f>
        <v>0</v>
      </c>
      <c r="BZ168" s="18">
        <f>IF($X168="","",AG168/$X$10)</f>
        <v>0</v>
      </c>
      <c r="CA168" s="18">
        <f>IF($X168="","",AH168/$X$10)</f>
        <v>0</v>
      </c>
      <c r="CB168" s="18">
        <f t="shared" si="17"/>
        <v>0</v>
      </c>
      <c r="CC168" s="18">
        <f>IF($X168="","",AJ168/$X$10)</f>
        <v>0</v>
      </c>
      <c r="CD168" s="18">
        <f>IF($X168="","",AK168/$X$10)</f>
        <v>0</v>
      </c>
      <c r="CE168" s="18">
        <f>IF($X168="","",AL168/$X$10)</f>
        <v>0</v>
      </c>
      <c r="CF168" s="18">
        <f>IF($X168="","",AM168/$X$10)</f>
        <v>0</v>
      </c>
      <c r="CG168" s="18">
        <f>IF($X168="","",AN168/$X$10)</f>
        <v>0</v>
      </c>
      <c r="CH168" s="18">
        <f>IF($X168="","",AO168/$X$10)</f>
        <v>0</v>
      </c>
      <c r="CI168" s="18">
        <f>IF($X168="","",AP168/$X$10)</f>
        <v>0</v>
      </c>
      <c r="CJ168" s="18">
        <f>IF($X168="","",AQ168/$X$10)</f>
        <v>0</v>
      </c>
      <c r="CK168" s="18">
        <f>IF($X168="","",AR168/$X$10)</f>
        <v>0</v>
      </c>
      <c r="CL168" s="18">
        <f>IF($X168="","",AS168/$X$10)</f>
        <v>0</v>
      </c>
      <c r="CM168" s="18">
        <f>IF($X168="","",AT168/$X$10)</f>
        <v>0</v>
      </c>
      <c r="CN168" s="18">
        <f>IF($X168="","",AU168/$X$10)</f>
        <v>0</v>
      </c>
      <c r="CO168" s="18">
        <f>IF($X168="","",AV168/$X$10)</f>
        <v>0</v>
      </c>
      <c r="CP168" s="18">
        <f>IF($X168="","",AW168/$X$10)</f>
        <v>0</v>
      </c>
      <c r="CQ168" s="18">
        <f>IF($X168="","",AX168/$X$10)</f>
        <v>0</v>
      </c>
      <c r="CR168" s="18">
        <f>IF($X168="","",AY168/$X$10)</f>
        <v>0</v>
      </c>
      <c r="CS168" s="18">
        <f>IF($X168="","",AZ168/$X$10)</f>
        <v>0</v>
      </c>
      <c r="CT168" s="18">
        <f>IF($X168="","",BA168/$X$10)</f>
        <v>0</v>
      </c>
      <c r="CU168" s="18">
        <f>IF($X168="","",BB168/$X$10)</f>
        <v>0</v>
      </c>
      <c r="CV168" s="18">
        <f>IF($X168="","",BC168/$X$10)</f>
        <v>0</v>
      </c>
      <c r="CW168" s="18">
        <f>IF($X168="","",BD168/$X$10)</f>
        <v>0</v>
      </c>
      <c r="CX168" s="18">
        <f>IF($X168="","",BE168/$X$10)</f>
        <v>0</v>
      </c>
      <c r="CY168" s="18">
        <f>IF($X168="","",BF168/$X$10)</f>
        <v>0</v>
      </c>
      <c r="CZ168" s="18">
        <f>IF($X168="","",BG168/$X$10)</f>
        <v>0</v>
      </c>
      <c r="DA168" s="18">
        <f>IF($X168="","",BH168/$X$10)</f>
        <v>0</v>
      </c>
      <c r="DB168" s="18">
        <f>IF($X168="","",BI168/$X$10)</f>
        <v>0</v>
      </c>
      <c r="DC168" s="18">
        <f>IF($X168="","",BJ168/$X$10)</f>
        <v>0</v>
      </c>
      <c r="DD168" s="18">
        <f>IF($X168="","",BK168/$X$10)</f>
        <v>0</v>
      </c>
      <c r="DE168" s="18">
        <f>IF($X168="","",BL168/$X$10)</f>
        <v>0</v>
      </c>
      <c r="DF168" s="18">
        <f>IF($X168="","",BM168/$X$10)</f>
        <v>0</v>
      </c>
      <c r="DG168" s="18">
        <f t="shared" si="18"/>
        <v>0</v>
      </c>
      <c r="DH168" s="18">
        <f>IF($X168="","",BO168/$X$10)</f>
        <v>0</v>
      </c>
      <c r="DI168" s="18">
        <f>IF($X168="","",BP168/$X$10)</f>
        <v>0</v>
      </c>
      <c r="DJ168" s="18">
        <f>IF($X168="","",BQ168/$X$10)</f>
        <v>0</v>
      </c>
      <c r="DK168" s="18">
        <f>IF($X168="","",BR168/$X$10)</f>
        <v>0</v>
      </c>
      <c r="DL168" s="18">
        <f>IF($X168="","",BS168/$X$10)</f>
        <v>0</v>
      </c>
      <c r="DM168" s="18">
        <f>IF($X168="","",BT168/$X$10)</f>
        <v>0</v>
      </c>
      <c r="DN168" s="18">
        <f t="shared" si="14"/>
        <v>0</v>
      </c>
      <c r="DO168" s="16">
        <f>IF($X168="","",SUM(Tabla152[[#This Row],[PODRIDO]],Tabla152[[#This Row],[HONGO]],Tabla152[[#This Row],[PICADO DE AVE CON PUDRICIÓN]],Tabla152[[#This Row],[FUMAGINA]])/$X$10)</f>
        <v>0</v>
      </c>
      <c r="DP168" s="16">
        <f>IF($X168="","",SUM(Tabla152[[#This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68" s="16">
        <f>IF($X168="","",SUM(Tabla152[[#This Row],[BLANDO]:[COLAPSADO]])/$X$10)</f>
        <v>0</v>
      </c>
      <c r="DR168" s="16">
        <f>IF($X168="","",SUM(Tabla152[[#This Row],[DESHIDRATADO LEVE]:[DESHIDRATADO INMADURO]])/$X$10)</f>
        <v>0</v>
      </c>
      <c r="DS168" s="18">
        <f t="shared" si="15"/>
        <v>0</v>
      </c>
      <c r="DT168" s="16">
        <f>IF($X168="","",SUM(Tabla152[[#This Row],[PRESENCIA DE LARVA]],Tabla152[[#This Row],[CHANCHITO BLANCO]])/$X$10)</f>
        <v>0</v>
      </c>
      <c r="DU168" s="18">
        <f>IF($X168="","",SUM(Tabla152[[#This Row],[ROJO GRADO 2 A MÁS]],Tabla152[[#This Row],[IMMADURO VERDE]],Tabla152[[#This Row],[DESORDEN POR MADURACIÓN]],Tabla152[[#This Row],[ARO PEDICELAR VERDE EXTREMO]])/$X$10)</f>
        <v>0</v>
      </c>
      <c r="DV168" s="16">
        <f>IF($X168="","",SUM(Tabla152[[#This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68" s="16">
        <f t="shared" si="16"/>
        <v>0</v>
      </c>
      <c r="DX168" s="16">
        <f>IF($X168="","",AJ168/$X$10)</f>
        <v>0</v>
      </c>
      <c r="DY168" s="16">
        <f>IF($X168="","",SUM(Tabla152[[#This Row],[PRESENCIA DE COROLA]],Tabla152[[#This Row],[PRESENCIA DE RESTO FLORAL VERDE]],Tabla152[[#This Row],[PRESENCIA DE PEDÚNCULO]])/$X$10)</f>
        <v>0</v>
      </c>
      <c r="DZ168" s="16">
        <f>IF($X168="","",SUM(Tabla152[[#This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69" spans="1:130" x14ac:dyDescent="0.3">
      <c r="A169" s="9">
        <f>IF(W169="","",IF(ROW()=10,1,IF(W169=W168,A168,MAX($A$9:A168)+1)))</f>
        <v>53</v>
      </c>
      <c r="B169" s="9">
        <f>WEEKNUM(Tabla152[[#This Row],[FECHA DE COSECHA]],21)</f>
        <v>36</v>
      </c>
      <c r="C169" s="9"/>
      <c r="D169" s="17">
        <v>46268</v>
      </c>
      <c r="E169" s="17">
        <v>46268</v>
      </c>
      <c r="F169" s="9">
        <v>1</v>
      </c>
      <c r="G169" s="9" t="s">
        <v>77</v>
      </c>
      <c r="H169" s="9" t="s">
        <v>143</v>
      </c>
      <c r="I169" s="9" t="s">
        <v>134</v>
      </c>
      <c r="J169" s="9" t="s">
        <v>78</v>
      </c>
      <c r="K169" s="9" t="s">
        <v>153</v>
      </c>
      <c r="L169" s="9" t="s">
        <v>131</v>
      </c>
      <c r="M169" s="9" t="s">
        <v>240</v>
      </c>
      <c r="N169" s="9" t="s">
        <v>145</v>
      </c>
      <c r="O169" s="9" t="s">
        <v>244</v>
      </c>
      <c r="P169" s="9" t="s">
        <v>152</v>
      </c>
      <c r="Q169" s="9"/>
      <c r="R169" s="9">
        <v>8</v>
      </c>
      <c r="S169" s="9">
        <v>78114711</v>
      </c>
      <c r="T169" t="s">
        <v>233</v>
      </c>
      <c r="U169" s="9" t="s">
        <v>147</v>
      </c>
      <c r="V169" s="9"/>
      <c r="W169" s="19" t="s">
        <v>204</v>
      </c>
      <c r="X169" s="9">
        <v>44</v>
      </c>
      <c r="Y169" s="9">
        <v>1</v>
      </c>
      <c r="Z169" s="9">
        <v>15</v>
      </c>
      <c r="AA169" s="9" t="str">
        <f>IF(Tabla152[[#This Row],[NOTA]]=15,"CUMPLE","NO CUMPLE")</f>
        <v>CUMPLE</v>
      </c>
      <c r="AB169" s="9" t="str">
        <f>IF(COUNTIF($A$10:A169,A169)=1,IF(COUNTIFS($A:$A,A169,$AA:$AA,"NO CUMPLE")&gt;0,"NO CUMPLE","CUMPLE"),"")</f>
        <v>CUMPLE</v>
      </c>
      <c r="AC169" s="9" t="s">
        <v>140</v>
      </c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18"/>
      <c r="BX169" s="18">
        <f>IF($X169="","",AE169/$X$10)</f>
        <v>0</v>
      </c>
      <c r="BY169" s="18">
        <f>IF($X169="","",AF169/$X$10)</f>
        <v>0</v>
      </c>
      <c r="BZ169" s="18">
        <f>IF($X169="","",AG169/$X$10)</f>
        <v>0</v>
      </c>
      <c r="CA169" s="18">
        <f>IF($X169="","",AH169/$X$10)</f>
        <v>0</v>
      </c>
      <c r="CB169" s="18">
        <f t="shared" si="17"/>
        <v>0</v>
      </c>
      <c r="CC169" s="18">
        <f>IF($X169="","",AJ169/$X$10)</f>
        <v>0</v>
      </c>
      <c r="CD169" s="18">
        <f>IF($X169="","",AK169/$X$10)</f>
        <v>0</v>
      </c>
      <c r="CE169" s="18">
        <f>IF($X169="","",AL169/$X$10)</f>
        <v>0</v>
      </c>
      <c r="CF169" s="18">
        <f>IF($X169="","",AM169/$X$10)</f>
        <v>0</v>
      </c>
      <c r="CG169" s="18">
        <f>IF($X169="","",AN169/$X$10)</f>
        <v>0</v>
      </c>
      <c r="CH169" s="18">
        <f>IF($X169="","",AO169/$X$10)</f>
        <v>0</v>
      </c>
      <c r="CI169" s="18">
        <f>IF($X169="","",AP169/$X$10)</f>
        <v>0</v>
      </c>
      <c r="CJ169" s="18">
        <f>IF($X169="","",AQ169/$X$10)</f>
        <v>0</v>
      </c>
      <c r="CK169" s="18">
        <f>IF($X169="","",AR169/$X$10)</f>
        <v>0</v>
      </c>
      <c r="CL169" s="18">
        <f>IF($X169="","",AS169/$X$10)</f>
        <v>0</v>
      </c>
      <c r="CM169" s="18">
        <f>IF($X169="","",AT169/$X$10)</f>
        <v>0</v>
      </c>
      <c r="CN169" s="18">
        <f>IF($X169="","",AU169/$X$10)</f>
        <v>0</v>
      </c>
      <c r="CO169" s="18">
        <f>IF($X169="","",AV169/$X$10)</f>
        <v>0</v>
      </c>
      <c r="CP169" s="18">
        <f>IF($X169="","",AW169/$X$10)</f>
        <v>0</v>
      </c>
      <c r="CQ169" s="18">
        <f>IF($X169="","",AX169/$X$10)</f>
        <v>0</v>
      </c>
      <c r="CR169" s="18">
        <f>IF($X169="","",AY169/$X$10)</f>
        <v>0</v>
      </c>
      <c r="CS169" s="18">
        <f>IF($X169="","",AZ169/$X$10)</f>
        <v>0</v>
      </c>
      <c r="CT169" s="18">
        <f>IF($X169="","",BA169/$X$10)</f>
        <v>0</v>
      </c>
      <c r="CU169" s="18">
        <f>IF($X169="","",BB169/$X$10)</f>
        <v>0</v>
      </c>
      <c r="CV169" s="18">
        <f>IF($X169="","",BC169/$X$10)</f>
        <v>0</v>
      </c>
      <c r="CW169" s="18">
        <f>IF($X169="","",BD169/$X$10)</f>
        <v>0</v>
      </c>
      <c r="CX169" s="18">
        <f>IF($X169="","",BE169/$X$10)</f>
        <v>0</v>
      </c>
      <c r="CY169" s="18">
        <f>IF($X169="","",BF169/$X$10)</f>
        <v>0</v>
      </c>
      <c r="CZ169" s="18">
        <f>IF($X169="","",BG169/$X$10)</f>
        <v>0</v>
      </c>
      <c r="DA169" s="18">
        <f>IF($X169="","",BH169/$X$10)</f>
        <v>0</v>
      </c>
      <c r="DB169" s="18">
        <f>IF($X169="","",BI169/$X$10)</f>
        <v>0</v>
      </c>
      <c r="DC169" s="18">
        <f>IF($X169="","",BJ169/$X$10)</f>
        <v>0</v>
      </c>
      <c r="DD169" s="18">
        <f>IF($X169="","",BK169/$X$10)</f>
        <v>0</v>
      </c>
      <c r="DE169" s="18">
        <f>IF($X169="","",BL169/$X$10)</f>
        <v>0</v>
      </c>
      <c r="DF169" s="18">
        <f>IF($X169="","",BM169/$X$10)</f>
        <v>0</v>
      </c>
      <c r="DG169" s="18">
        <f t="shared" si="18"/>
        <v>0</v>
      </c>
      <c r="DH169" s="18">
        <f>IF($X169="","",BO169/$X$10)</f>
        <v>0</v>
      </c>
      <c r="DI169" s="18">
        <f>IF($X169="","",BP169/$X$10)</f>
        <v>0</v>
      </c>
      <c r="DJ169" s="18">
        <f>IF($X169="","",BQ169/$X$10)</f>
        <v>0</v>
      </c>
      <c r="DK169" s="18">
        <f>IF($X169="","",BR169/$X$10)</f>
        <v>0</v>
      </c>
      <c r="DL169" s="18">
        <f>IF($X169="","",BS169/$X$10)</f>
        <v>0</v>
      </c>
      <c r="DM169" s="18">
        <f>IF($X169="","",BT169/$X$10)</f>
        <v>0</v>
      </c>
      <c r="DN169" s="18">
        <f t="shared" ref="DN169:DN200" si="19">IF($X169="","",BU169/$X$10)</f>
        <v>0</v>
      </c>
      <c r="DO169" s="16">
        <f>IF($X169="","",SUM(Tabla152[[#This Row],[PODRIDO]],Tabla152[[#This Row],[HONGO]],Tabla152[[#This Row],[PICADO DE AVE CON PUDRICIÓN]],Tabla152[[#This Row],[FUMAGINA]])/$X$10)</f>
        <v>0</v>
      </c>
      <c r="DP169" s="16">
        <f>IF($X169="","",SUM(Tabla152[[#This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69" s="16">
        <f>IF($X169="","",SUM(Tabla152[[#This Row],[BLANDO]:[COLAPSADO]])/$X$10)</f>
        <v>0</v>
      </c>
      <c r="DR169" s="16">
        <f>IF($X169="","",SUM(Tabla152[[#This Row],[DESHIDRATADO LEVE]:[DESHIDRATADO INMADURO]])/$X$10)</f>
        <v>0</v>
      </c>
      <c r="DS169" s="18">
        <f t="shared" si="15"/>
        <v>0</v>
      </c>
      <c r="DT169" s="16">
        <f>IF($X169="","",SUM(Tabla152[[#This Row],[PRESENCIA DE LARVA]],Tabla152[[#This Row],[CHANCHITO BLANCO]])/$X$10)</f>
        <v>0</v>
      </c>
      <c r="DU169" s="18">
        <f>IF($X169="","",SUM(Tabla152[[#This Row],[ROJO GRADO 2 A MÁS]],Tabla152[[#This Row],[IMMADURO VERDE]],Tabla152[[#This Row],[DESORDEN POR MADURACIÓN]],Tabla152[[#This Row],[ARO PEDICELAR VERDE EXTREMO]])/$X$10)</f>
        <v>0</v>
      </c>
      <c r="DV169" s="16">
        <f>IF($X169="","",SUM(Tabla152[[#This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69" s="16">
        <f t="shared" si="16"/>
        <v>0</v>
      </c>
      <c r="DX169" s="16">
        <f>IF($X169="","",AJ169/$X$10)</f>
        <v>0</v>
      </c>
      <c r="DY169" s="16">
        <f>IF($X169="","",SUM(Tabla152[[#This Row],[PRESENCIA DE COROLA]],Tabla152[[#This Row],[PRESENCIA DE RESTO FLORAL VERDE]],Tabla152[[#This Row],[PRESENCIA DE PEDÚNCULO]])/$X$10)</f>
        <v>0</v>
      </c>
      <c r="DZ169" s="16">
        <f>IF($X169="","",SUM(Tabla152[[#This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70" spans="1:130" x14ac:dyDescent="0.3">
      <c r="A170" s="9">
        <f>IF(W170="","",IF(ROW()=10,1,IF(W170=W169,A169,MAX($A$9:A169)+1)))</f>
        <v>53</v>
      </c>
      <c r="B170" s="9">
        <f>WEEKNUM(Tabla152[[#This Row],[FECHA DE COSECHA]],21)</f>
        <v>36</v>
      </c>
      <c r="C170" s="9"/>
      <c r="D170" s="17">
        <v>46268</v>
      </c>
      <c r="E170" s="17">
        <v>46268</v>
      </c>
      <c r="F170" s="9">
        <v>1</v>
      </c>
      <c r="G170" s="9" t="s">
        <v>77</v>
      </c>
      <c r="H170" s="9" t="s">
        <v>143</v>
      </c>
      <c r="I170" s="9" t="s">
        <v>134</v>
      </c>
      <c r="J170" s="9" t="s">
        <v>78</v>
      </c>
      <c r="K170" s="9" t="s">
        <v>153</v>
      </c>
      <c r="L170" s="9" t="s">
        <v>131</v>
      </c>
      <c r="M170" s="9" t="s">
        <v>240</v>
      </c>
      <c r="N170" s="9" t="s">
        <v>145</v>
      </c>
      <c r="O170" s="9" t="s">
        <v>244</v>
      </c>
      <c r="P170" s="9" t="s">
        <v>152</v>
      </c>
      <c r="Q170" s="9"/>
      <c r="R170" s="9">
        <v>8</v>
      </c>
      <c r="S170" s="9">
        <v>78114711</v>
      </c>
      <c r="T170" t="s">
        <v>233</v>
      </c>
      <c r="U170" s="9" t="s">
        <v>147</v>
      </c>
      <c r="V170" s="9"/>
      <c r="W170" s="19" t="s">
        <v>204</v>
      </c>
      <c r="X170" s="9">
        <v>44</v>
      </c>
      <c r="Y170" s="9">
        <v>2</v>
      </c>
      <c r="Z170" s="9">
        <v>15</v>
      </c>
      <c r="AA170" s="9" t="str">
        <f>IF(Tabla152[[#This Row],[NOTA]]=15,"CUMPLE","NO CUMPLE")</f>
        <v>CUMPLE</v>
      </c>
      <c r="AB170" s="9" t="str">
        <f>IF(COUNTIF($A$10:A170,A170)=1,IF(COUNTIFS($A:$A,A170,$AA:$AA,"NO CUMPLE")&gt;0,"NO CUMPLE","CUMPLE"),"")</f>
        <v/>
      </c>
      <c r="AC170" s="9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18"/>
      <c r="BX170" s="18">
        <f>IF($X170="","",AE170/$X$10)</f>
        <v>0</v>
      </c>
      <c r="BY170" s="18">
        <f>IF($X170="","",AF170/$X$10)</f>
        <v>0</v>
      </c>
      <c r="BZ170" s="18">
        <f>IF($X170="","",AG170/$X$10)</f>
        <v>0</v>
      </c>
      <c r="CA170" s="18">
        <f>IF($X170="","",AH170/$X$10)</f>
        <v>0</v>
      </c>
      <c r="CB170" s="18">
        <f t="shared" si="17"/>
        <v>0</v>
      </c>
      <c r="CC170" s="18">
        <f>IF($X170="","",AJ170/$X$10)</f>
        <v>0</v>
      </c>
      <c r="CD170" s="18">
        <f>IF($X170="","",AK170/$X$10)</f>
        <v>0</v>
      </c>
      <c r="CE170" s="18">
        <f>IF($X170="","",AL170/$X$10)</f>
        <v>0</v>
      </c>
      <c r="CF170" s="18">
        <f>IF($X170="","",AM170/$X$10)</f>
        <v>0</v>
      </c>
      <c r="CG170" s="18">
        <f>IF($X170="","",AN170/$X$10)</f>
        <v>0</v>
      </c>
      <c r="CH170" s="18">
        <f>IF($X170="","",AO170/$X$10)</f>
        <v>0</v>
      </c>
      <c r="CI170" s="18">
        <f>IF($X170="","",AP170/$X$10)</f>
        <v>0</v>
      </c>
      <c r="CJ170" s="18">
        <f>IF($X170="","",AQ170/$X$10)</f>
        <v>0</v>
      </c>
      <c r="CK170" s="18">
        <f>IF($X170="","",AR170/$X$10)</f>
        <v>0</v>
      </c>
      <c r="CL170" s="18">
        <f>IF($X170="","",AS170/$X$10)</f>
        <v>0</v>
      </c>
      <c r="CM170" s="18">
        <f>IF($X170="","",AT170/$X$10)</f>
        <v>0</v>
      </c>
      <c r="CN170" s="18">
        <f>IF($X170="","",AU170/$X$10)</f>
        <v>0</v>
      </c>
      <c r="CO170" s="18">
        <f>IF($X170="","",AV170/$X$10)</f>
        <v>0</v>
      </c>
      <c r="CP170" s="18">
        <f>IF($X170="","",AW170/$X$10)</f>
        <v>0</v>
      </c>
      <c r="CQ170" s="18">
        <f>IF($X170="","",AX170/$X$10)</f>
        <v>0</v>
      </c>
      <c r="CR170" s="18">
        <f>IF($X170="","",AY170/$X$10)</f>
        <v>0</v>
      </c>
      <c r="CS170" s="18">
        <f>IF($X170="","",AZ170/$X$10)</f>
        <v>0</v>
      </c>
      <c r="CT170" s="18">
        <f>IF($X170="","",BA170/$X$10)</f>
        <v>0</v>
      </c>
      <c r="CU170" s="18">
        <f>IF($X170="","",BB170/$X$10)</f>
        <v>0</v>
      </c>
      <c r="CV170" s="18">
        <f>IF($X170="","",BC170/$X$10)</f>
        <v>0</v>
      </c>
      <c r="CW170" s="18">
        <f>IF($X170="","",BD170/$X$10)</f>
        <v>0</v>
      </c>
      <c r="CX170" s="18">
        <f>IF($X170="","",BE170/$X$10)</f>
        <v>0</v>
      </c>
      <c r="CY170" s="18">
        <f>IF($X170="","",BF170/$X$10)</f>
        <v>0</v>
      </c>
      <c r="CZ170" s="18">
        <f>IF($X170="","",BG170/$X$10)</f>
        <v>0</v>
      </c>
      <c r="DA170" s="18">
        <f>IF($X170="","",BH170/$X$10)</f>
        <v>0</v>
      </c>
      <c r="DB170" s="18">
        <f>IF($X170="","",BI170/$X$10)</f>
        <v>0</v>
      </c>
      <c r="DC170" s="18">
        <f>IF($X170="","",BJ170/$X$10)</f>
        <v>0</v>
      </c>
      <c r="DD170" s="18">
        <f>IF($X170="","",BK170/$X$10)</f>
        <v>0</v>
      </c>
      <c r="DE170" s="18">
        <f>IF($X170="","",BL170/$X$10)</f>
        <v>0</v>
      </c>
      <c r="DF170" s="18">
        <f>IF($X170="","",BM170/$X$10)</f>
        <v>0</v>
      </c>
      <c r="DG170" s="18">
        <f t="shared" si="18"/>
        <v>0</v>
      </c>
      <c r="DH170" s="18">
        <f>IF($X170="","",BO170/$X$10)</f>
        <v>0</v>
      </c>
      <c r="DI170" s="18">
        <f>IF($X170="","",BP170/$X$10)</f>
        <v>0</v>
      </c>
      <c r="DJ170" s="18">
        <f>IF($X170="","",BQ170/$X$10)</f>
        <v>0</v>
      </c>
      <c r="DK170" s="18">
        <f>IF($X170="","",BR170/$X$10)</f>
        <v>0</v>
      </c>
      <c r="DL170" s="18">
        <f>IF($X170="","",BS170/$X$10)</f>
        <v>0</v>
      </c>
      <c r="DM170" s="18">
        <f>IF($X170="","",BT170/$X$10)</f>
        <v>0</v>
      </c>
      <c r="DN170" s="18">
        <f t="shared" si="19"/>
        <v>0</v>
      </c>
      <c r="DO170" s="16">
        <f>IF($X170="","",SUM(Tabla152[[#This Row],[PODRIDO]],Tabla152[[#This Row],[HONGO]],Tabla152[[#This Row],[PICADO DE AVE CON PUDRICIÓN]],Tabla152[[#This Row],[FUMAGINA]])/$X$10)</f>
        <v>0</v>
      </c>
      <c r="DP170" s="16">
        <f>IF($X170="","",SUM(Tabla152[[#This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70" s="16">
        <f>IF($X170="","",SUM(Tabla152[[#This Row],[BLANDO]:[COLAPSADO]])/$X$10)</f>
        <v>0</v>
      </c>
      <c r="DR170" s="16">
        <f>IF($X170="","",SUM(Tabla152[[#This Row],[DESHIDRATADO LEVE]:[DESHIDRATADO INMADURO]])/$X$10)</f>
        <v>0</v>
      </c>
      <c r="DS170" s="18">
        <f t="shared" si="15"/>
        <v>0</v>
      </c>
      <c r="DT170" s="16">
        <f>IF($X170="","",SUM(Tabla152[[#This Row],[PRESENCIA DE LARVA]],Tabla152[[#This Row],[CHANCHITO BLANCO]])/$X$10)</f>
        <v>0</v>
      </c>
      <c r="DU170" s="18">
        <f>IF($X170="","",SUM(Tabla152[[#This Row],[ROJO GRADO 2 A MÁS]],Tabla152[[#This Row],[IMMADURO VERDE]],Tabla152[[#This Row],[DESORDEN POR MADURACIÓN]],Tabla152[[#This Row],[ARO PEDICELAR VERDE EXTREMO]])/$X$10)</f>
        <v>0</v>
      </c>
      <c r="DV170" s="16">
        <f>IF($X170="","",SUM(Tabla152[[#This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70" s="16">
        <f t="shared" si="16"/>
        <v>0</v>
      </c>
      <c r="DX170" s="16">
        <f>IF($X170="","",AJ170/$X$10)</f>
        <v>0</v>
      </c>
      <c r="DY170" s="16">
        <f>IF($X170="","",SUM(Tabla152[[#This Row],[PRESENCIA DE COROLA]],Tabla152[[#This Row],[PRESENCIA DE RESTO FLORAL VERDE]],Tabla152[[#This Row],[PRESENCIA DE PEDÚNCULO]])/$X$10)</f>
        <v>0</v>
      </c>
      <c r="DZ170" s="16">
        <f>IF($X170="","",SUM(Tabla152[[#This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71" spans="1:130" x14ac:dyDescent="0.3">
      <c r="A171" s="9">
        <f>IF(W171="","",IF(ROW()=10,1,IF(W171=W170,A170,MAX($A$9:A170)+1)))</f>
        <v>53</v>
      </c>
      <c r="B171" s="9">
        <f>WEEKNUM(Tabla152[[#This Row],[FECHA DE COSECHA]],21)</f>
        <v>36</v>
      </c>
      <c r="C171" s="9"/>
      <c r="D171" s="17">
        <v>46268</v>
      </c>
      <c r="E171" s="17">
        <v>46268</v>
      </c>
      <c r="F171" s="9">
        <v>1</v>
      </c>
      <c r="G171" s="9" t="s">
        <v>77</v>
      </c>
      <c r="H171" s="9" t="s">
        <v>143</v>
      </c>
      <c r="I171" s="9" t="s">
        <v>134</v>
      </c>
      <c r="J171" s="9" t="s">
        <v>78</v>
      </c>
      <c r="K171" s="9" t="s">
        <v>153</v>
      </c>
      <c r="L171" s="9" t="s">
        <v>131</v>
      </c>
      <c r="M171" s="9" t="s">
        <v>240</v>
      </c>
      <c r="N171" s="9" t="s">
        <v>145</v>
      </c>
      <c r="O171" s="9" t="s">
        <v>244</v>
      </c>
      <c r="P171" s="9" t="s">
        <v>152</v>
      </c>
      <c r="Q171" s="9"/>
      <c r="R171" s="9">
        <v>8</v>
      </c>
      <c r="S171" s="9">
        <v>78114711</v>
      </c>
      <c r="T171" t="s">
        <v>233</v>
      </c>
      <c r="U171" s="9" t="s">
        <v>147</v>
      </c>
      <c r="V171" s="9"/>
      <c r="W171" s="19" t="s">
        <v>204</v>
      </c>
      <c r="X171" s="9">
        <v>44</v>
      </c>
      <c r="Y171" s="9">
        <v>3</v>
      </c>
      <c r="Z171" s="9">
        <v>15</v>
      </c>
      <c r="AA171" s="9" t="str">
        <f>IF(Tabla152[[#This Row],[NOTA]]=15,"CUMPLE","NO CUMPLE")</f>
        <v>CUMPLE</v>
      </c>
      <c r="AB171" s="9" t="str">
        <f>IF(COUNTIF($A$10:A171,A171)=1,IF(COUNTIFS($A:$A,A171,$AA:$AA,"NO CUMPLE")&gt;0,"NO CUMPLE","CUMPLE"),"")</f>
        <v/>
      </c>
      <c r="AC171" s="9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18"/>
      <c r="BX171" s="18">
        <f>IF($X171="","",AE171/$X$10)</f>
        <v>0</v>
      </c>
      <c r="BY171" s="18">
        <f>IF($X171="","",AF171/$X$10)</f>
        <v>0</v>
      </c>
      <c r="BZ171" s="18">
        <f>IF($X171="","",AG171/$X$10)</f>
        <v>0</v>
      </c>
      <c r="CA171" s="18">
        <f>IF($X171="","",AH171/$X$10)</f>
        <v>0</v>
      </c>
      <c r="CB171" s="18">
        <f t="shared" si="17"/>
        <v>0</v>
      </c>
      <c r="CC171" s="18">
        <f>IF($X171="","",AJ171/$X$10)</f>
        <v>0</v>
      </c>
      <c r="CD171" s="18">
        <f>IF($X171="","",AK171/$X$10)</f>
        <v>0</v>
      </c>
      <c r="CE171" s="18">
        <f>IF($X171="","",AL171/$X$10)</f>
        <v>0</v>
      </c>
      <c r="CF171" s="18">
        <f>IF($X171="","",AM171/$X$10)</f>
        <v>0</v>
      </c>
      <c r="CG171" s="18">
        <f>IF($X171="","",AN171/$X$10)</f>
        <v>0</v>
      </c>
      <c r="CH171" s="18">
        <f>IF($X171="","",AO171/$X$10)</f>
        <v>0</v>
      </c>
      <c r="CI171" s="18">
        <f>IF($X171="","",AP171/$X$10)</f>
        <v>0</v>
      </c>
      <c r="CJ171" s="18">
        <f>IF($X171="","",AQ171/$X$10)</f>
        <v>0</v>
      </c>
      <c r="CK171" s="18">
        <f>IF($X171="","",AR171/$X$10)</f>
        <v>0</v>
      </c>
      <c r="CL171" s="18">
        <f>IF($X171="","",AS171/$X$10)</f>
        <v>0</v>
      </c>
      <c r="CM171" s="18">
        <f>IF($X171="","",AT171/$X$10)</f>
        <v>0</v>
      </c>
      <c r="CN171" s="18">
        <f>IF($X171="","",AU171/$X$10)</f>
        <v>0</v>
      </c>
      <c r="CO171" s="18">
        <f>IF($X171="","",AV171/$X$10)</f>
        <v>0</v>
      </c>
      <c r="CP171" s="18">
        <f>IF($X171="","",AW171/$X$10)</f>
        <v>0</v>
      </c>
      <c r="CQ171" s="18">
        <f>IF($X171="","",AX171/$X$10)</f>
        <v>0</v>
      </c>
      <c r="CR171" s="18">
        <f>IF($X171="","",AY171/$X$10)</f>
        <v>0</v>
      </c>
      <c r="CS171" s="18">
        <f>IF($X171="","",AZ171/$X$10)</f>
        <v>0</v>
      </c>
      <c r="CT171" s="18">
        <f>IF($X171="","",BA171/$X$10)</f>
        <v>0</v>
      </c>
      <c r="CU171" s="18">
        <f>IF($X171="","",BB171/$X$10)</f>
        <v>0</v>
      </c>
      <c r="CV171" s="18">
        <f>IF($X171="","",BC171/$X$10)</f>
        <v>0</v>
      </c>
      <c r="CW171" s="18">
        <f>IF($X171="","",BD171/$X$10)</f>
        <v>0</v>
      </c>
      <c r="CX171" s="18">
        <f>IF($X171="","",BE171/$X$10)</f>
        <v>0</v>
      </c>
      <c r="CY171" s="18">
        <f>IF($X171="","",BF171/$X$10)</f>
        <v>0</v>
      </c>
      <c r="CZ171" s="18">
        <f>IF($X171="","",BG171/$X$10)</f>
        <v>0</v>
      </c>
      <c r="DA171" s="18">
        <f>IF($X171="","",BH171/$X$10)</f>
        <v>0</v>
      </c>
      <c r="DB171" s="18">
        <f>IF($X171="","",BI171/$X$10)</f>
        <v>0</v>
      </c>
      <c r="DC171" s="18">
        <f>IF($X171="","",BJ171/$X$10)</f>
        <v>0</v>
      </c>
      <c r="DD171" s="18">
        <f>IF($X171="","",BK171/$X$10)</f>
        <v>0</v>
      </c>
      <c r="DE171" s="18">
        <f>IF($X171="","",BL171/$X$10)</f>
        <v>0</v>
      </c>
      <c r="DF171" s="18">
        <f>IF($X171="","",BM171/$X$10)</f>
        <v>0</v>
      </c>
      <c r="DG171" s="18">
        <f t="shared" si="18"/>
        <v>0</v>
      </c>
      <c r="DH171" s="18">
        <f>IF($X171="","",BO171/$X$10)</f>
        <v>0</v>
      </c>
      <c r="DI171" s="18">
        <f>IF($X171="","",BP171/$X$10)</f>
        <v>0</v>
      </c>
      <c r="DJ171" s="18">
        <f>IF($X171="","",BQ171/$X$10)</f>
        <v>0</v>
      </c>
      <c r="DK171" s="18">
        <f>IF($X171="","",BR171/$X$10)</f>
        <v>0</v>
      </c>
      <c r="DL171" s="18">
        <f>IF($X171="","",BS171/$X$10)</f>
        <v>0</v>
      </c>
      <c r="DM171" s="18">
        <f>IF($X171="","",BT171/$X$10)</f>
        <v>0</v>
      </c>
      <c r="DN171" s="18">
        <f t="shared" si="19"/>
        <v>0</v>
      </c>
      <c r="DO171" s="16">
        <f>IF($X171="","",SUM(Tabla152[[#This Row],[PODRIDO]],Tabla152[[#This Row],[HONGO]],Tabla152[[#This Row],[PICADO DE AVE CON PUDRICIÓN]],Tabla152[[#This Row],[FUMAGINA]])/$X$10)</f>
        <v>0</v>
      </c>
      <c r="DP171" s="16">
        <f>IF($X171="","",SUM(Tabla152[[#This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71" s="16">
        <f>IF($X171="","",SUM(Tabla152[[#This Row],[BLANDO]:[COLAPSADO]])/$X$10)</f>
        <v>0</v>
      </c>
      <c r="DR171" s="16">
        <f>IF($X171="","",SUM(Tabla152[[#This Row],[DESHIDRATADO LEVE]:[DESHIDRATADO INMADURO]])/$X$10)</f>
        <v>0</v>
      </c>
      <c r="DS171" s="18">
        <f t="shared" si="15"/>
        <v>0</v>
      </c>
      <c r="DT171" s="16">
        <f>IF($X171="","",SUM(Tabla152[[#This Row],[PRESENCIA DE LARVA]],Tabla152[[#This Row],[CHANCHITO BLANCO]])/$X$10)</f>
        <v>0</v>
      </c>
      <c r="DU171" s="18">
        <f>IF($X171="","",SUM(Tabla152[[#This Row],[ROJO GRADO 2 A MÁS]],Tabla152[[#This Row],[IMMADURO VERDE]],Tabla152[[#This Row],[DESORDEN POR MADURACIÓN]],Tabla152[[#This Row],[ARO PEDICELAR VERDE EXTREMO]])/$X$10)</f>
        <v>0</v>
      </c>
      <c r="DV171" s="16">
        <f>IF($X171="","",SUM(Tabla152[[#This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71" s="16">
        <f t="shared" si="16"/>
        <v>0</v>
      </c>
      <c r="DX171" s="16">
        <f>IF($X171="","",AJ171/$X$10)</f>
        <v>0</v>
      </c>
      <c r="DY171" s="16">
        <f>IF($X171="","",SUM(Tabla152[[#This Row],[PRESENCIA DE COROLA]],Tabla152[[#This Row],[PRESENCIA DE RESTO FLORAL VERDE]],Tabla152[[#This Row],[PRESENCIA DE PEDÚNCULO]])/$X$10)</f>
        <v>0</v>
      </c>
      <c r="DZ171" s="16">
        <f>IF($X171="","",SUM(Tabla152[[#This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72" spans="1:130" x14ac:dyDescent="0.3">
      <c r="A172" s="9">
        <f>IF(W172="","",IF(ROW()=10,1,IF(W172=W171,A171,MAX($A$9:A171)+1)))</f>
        <v>54</v>
      </c>
      <c r="B172" s="9">
        <f>WEEKNUM(Tabla152[[#This Row],[FECHA DE COSECHA]],21)</f>
        <v>36</v>
      </c>
      <c r="C172" s="9"/>
      <c r="D172" s="17">
        <v>46268</v>
      </c>
      <c r="E172" s="17">
        <v>46268</v>
      </c>
      <c r="F172" s="9">
        <v>1</v>
      </c>
      <c r="G172" s="9" t="s">
        <v>77</v>
      </c>
      <c r="H172" s="9" t="s">
        <v>143</v>
      </c>
      <c r="I172" s="9" t="s">
        <v>134</v>
      </c>
      <c r="J172" s="9" t="s">
        <v>78</v>
      </c>
      <c r="K172" s="9" t="s">
        <v>153</v>
      </c>
      <c r="L172" s="9" t="s">
        <v>131</v>
      </c>
      <c r="M172" s="9" t="s">
        <v>240</v>
      </c>
      <c r="N172" s="9" t="s">
        <v>145</v>
      </c>
      <c r="O172" s="9" t="s">
        <v>244</v>
      </c>
      <c r="P172" s="9" t="s">
        <v>152</v>
      </c>
      <c r="Q172" s="9"/>
      <c r="R172" s="9">
        <v>8</v>
      </c>
      <c r="S172" s="9">
        <v>78114711</v>
      </c>
      <c r="T172" t="s">
        <v>233</v>
      </c>
      <c r="U172" s="9" t="s">
        <v>147</v>
      </c>
      <c r="V172" s="9"/>
      <c r="W172" s="19" t="s">
        <v>205</v>
      </c>
      <c r="X172" s="9">
        <v>44</v>
      </c>
      <c r="Y172" s="9">
        <v>1</v>
      </c>
      <c r="Z172" s="9">
        <v>15</v>
      </c>
      <c r="AA172" s="9" t="str">
        <f>IF(Tabla152[[#This Row],[NOTA]]=15,"CUMPLE","NO CUMPLE")</f>
        <v>CUMPLE</v>
      </c>
      <c r="AB172" s="9" t="str">
        <f>IF(COUNTIF($A$10:A172,A172)=1,IF(COUNTIFS($A:$A,A172,$AA:$AA,"NO CUMPLE")&gt;0,"NO CUMPLE","CUMPLE"),"")</f>
        <v>CUMPLE</v>
      </c>
      <c r="AC172" s="9" t="s">
        <v>140</v>
      </c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18"/>
      <c r="BX172" s="18">
        <f>IF($X172="","",AE172/$X$10)</f>
        <v>0</v>
      </c>
      <c r="BY172" s="18">
        <f>IF($X172="","",AF172/$X$10)</f>
        <v>0</v>
      </c>
      <c r="BZ172" s="18">
        <f>IF($X172="","",AG172/$X$10)</f>
        <v>0</v>
      </c>
      <c r="CA172" s="18">
        <f>IF($X172="","",AH172/$X$10)</f>
        <v>0</v>
      </c>
      <c r="CB172" s="18">
        <f t="shared" si="17"/>
        <v>0</v>
      </c>
      <c r="CC172" s="18">
        <f>IF($X172="","",AJ172/$X$10)</f>
        <v>0</v>
      </c>
      <c r="CD172" s="18">
        <f>IF($X172="","",AK172/$X$10)</f>
        <v>0</v>
      </c>
      <c r="CE172" s="18">
        <f>IF($X172="","",AL172/$X$10)</f>
        <v>0</v>
      </c>
      <c r="CF172" s="18">
        <f>IF($X172="","",AM172/$X$10)</f>
        <v>0</v>
      </c>
      <c r="CG172" s="18">
        <f>IF($X172="","",AN172/$X$10)</f>
        <v>0</v>
      </c>
      <c r="CH172" s="18">
        <f>IF($X172="","",AO172/$X$10)</f>
        <v>0</v>
      </c>
      <c r="CI172" s="18">
        <f>IF($X172="","",AP172/$X$10)</f>
        <v>0</v>
      </c>
      <c r="CJ172" s="18">
        <f>IF($X172="","",AQ172/$X$10)</f>
        <v>0</v>
      </c>
      <c r="CK172" s="18">
        <f>IF($X172="","",AR172/$X$10)</f>
        <v>0</v>
      </c>
      <c r="CL172" s="18">
        <f>IF($X172="","",AS172/$X$10)</f>
        <v>0</v>
      </c>
      <c r="CM172" s="18">
        <f>IF($X172="","",AT172/$X$10)</f>
        <v>0</v>
      </c>
      <c r="CN172" s="18">
        <f>IF($X172="","",AU172/$X$10)</f>
        <v>0</v>
      </c>
      <c r="CO172" s="18">
        <f>IF($X172="","",AV172/$X$10)</f>
        <v>0</v>
      </c>
      <c r="CP172" s="18">
        <f>IF($X172="","",AW172/$X$10)</f>
        <v>0</v>
      </c>
      <c r="CQ172" s="18">
        <f>IF($X172="","",AX172/$X$10)</f>
        <v>0</v>
      </c>
      <c r="CR172" s="18">
        <f>IF($X172="","",AY172/$X$10)</f>
        <v>0</v>
      </c>
      <c r="CS172" s="18">
        <f>IF($X172="","",AZ172/$X$10)</f>
        <v>0</v>
      </c>
      <c r="CT172" s="18">
        <f>IF($X172="","",BA172/$X$10)</f>
        <v>0</v>
      </c>
      <c r="CU172" s="18">
        <f>IF($X172="","",BB172/$X$10)</f>
        <v>0</v>
      </c>
      <c r="CV172" s="18">
        <f>IF($X172="","",BC172/$X$10)</f>
        <v>0</v>
      </c>
      <c r="CW172" s="18">
        <f>IF($X172="","",BD172/$X$10)</f>
        <v>0</v>
      </c>
      <c r="CX172" s="18">
        <f>IF($X172="","",BE172/$X$10)</f>
        <v>0</v>
      </c>
      <c r="CY172" s="18">
        <f>IF($X172="","",BF172/$X$10)</f>
        <v>0</v>
      </c>
      <c r="CZ172" s="18">
        <f>IF($X172="","",BG172/$X$10)</f>
        <v>0</v>
      </c>
      <c r="DA172" s="18">
        <f>IF($X172="","",BH172/$X$10)</f>
        <v>0</v>
      </c>
      <c r="DB172" s="18">
        <f>IF($X172="","",BI172/$X$10)</f>
        <v>0</v>
      </c>
      <c r="DC172" s="18">
        <f>IF($X172="","",BJ172/$X$10)</f>
        <v>0</v>
      </c>
      <c r="DD172" s="18">
        <f>IF($X172="","",BK172/$X$10)</f>
        <v>0</v>
      </c>
      <c r="DE172" s="18">
        <f>IF($X172="","",BL172/$X$10)</f>
        <v>0</v>
      </c>
      <c r="DF172" s="18">
        <f>IF($X172="","",BM172/$X$10)</f>
        <v>0</v>
      </c>
      <c r="DG172" s="18">
        <f t="shared" si="18"/>
        <v>0</v>
      </c>
      <c r="DH172" s="18">
        <f>IF($X172="","",BO172/$X$10)</f>
        <v>0</v>
      </c>
      <c r="DI172" s="18">
        <f>IF($X172="","",BP172/$X$10)</f>
        <v>0</v>
      </c>
      <c r="DJ172" s="18">
        <f>IF($X172="","",BQ172/$X$10)</f>
        <v>0</v>
      </c>
      <c r="DK172" s="18">
        <f>IF($X172="","",BR172/$X$10)</f>
        <v>0</v>
      </c>
      <c r="DL172" s="18">
        <f>IF($X172="","",BS172/$X$10)</f>
        <v>0</v>
      </c>
      <c r="DM172" s="18">
        <f>IF($X172="","",BT172/$X$10)</f>
        <v>0</v>
      </c>
      <c r="DN172" s="18">
        <f t="shared" si="19"/>
        <v>0</v>
      </c>
      <c r="DO172" s="16">
        <f>IF($X172="","",SUM(Tabla152[[#This Row],[PODRIDO]],Tabla152[[#This Row],[HONGO]],Tabla152[[#This Row],[PICADO DE AVE CON PUDRICIÓN]],Tabla152[[#This Row],[FUMAGINA]])/$X$10)</f>
        <v>0</v>
      </c>
      <c r="DP172" s="16">
        <f>IF($X172="","",SUM(Tabla152[[#This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72" s="16">
        <f>IF($X172="","",SUM(Tabla152[[#This Row],[BLANDO]:[COLAPSADO]])/$X$10)</f>
        <v>0</v>
      </c>
      <c r="DR172" s="16">
        <f>IF($X172="","",SUM(Tabla152[[#This Row],[DESHIDRATADO LEVE]:[DESHIDRATADO INMADURO]])/$X$10)</f>
        <v>0</v>
      </c>
      <c r="DS172" s="18">
        <f t="shared" si="15"/>
        <v>0</v>
      </c>
      <c r="DT172" s="16">
        <f>IF($X172="","",SUM(Tabla152[[#This Row],[PRESENCIA DE LARVA]],Tabla152[[#This Row],[CHANCHITO BLANCO]])/$X$10)</f>
        <v>0</v>
      </c>
      <c r="DU172" s="18">
        <f>IF($X172="","",SUM(Tabla152[[#This Row],[ROJO GRADO 2 A MÁS]],Tabla152[[#This Row],[IMMADURO VERDE]],Tabla152[[#This Row],[DESORDEN POR MADURACIÓN]],Tabla152[[#This Row],[ARO PEDICELAR VERDE EXTREMO]])/$X$10)</f>
        <v>0</v>
      </c>
      <c r="DV172" s="16">
        <f>IF($X172="","",SUM(Tabla152[[#This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72" s="16">
        <f t="shared" si="16"/>
        <v>0</v>
      </c>
      <c r="DX172" s="16">
        <f>IF($X172="","",AJ172/$X$10)</f>
        <v>0</v>
      </c>
      <c r="DY172" s="16">
        <f>IF($X172="","",SUM(Tabla152[[#This Row],[PRESENCIA DE COROLA]],Tabla152[[#This Row],[PRESENCIA DE RESTO FLORAL VERDE]],Tabla152[[#This Row],[PRESENCIA DE PEDÚNCULO]])/$X$10)</f>
        <v>0</v>
      </c>
      <c r="DZ172" s="16">
        <f>IF($X172="","",SUM(Tabla152[[#This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73" spans="1:130" x14ac:dyDescent="0.3">
      <c r="A173" s="9">
        <f>IF(W173="","",IF(ROW()=10,1,IF(W173=W172,A172,MAX($A$9:A172)+1)))</f>
        <v>54</v>
      </c>
      <c r="B173" s="9">
        <f>WEEKNUM(Tabla152[[#This Row],[FECHA DE COSECHA]],21)</f>
        <v>36</v>
      </c>
      <c r="C173" s="9"/>
      <c r="D173" s="17">
        <v>46268</v>
      </c>
      <c r="E173" s="17">
        <v>46268</v>
      </c>
      <c r="F173" s="9">
        <v>1</v>
      </c>
      <c r="G173" s="9" t="s">
        <v>77</v>
      </c>
      <c r="H173" s="9" t="s">
        <v>143</v>
      </c>
      <c r="I173" s="9" t="s">
        <v>134</v>
      </c>
      <c r="J173" s="9" t="s">
        <v>78</v>
      </c>
      <c r="K173" s="9" t="s">
        <v>153</v>
      </c>
      <c r="L173" s="9" t="s">
        <v>131</v>
      </c>
      <c r="M173" s="9" t="s">
        <v>240</v>
      </c>
      <c r="N173" s="9" t="s">
        <v>145</v>
      </c>
      <c r="O173" s="9" t="s">
        <v>244</v>
      </c>
      <c r="P173" s="9" t="s">
        <v>152</v>
      </c>
      <c r="Q173" s="9"/>
      <c r="R173" s="9">
        <v>8</v>
      </c>
      <c r="S173" s="9">
        <v>78114711</v>
      </c>
      <c r="T173" t="s">
        <v>233</v>
      </c>
      <c r="U173" s="9" t="s">
        <v>147</v>
      </c>
      <c r="V173" s="9"/>
      <c r="W173" s="19" t="s">
        <v>205</v>
      </c>
      <c r="X173" s="9">
        <v>44</v>
      </c>
      <c r="Y173" s="9">
        <v>2</v>
      </c>
      <c r="Z173" s="9">
        <v>15</v>
      </c>
      <c r="AA173" s="9" t="str">
        <f>IF(Tabla152[[#This Row],[NOTA]]=15,"CUMPLE","NO CUMPLE")</f>
        <v>CUMPLE</v>
      </c>
      <c r="AB173" s="9" t="str">
        <f>IF(COUNTIF($A$10:A173,A173)=1,IF(COUNTIFS($A:$A,A173,$AA:$AA,"NO CUMPLE")&gt;0,"NO CUMPLE","CUMPLE"),"")</f>
        <v/>
      </c>
      <c r="AC173" s="9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18"/>
      <c r="BX173" s="18">
        <f>IF($X173="","",AE173/$X$10)</f>
        <v>0</v>
      </c>
      <c r="BY173" s="18">
        <f>IF($X173="","",AF173/$X$10)</f>
        <v>0</v>
      </c>
      <c r="BZ173" s="18">
        <f>IF($X173="","",AG173/$X$10)</f>
        <v>0</v>
      </c>
      <c r="CA173" s="18">
        <f>IF($X173="","",AH173/$X$10)</f>
        <v>0</v>
      </c>
      <c r="CB173" s="18">
        <f t="shared" si="17"/>
        <v>0</v>
      </c>
      <c r="CC173" s="18">
        <f>IF($X173="","",AJ173/$X$10)</f>
        <v>0</v>
      </c>
      <c r="CD173" s="18">
        <f>IF($X173="","",AK173/$X$10)</f>
        <v>0</v>
      </c>
      <c r="CE173" s="18">
        <f>IF($X173="","",AL173/$X$10)</f>
        <v>0</v>
      </c>
      <c r="CF173" s="18">
        <f>IF($X173="","",AM173/$X$10)</f>
        <v>0</v>
      </c>
      <c r="CG173" s="18">
        <f>IF($X173="","",AN173/$X$10)</f>
        <v>0</v>
      </c>
      <c r="CH173" s="18">
        <f>IF($X173="","",AO173/$X$10)</f>
        <v>0</v>
      </c>
      <c r="CI173" s="18">
        <f>IF($X173="","",AP173/$X$10)</f>
        <v>0</v>
      </c>
      <c r="CJ173" s="18">
        <f>IF($X173="","",AQ173/$X$10)</f>
        <v>0</v>
      </c>
      <c r="CK173" s="18">
        <f>IF($X173="","",AR173/$X$10)</f>
        <v>0</v>
      </c>
      <c r="CL173" s="18">
        <f>IF($X173="","",AS173/$X$10)</f>
        <v>0</v>
      </c>
      <c r="CM173" s="18">
        <f>IF($X173="","",AT173/$X$10)</f>
        <v>0</v>
      </c>
      <c r="CN173" s="18">
        <f>IF($X173="","",AU173/$X$10)</f>
        <v>0</v>
      </c>
      <c r="CO173" s="18">
        <f>IF($X173="","",AV173/$X$10)</f>
        <v>0</v>
      </c>
      <c r="CP173" s="18">
        <f>IF($X173="","",AW173/$X$10)</f>
        <v>0</v>
      </c>
      <c r="CQ173" s="18">
        <f>IF($X173="","",AX173/$X$10)</f>
        <v>0</v>
      </c>
      <c r="CR173" s="18">
        <f>IF($X173="","",AY173/$X$10)</f>
        <v>0</v>
      </c>
      <c r="CS173" s="18">
        <f>IF($X173="","",AZ173/$X$10)</f>
        <v>0</v>
      </c>
      <c r="CT173" s="18">
        <f>IF($X173="","",BA173/$X$10)</f>
        <v>0</v>
      </c>
      <c r="CU173" s="18">
        <f>IF($X173="","",BB173/$X$10)</f>
        <v>0</v>
      </c>
      <c r="CV173" s="18">
        <f>IF($X173="","",BC173/$X$10)</f>
        <v>0</v>
      </c>
      <c r="CW173" s="18">
        <f>IF($X173="","",BD173/$X$10)</f>
        <v>0</v>
      </c>
      <c r="CX173" s="18">
        <f>IF($X173="","",BE173/$X$10)</f>
        <v>0</v>
      </c>
      <c r="CY173" s="18">
        <f>IF($X173="","",BF173/$X$10)</f>
        <v>0</v>
      </c>
      <c r="CZ173" s="18">
        <f>IF($X173="","",BG173/$X$10)</f>
        <v>0</v>
      </c>
      <c r="DA173" s="18">
        <f>IF($X173="","",BH173/$X$10)</f>
        <v>0</v>
      </c>
      <c r="DB173" s="18">
        <f>IF($X173="","",BI173/$X$10)</f>
        <v>0</v>
      </c>
      <c r="DC173" s="18">
        <f>IF($X173="","",BJ173/$X$10)</f>
        <v>0</v>
      </c>
      <c r="DD173" s="18">
        <f>IF($X173="","",BK173/$X$10)</f>
        <v>0</v>
      </c>
      <c r="DE173" s="18">
        <f>IF($X173="","",BL173/$X$10)</f>
        <v>0</v>
      </c>
      <c r="DF173" s="18">
        <f>IF($X173="","",BM173/$X$10)</f>
        <v>0</v>
      </c>
      <c r="DG173" s="18">
        <f t="shared" si="18"/>
        <v>0</v>
      </c>
      <c r="DH173" s="18">
        <f>IF($X173="","",BO173/$X$10)</f>
        <v>0</v>
      </c>
      <c r="DI173" s="18">
        <f>IF($X173="","",BP173/$X$10)</f>
        <v>0</v>
      </c>
      <c r="DJ173" s="18">
        <f>IF($X173="","",BQ173/$X$10)</f>
        <v>0</v>
      </c>
      <c r="DK173" s="18">
        <f>IF($X173="","",BR173/$X$10)</f>
        <v>0</v>
      </c>
      <c r="DL173" s="18">
        <f>IF($X173="","",BS173/$X$10)</f>
        <v>0</v>
      </c>
      <c r="DM173" s="18">
        <f>IF($X173="","",BT173/$X$10)</f>
        <v>0</v>
      </c>
      <c r="DN173" s="18">
        <f t="shared" si="19"/>
        <v>0</v>
      </c>
      <c r="DO173" s="16">
        <f>IF($X173="","",SUM(Tabla152[[#This Row],[PODRIDO]],Tabla152[[#This Row],[HONGO]],Tabla152[[#This Row],[PICADO DE AVE CON PUDRICIÓN]],Tabla152[[#This Row],[FUMAGINA]])/$X$10)</f>
        <v>0</v>
      </c>
      <c r="DP173" s="16">
        <f>IF($X173="","",SUM(Tabla152[[#This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73" s="16">
        <f>IF($X173="","",SUM(Tabla152[[#This Row],[BLANDO]:[COLAPSADO]])/$X$10)</f>
        <v>0</v>
      </c>
      <c r="DR173" s="16">
        <f>IF($X173="","",SUM(Tabla152[[#This Row],[DESHIDRATADO LEVE]:[DESHIDRATADO INMADURO]])/$X$10)</f>
        <v>0</v>
      </c>
      <c r="DS173" s="18">
        <f t="shared" si="15"/>
        <v>0</v>
      </c>
      <c r="DT173" s="16">
        <f>IF($X173="","",SUM(Tabla152[[#This Row],[PRESENCIA DE LARVA]],Tabla152[[#This Row],[CHANCHITO BLANCO]])/$X$10)</f>
        <v>0</v>
      </c>
      <c r="DU173" s="18">
        <f>IF($X173="","",SUM(Tabla152[[#This Row],[ROJO GRADO 2 A MÁS]],Tabla152[[#This Row],[IMMADURO VERDE]],Tabla152[[#This Row],[DESORDEN POR MADURACIÓN]],Tabla152[[#This Row],[ARO PEDICELAR VERDE EXTREMO]])/$X$10)</f>
        <v>0</v>
      </c>
      <c r="DV173" s="16">
        <f>IF($X173="","",SUM(Tabla152[[#This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73" s="16">
        <f t="shared" si="16"/>
        <v>0</v>
      </c>
      <c r="DX173" s="16">
        <f>IF($X173="","",AJ173/$X$10)</f>
        <v>0</v>
      </c>
      <c r="DY173" s="16">
        <f>IF($X173="","",SUM(Tabla152[[#This Row],[PRESENCIA DE COROLA]],Tabla152[[#This Row],[PRESENCIA DE RESTO FLORAL VERDE]],Tabla152[[#This Row],[PRESENCIA DE PEDÚNCULO]])/$X$10)</f>
        <v>0</v>
      </c>
      <c r="DZ173" s="16">
        <f>IF($X173="","",SUM(Tabla152[[#This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74" spans="1:130" x14ac:dyDescent="0.3">
      <c r="A174" s="9">
        <f>IF(W174="","",IF(ROW()=10,1,IF(W174=W173,A173,MAX($A$9:A173)+1)))</f>
        <v>54</v>
      </c>
      <c r="B174" s="9">
        <f>WEEKNUM(Tabla152[[#This Row],[FECHA DE COSECHA]],21)</f>
        <v>36</v>
      </c>
      <c r="C174" s="9"/>
      <c r="D174" s="17">
        <v>46268</v>
      </c>
      <c r="E174" s="17">
        <v>46268</v>
      </c>
      <c r="F174" s="9">
        <v>1</v>
      </c>
      <c r="G174" s="9" t="s">
        <v>77</v>
      </c>
      <c r="H174" s="9" t="s">
        <v>143</v>
      </c>
      <c r="I174" s="9" t="s">
        <v>134</v>
      </c>
      <c r="J174" s="9" t="s">
        <v>78</v>
      </c>
      <c r="K174" s="9" t="s">
        <v>153</v>
      </c>
      <c r="L174" s="9" t="s">
        <v>131</v>
      </c>
      <c r="M174" s="9" t="s">
        <v>240</v>
      </c>
      <c r="N174" s="9" t="s">
        <v>145</v>
      </c>
      <c r="O174" s="9" t="s">
        <v>244</v>
      </c>
      <c r="P174" s="9" t="s">
        <v>152</v>
      </c>
      <c r="Q174" s="9"/>
      <c r="R174" s="9">
        <v>8</v>
      </c>
      <c r="S174" s="9">
        <v>78114711</v>
      </c>
      <c r="T174" t="s">
        <v>233</v>
      </c>
      <c r="U174" s="9" t="s">
        <v>147</v>
      </c>
      <c r="V174" s="9"/>
      <c r="W174" s="19" t="s">
        <v>205</v>
      </c>
      <c r="X174" s="9">
        <v>44</v>
      </c>
      <c r="Y174" s="9">
        <v>3</v>
      </c>
      <c r="Z174" s="9">
        <v>15</v>
      </c>
      <c r="AA174" s="9" t="str">
        <f>IF(Tabla152[[#This Row],[NOTA]]=15,"CUMPLE","NO CUMPLE")</f>
        <v>CUMPLE</v>
      </c>
      <c r="AB174" s="9" t="str">
        <f>IF(COUNTIF($A$10:A174,A174)=1,IF(COUNTIFS($A:$A,A174,$AA:$AA,"NO CUMPLE")&gt;0,"NO CUMPLE","CUMPLE"),"")</f>
        <v/>
      </c>
      <c r="AC174" s="9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18"/>
      <c r="BX174" s="18">
        <f>IF($X174="","",AE174/$X$10)</f>
        <v>0</v>
      </c>
      <c r="BY174" s="18">
        <f>IF($X174="","",AF174/$X$10)</f>
        <v>0</v>
      </c>
      <c r="BZ174" s="18">
        <f>IF($X174="","",AG174/$X$10)</f>
        <v>0</v>
      </c>
      <c r="CA174" s="18">
        <f>IF($X174="","",AH174/$X$10)</f>
        <v>0</v>
      </c>
      <c r="CB174" s="18">
        <f t="shared" si="17"/>
        <v>0</v>
      </c>
      <c r="CC174" s="18">
        <f>IF($X174="","",AJ174/$X$10)</f>
        <v>0</v>
      </c>
      <c r="CD174" s="18">
        <f>IF($X174="","",AK174/$X$10)</f>
        <v>0</v>
      </c>
      <c r="CE174" s="18">
        <f>IF($X174="","",AL174/$X$10)</f>
        <v>0</v>
      </c>
      <c r="CF174" s="18">
        <f>IF($X174="","",AM174/$X$10)</f>
        <v>0</v>
      </c>
      <c r="CG174" s="18">
        <f>IF($X174="","",AN174/$X$10)</f>
        <v>0</v>
      </c>
      <c r="CH174" s="18">
        <f>IF($X174="","",AO174/$X$10)</f>
        <v>0</v>
      </c>
      <c r="CI174" s="18">
        <f>IF($X174="","",AP174/$X$10)</f>
        <v>0</v>
      </c>
      <c r="CJ174" s="18">
        <f>IF($X174="","",AQ174/$X$10)</f>
        <v>0</v>
      </c>
      <c r="CK174" s="18">
        <f>IF($X174="","",AR174/$X$10)</f>
        <v>0</v>
      </c>
      <c r="CL174" s="18">
        <f>IF($X174="","",AS174/$X$10)</f>
        <v>0</v>
      </c>
      <c r="CM174" s="18">
        <f>IF($X174="","",AT174/$X$10)</f>
        <v>0</v>
      </c>
      <c r="CN174" s="18">
        <f>IF($X174="","",AU174/$X$10)</f>
        <v>0</v>
      </c>
      <c r="CO174" s="18">
        <f>IF($X174="","",AV174/$X$10)</f>
        <v>0</v>
      </c>
      <c r="CP174" s="18">
        <f>IF($X174="","",AW174/$X$10)</f>
        <v>0</v>
      </c>
      <c r="CQ174" s="18">
        <f>IF($X174="","",AX174/$X$10)</f>
        <v>0</v>
      </c>
      <c r="CR174" s="18">
        <f>IF($X174="","",AY174/$X$10)</f>
        <v>0</v>
      </c>
      <c r="CS174" s="18">
        <f>IF($X174="","",AZ174/$X$10)</f>
        <v>0</v>
      </c>
      <c r="CT174" s="18">
        <f>IF($X174="","",BA174/$X$10)</f>
        <v>0</v>
      </c>
      <c r="CU174" s="18">
        <f>IF($X174="","",BB174/$X$10)</f>
        <v>0</v>
      </c>
      <c r="CV174" s="18">
        <f>IF($X174="","",BC174/$X$10)</f>
        <v>0</v>
      </c>
      <c r="CW174" s="18">
        <f>IF($X174="","",BD174/$X$10)</f>
        <v>0</v>
      </c>
      <c r="CX174" s="18">
        <f>IF($X174="","",BE174/$X$10)</f>
        <v>0</v>
      </c>
      <c r="CY174" s="18">
        <f>IF($X174="","",BF174/$X$10)</f>
        <v>0</v>
      </c>
      <c r="CZ174" s="18">
        <f>IF($X174="","",BG174/$X$10)</f>
        <v>0</v>
      </c>
      <c r="DA174" s="18">
        <f>IF($X174="","",BH174/$X$10)</f>
        <v>0</v>
      </c>
      <c r="DB174" s="18">
        <f>IF($X174="","",BI174/$X$10)</f>
        <v>0</v>
      </c>
      <c r="DC174" s="18">
        <f>IF($X174="","",BJ174/$X$10)</f>
        <v>0</v>
      </c>
      <c r="DD174" s="18">
        <f>IF($X174="","",BK174/$X$10)</f>
        <v>0</v>
      </c>
      <c r="DE174" s="18">
        <f>IF($X174="","",BL174/$X$10)</f>
        <v>0</v>
      </c>
      <c r="DF174" s="18">
        <f>IF($X174="","",BM174/$X$10)</f>
        <v>0</v>
      </c>
      <c r="DG174" s="18">
        <f t="shared" si="18"/>
        <v>0</v>
      </c>
      <c r="DH174" s="18">
        <f>IF($X174="","",BO174/$X$10)</f>
        <v>0</v>
      </c>
      <c r="DI174" s="18">
        <f>IF($X174="","",BP174/$X$10)</f>
        <v>0</v>
      </c>
      <c r="DJ174" s="18">
        <f>IF($X174="","",BQ174/$X$10)</f>
        <v>0</v>
      </c>
      <c r="DK174" s="18">
        <f>IF($X174="","",BR174/$X$10)</f>
        <v>0</v>
      </c>
      <c r="DL174" s="18">
        <f>IF($X174="","",BS174/$X$10)</f>
        <v>0</v>
      </c>
      <c r="DM174" s="18">
        <f>IF($X174="","",BT174/$X$10)</f>
        <v>0</v>
      </c>
      <c r="DN174" s="18">
        <f t="shared" si="19"/>
        <v>0</v>
      </c>
      <c r="DO174" s="16">
        <f>IF($X174="","",SUM(Tabla152[[#This Row],[PODRIDO]],Tabla152[[#This Row],[HONGO]],Tabla152[[#This Row],[PICADO DE AVE CON PUDRICIÓN]],Tabla152[[#This Row],[FUMAGINA]])/$X$10)</f>
        <v>0</v>
      </c>
      <c r="DP174" s="16">
        <f>IF($X174="","",SUM(Tabla152[[#This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74" s="16">
        <f>IF($X174="","",SUM(Tabla152[[#This Row],[BLANDO]:[COLAPSADO]])/$X$10)</f>
        <v>0</v>
      </c>
      <c r="DR174" s="16">
        <f>IF($X174="","",SUM(Tabla152[[#This Row],[DESHIDRATADO LEVE]:[DESHIDRATADO INMADURO]])/$X$10)</f>
        <v>0</v>
      </c>
      <c r="DS174" s="18">
        <f t="shared" si="15"/>
        <v>0</v>
      </c>
      <c r="DT174" s="16">
        <f>IF($X174="","",SUM(Tabla152[[#This Row],[PRESENCIA DE LARVA]],Tabla152[[#This Row],[CHANCHITO BLANCO]])/$X$10)</f>
        <v>0</v>
      </c>
      <c r="DU174" s="18">
        <f>IF($X174="","",SUM(Tabla152[[#This Row],[ROJO GRADO 2 A MÁS]],Tabla152[[#This Row],[IMMADURO VERDE]],Tabla152[[#This Row],[DESORDEN POR MADURACIÓN]],Tabla152[[#This Row],[ARO PEDICELAR VERDE EXTREMO]])/$X$10)</f>
        <v>0</v>
      </c>
      <c r="DV174" s="16">
        <f>IF($X174="","",SUM(Tabla152[[#This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74" s="16">
        <f t="shared" si="16"/>
        <v>0</v>
      </c>
      <c r="DX174" s="16">
        <f>IF($X174="","",AJ174/$X$10)</f>
        <v>0</v>
      </c>
      <c r="DY174" s="16">
        <f>IF($X174="","",SUM(Tabla152[[#This Row],[PRESENCIA DE COROLA]],Tabla152[[#This Row],[PRESENCIA DE RESTO FLORAL VERDE]],Tabla152[[#This Row],[PRESENCIA DE PEDÚNCULO]])/$X$10)</f>
        <v>0</v>
      </c>
      <c r="DZ174" s="16">
        <f>IF($X174="","",SUM(Tabla152[[#This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75" spans="1:130" x14ac:dyDescent="0.3">
      <c r="A175" s="9">
        <f>IF(W175="","",IF(ROW()=10,1,IF(W175=W174,A174,MAX($A$9:A174)+1)))</f>
        <v>55</v>
      </c>
      <c r="B175" s="9">
        <f>WEEKNUM(Tabla152[[#This Row],[FECHA DE COSECHA]],21)</f>
        <v>36</v>
      </c>
      <c r="C175" s="9"/>
      <c r="D175" s="17">
        <v>46268</v>
      </c>
      <c r="E175" s="17">
        <v>46268</v>
      </c>
      <c r="F175" s="9">
        <v>1</v>
      </c>
      <c r="G175" s="9" t="s">
        <v>77</v>
      </c>
      <c r="H175" s="9" t="s">
        <v>144</v>
      </c>
      <c r="I175" s="9" t="s">
        <v>188</v>
      </c>
      <c r="J175" s="9" t="s">
        <v>135</v>
      </c>
      <c r="K175" s="9" t="s">
        <v>146</v>
      </c>
      <c r="L175" s="9" t="s">
        <v>131</v>
      </c>
      <c r="M175" s="9" t="s">
        <v>239</v>
      </c>
      <c r="N175" s="9" t="s">
        <v>136</v>
      </c>
      <c r="O175" s="9" t="s">
        <v>137</v>
      </c>
      <c r="P175" s="9" t="s">
        <v>243</v>
      </c>
      <c r="Q175" s="9"/>
      <c r="R175" s="9">
        <v>7</v>
      </c>
      <c r="S175" s="9">
        <v>78114711</v>
      </c>
      <c r="T175" t="s">
        <v>233</v>
      </c>
      <c r="U175" s="9" t="s">
        <v>147</v>
      </c>
      <c r="V175" s="9"/>
      <c r="W175" s="19" t="s">
        <v>172</v>
      </c>
      <c r="X175" s="9">
        <v>62</v>
      </c>
      <c r="Y175" s="9">
        <v>1</v>
      </c>
      <c r="Z175" s="9">
        <v>15</v>
      </c>
      <c r="AA175" s="9" t="str">
        <f>IF(Tabla152[[#This Row],[NOTA]]=15,"CUMPLE","NO CUMPLE")</f>
        <v>CUMPLE</v>
      </c>
      <c r="AB175" s="9" t="str">
        <f>IF(COUNTIF($A$10:A175,A175)=1,IF(COUNTIFS($A:$A,A175,$AA:$AA,"NO CUMPLE")&gt;0,"NO CUMPLE","CUMPLE"),"")</f>
        <v>NO CUMPLE</v>
      </c>
      <c r="AC175" s="9" t="s">
        <v>140</v>
      </c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18"/>
      <c r="BX175" s="18">
        <f>IF($X175="","",AE175/$X$10)</f>
        <v>0</v>
      </c>
      <c r="BY175" s="18">
        <f>IF($X175="","",AF175/$X$10)</f>
        <v>0</v>
      </c>
      <c r="BZ175" s="18">
        <f>IF($X175="","",AG175/$X$10)</f>
        <v>0</v>
      </c>
      <c r="CA175" s="18">
        <f>IF($X175="","",AH175/$X$10)</f>
        <v>0</v>
      </c>
      <c r="CB175" s="18">
        <f t="shared" si="17"/>
        <v>0</v>
      </c>
      <c r="CC175" s="18">
        <f>IF($X175="","",AJ175/$X$10)</f>
        <v>0</v>
      </c>
      <c r="CD175" s="18">
        <f>IF($X175="","",AK175/$X$10)</f>
        <v>0</v>
      </c>
      <c r="CE175" s="18">
        <f>IF($X175="","",AL175/$X$10)</f>
        <v>0</v>
      </c>
      <c r="CF175" s="18">
        <f>IF($X175="","",AM175/$X$10)</f>
        <v>0</v>
      </c>
      <c r="CG175" s="18">
        <f>IF($X175="","",AN175/$X$10)</f>
        <v>0</v>
      </c>
      <c r="CH175" s="18">
        <f>IF($X175="","",AO175/$X$10)</f>
        <v>0</v>
      </c>
      <c r="CI175" s="18">
        <f>IF($X175="","",AP175/$X$10)</f>
        <v>0</v>
      </c>
      <c r="CJ175" s="18">
        <f>IF($X175="","",AQ175/$X$10)</f>
        <v>0</v>
      </c>
      <c r="CK175" s="18">
        <f>IF($X175="","",AR175/$X$10)</f>
        <v>0</v>
      </c>
      <c r="CL175" s="18">
        <f>IF($X175="","",AS175/$X$10)</f>
        <v>0</v>
      </c>
      <c r="CM175" s="18">
        <f>IF($X175="","",AT175/$X$10)</f>
        <v>0</v>
      </c>
      <c r="CN175" s="18">
        <f>IF($X175="","",AU175/$X$10)</f>
        <v>0</v>
      </c>
      <c r="CO175" s="18">
        <f>IF($X175="","",AV175/$X$10)</f>
        <v>0</v>
      </c>
      <c r="CP175" s="18">
        <f>IF($X175="","",AW175/$X$10)</f>
        <v>0</v>
      </c>
      <c r="CQ175" s="18">
        <f>IF($X175="","",AX175/$X$10)</f>
        <v>0</v>
      </c>
      <c r="CR175" s="18">
        <f>IF($X175="","",AY175/$X$10)</f>
        <v>0</v>
      </c>
      <c r="CS175" s="18">
        <f>IF($X175="","",AZ175/$X$10)</f>
        <v>0</v>
      </c>
      <c r="CT175" s="18">
        <f>IF($X175="","",BA175/$X$10)</f>
        <v>0</v>
      </c>
      <c r="CU175" s="18">
        <f>IF($X175="","",BB175/$X$10)</f>
        <v>0</v>
      </c>
      <c r="CV175" s="18">
        <f>IF($X175="","",BC175/$X$10)</f>
        <v>0</v>
      </c>
      <c r="CW175" s="18">
        <f>IF($X175="","",BD175/$X$10)</f>
        <v>0</v>
      </c>
      <c r="CX175" s="18">
        <f>IF($X175="","",BE175/$X$10)</f>
        <v>0</v>
      </c>
      <c r="CY175" s="18">
        <f>IF($X175="","",BF175/$X$10)</f>
        <v>0</v>
      </c>
      <c r="CZ175" s="18">
        <f>IF($X175="","",BG175/$X$10)</f>
        <v>0</v>
      </c>
      <c r="DA175" s="18">
        <f>IF($X175="","",BH175/$X$10)</f>
        <v>0</v>
      </c>
      <c r="DB175" s="18">
        <f>IF($X175="","",BI175/$X$10)</f>
        <v>0</v>
      </c>
      <c r="DC175" s="18">
        <f>IF($X175="","",BJ175/$X$10)</f>
        <v>0</v>
      </c>
      <c r="DD175" s="18">
        <f>IF($X175="","",BK175/$X$10)</f>
        <v>0</v>
      </c>
      <c r="DE175" s="18">
        <f>IF($X175="","",BL175/$X$10)</f>
        <v>0</v>
      </c>
      <c r="DF175" s="18">
        <f>IF($X175="","",BM175/$X$10)</f>
        <v>0</v>
      </c>
      <c r="DG175" s="18">
        <f t="shared" si="18"/>
        <v>0</v>
      </c>
      <c r="DH175" s="18">
        <f>IF($X175="","",BO175/$X$10)</f>
        <v>0</v>
      </c>
      <c r="DI175" s="18">
        <f>IF($X175="","",BP175/$X$10)</f>
        <v>0</v>
      </c>
      <c r="DJ175" s="18">
        <f>IF($X175="","",BQ175/$X$10)</f>
        <v>0</v>
      </c>
      <c r="DK175" s="18">
        <f>IF($X175="","",BR175/$X$10)</f>
        <v>0</v>
      </c>
      <c r="DL175" s="18">
        <f>IF($X175="","",BS175/$X$10)</f>
        <v>0</v>
      </c>
      <c r="DM175" s="18">
        <f>IF($X175="","",BT175/$X$10)</f>
        <v>0</v>
      </c>
      <c r="DN175" s="18">
        <f t="shared" si="19"/>
        <v>0</v>
      </c>
      <c r="DO175" s="16">
        <f>IF($X175="","",SUM(Tabla152[[#This Row],[PODRIDO]],Tabla152[[#This Row],[HONGO]],Tabla152[[#This Row],[PICADO DE AVE CON PUDRICIÓN]],Tabla152[[#This Row],[FUMAGINA]])/$X$10)</f>
        <v>0</v>
      </c>
      <c r="DP175" s="16">
        <f>IF($X175="","",SUM(Tabla152[[#This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75" s="16">
        <f>IF($X175="","",SUM(Tabla152[[#This Row],[BLANDO]:[COLAPSADO]])/$X$10)</f>
        <v>0</v>
      </c>
      <c r="DR175" s="16">
        <f>IF($X175="","",SUM(Tabla152[[#This Row],[DESHIDRATADO LEVE]:[DESHIDRATADO INMADURO]])/$X$10)</f>
        <v>0</v>
      </c>
      <c r="DS175" s="18">
        <f t="shared" si="15"/>
        <v>0</v>
      </c>
      <c r="DT175" s="16">
        <f>IF($X175="","",SUM(Tabla152[[#This Row],[PRESENCIA DE LARVA]],Tabla152[[#This Row],[CHANCHITO BLANCO]])/$X$10)</f>
        <v>0</v>
      </c>
      <c r="DU175" s="18">
        <f>IF($X175="","",SUM(Tabla152[[#This Row],[ROJO GRADO 2 A MÁS]],Tabla152[[#This Row],[IMMADURO VERDE]],Tabla152[[#This Row],[DESORDEN POR MADURACIÓN]],Tabla152[[#This Row],[ARO PEDICELAR VERDE EXTREMO]])/$X$10)</f>
        <v>0</v>
      </c>
      <c r="DV175" s="16">
        <f>IF($X175="","",SUM(Tabla152[[#This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75" s="16">
        <f t="shared" si="16"/>
        <v>0</v>
      </c>
      <c r="DX175" s="16">
        <f>IF($X175="","",AJ175/$X$10)</f>
        <v>0</v>
      </c>
      <c r="DY175" s="16">
        <f>IF($X175="","",SUM(Tabla152[[#This Row],[PRESENCIA DE COROLA]],Tabla152[[#This Row],[PRESENCIA DE RESTO FLORAL VERDE]],Tabla152[[#This Row],[PRESENCIA DE PEDÚNCULO]])/$X$10)</f>
        <v>0</v>
      </c>
      <c r="DZ175" s="16">
        <f>IF($X175="","",SUM(Tabla152[[#This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76" spans="1:130" x14ac:dyDescent="0.3">
      <c r="A176" s="9">
        <f>IF(W176="","",IF(ROW()=10,1,IF(W176=W175,A175,MAX($A$9:A175)+1)))</f>
        <v>55</v>
      </c>
      <c r="B176" s="9">
        <f>WEEKNUM(Tabla152[[#This Row],[FECHA DE COSECHA]],21)</f>
        <v>36</v>
      </c>
      <c r="C176" s="9"/>
      <c r="D176" s="17">
        <v>46268</v>
      </c>
      <c r="E176" s="17">
        <v>46268</v>
      </c>
      <c r="F176" s="9">
        <v>1</v>
      </c>
      <c r="G176" s="9" t="s">
        <v>77</v>
      </c>
      <c r="H176" s="9" t="s">
        <v>144</v>
      </c>
      <c r="I176" s="9" t="s">
        <v>188</v>
      </c>
      <c r="J176" s="9" t="s">
        <v>135</v>
      </c>
      <c r="K176" s="9" t="s">
        <v>146</v>
      </c>
      <c r="L176" s="9" t="s">
        <v>131</v>
      </c>
      <c r="M176" s="9" t="s">
        <v>239</v>
      </c>
      <c r="N176" s="9" t="s">
        <v>136</v>
      </c>
      <c r="O176" s="9" t="s">
        <v>137</v>
      </c>
      <c r="P176" s="9" t="s">
        <v>243</v>
      </c>
      <c r="Q176" s="9"/>
      <c r="R176" s="9">
        <v>7</v>
      </c>
      <c r="S176" s="9">
        <v>78114711</v>
      </c>
      <c r="T176" t="s">
        <v>233</v>
      </c>
      <c r="U176" s="9" t="s">
        <v>147</v>
      </c>
      <c r="V176" s="9"/>
      <c r="W176" s="19" t="s">
        <v>172</v>
      </c>
      <c r="X176" s="9">
        <v>62</v>
      </c>
      <c r="Y176" s="9">
        <v>2</v>
      </c>
      <c r="Z176" s="9">
        <v>15</v>
      </c>
      <c r="AA176" s="9" t="str">
        <f>IF(Tabla152[[#This Row],[NOTA]]=15,"CUMPLE","NO CUMPLE")</f>
        <v>CUMPLE</v>
      </c>
      <c r="AB176" s="9" t="str">
        <f>IF(COUNTIF($A$10:A176,A176)=1,IF(COUNTIFS($A:$A,A176,$AA:$AA,"NO CUMPLE")&gt;0,"NO CUMPLE","CUMPLE"),"")</f>
        <v/>
      </c>
      <c r="AC176" s="9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18"/>
      <c r="BX176" s="18">
        <f>IF($X176="","",AE176/$X$10)</f>
        <v>0</v>
      </c>
      <c r="BY176" s="18">
        <f>IF($X176="","",AF176/$X$10)</f>
        <v>0</v>
      </c>
      <c r="BZ176" s="18">
        <f>IF($X176="","",AG176/$X$10)</f>
        <v>0</v>
      </c>
      <c r="CA176" s="18">
        <f>IF($X176="","",AH176/$X$10)</f>
        <v>0</v>
      </c>
      <c r="CB176" s="18">
        <f t="shared" si="17"/>
        <v>0</v>
      </c>
      <c r="CC176" s="18">
        <f>IF($X176="","",AJ176/$X$10)</f>
        <v>0</v>
      </c>
      <c r="CD176" s="18">
        <f>IF($X176="","",AK176/$X$10)</f>
        <v>0</v>
      </c>
      <c r="CE176" s="18">
        <f>IF($X176="","",AL176/$X$10)</f>
        <v>0</v>
      </c>
      <c r="CF176" s="18">
        <f>IF($X176="","",AM176/$X$10)</f>
        <v>0</v>
      </c>
      <c r="CG176" s="18">
        <f>IF($X176="","",AN176/$X$10)</f>
        <v>0</v>
      </c>
      <c r="CH176" s="18">
        <f>IF($X176="","",AO176/$X$10)</f>
        <v>0</v>
      </c>
      <c r="CI176" s="18">
        <f>IF($X176="","",AP176/$X$10)</f>
        <v>0</v>
      </c>
      <c r="CJ176" s="18">
        <f>IF($X176="","",AQ176/$X$10)</f>
        <v>0</v>
      </c>
      <c r="CK176" s="18">
        <f>IF($X176="","",AR176/$X$10)</f>
        <v>0</v>
      </c>
      <c r="CL176" s="18">
        <f>IF($X176="","",AS176/$X$10)</f>
        <v>0</v>
      </c>
      <c r="CM176" s="18">
        <f>IF($X176="","",AT176/$X$10)</f>
        <v>0</v>
      </c>
      <c r="CN176" s="18">
        <f>IF($X176="","",AU176/$X$10)</f>
        <v>0</v>
      </c>
      <c r="CO176" s="18">
        <f>IF($X176="","",AV176/$X$10)</f>
        <v>0</v>
      </c>
      <c r="CP176" s="18">
        <f>IF($X176="","",AW176/$X$10)</f>
        <v>0</v>
      </c>
      <c r="CQ176" s="18">
        <f>IF($X176="","",AX176/$X$10)</f>
        <v>0</v>
      </c>
      <c r="CR176" s="18">
        <f>IF($X176="","",AY176/$X$10)</f>
        <v>0</v>
      </c>
      <c r="CS176" s="18">
        <f>IF($X176="","",AZ176/$X$10)</f>
        <v>0</v>
      </c>
      <c r="CT176" s="18">
        <f>IF($X176="","",BA176/$X$10)</f>
        <v>0</v>
      </c>
      <c r="CU176" s="18">
        <f>IF($X176="","",BB176/$X$10)</f>
        <v>0</v>
      </c>
      <c r="CV176" s="18">
        <f>IF($X176="","",BC176/$X$10)</f>
        <v>0</v>
      </c>
      <c r="CW176" s="18">
        <f>IF($X176="","",BD176/$X$10)</f>
        <v>0</v>
      </c>
      <c r="CX176" s="18">
        <f>IF($X176="","",BE176/$X$10)</f>
        <v>0</v>
      </c>
      <c r="CY176" s="18">
        <f>IF($X176="","",BF176/$X$10)</f>
        <v>0</v>
      </c>
      <c r="CZ176" s="18">
        <f>IF($X176="","",BG176/$X$10)</f>
        <v>0</v>
      </c>
      <c r="DA176" s="18">
        <f>IF($X176="","",BH176/$X$10)</f>
        <v>0</v>
      </c>
      <c r="DB176" s="18">
        <f>IF($X176="","",BI176/$X$10)</f>
        <v>0</v>
      </c>
      <c r="DC176" s="18">
        <f>IF($X176="","",BJ176/$X$10)</f>
        <v>0</v>
      </c>
      <c r="DD176" s="18">
        <f>IF($X176="","",BK176/$X$10)</f>
        <v>0</v>
      </c>
      <c r="DE176" s="18">
        <f>IF($X176="","",BL176/$X$10)</f>
        <v>0</v>
      </c>
      <c r="DF176" s="18">
        <f>IF($X176="","",BM176/$X$10)</f>
        <v>0</v>
      </c>
      <c r="DG176" s="18">
        <f t="shared" si="18"/>
        <v>0</v>
      </c>
      <c r="DH176" s="18">
        <f>IF($X176="","",BO176/$X$10)</f>
        <v>0</v>
      </c>
      <c r="DI176" s="18">
        <f>IF($X176="","",BP176/$X$10)</f>
        <v>0</v>
      </c>
      <c r="DJ176" s="18">
        <f>IF($X176="","",BQ176/$X$10)</f>
        <v>0</v>
      </c>
      <c r="DK176" s="18">
        <f>IF($X176="","",BR176/$X$10)</f>
        <v>0</v>
      </c>
      <c r="DL176" s="18">
        <f>IF($X176="","",BS176/$X$10)</f>
        <v>0</v>
      </c>
      <c r="DM176" s="18">
        <f>IF($X176="","",BT176/$X$10)</f>
        <v>0</v>
      </c>
      <c r="DN176" s="18">
        <f t="shared" si="19"/>
        <v>0</v>
      </c>
      <c r="DO176" s="16">
        <f>IF($X176="","",SUM(Tabla152[[#This Row],[PODRIDO]],Tabla152[[#This Row],[HONGO]],Tabla152[[#This Row],[PICADO DE AVE CON PUDRICIÓN]],Tabla152[[#This Row],[FUMAGINA]])/$X$10)</f>
        <v>0</v>
      </c>
      <c r="DP176" s="16">
        <f>IF($X176="","",SUM(Tabla152[[#This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76" s="16">
        <f>IF($X176="","",SUM(Tabla152[[#This Row],[BLANDO]:[COLAPSADO]])/$X$10)</f>
        <v>0</v>
      </c>
      <c r="DR176" s="16">
        <f>IF($X176="","",SUM(Tabla152[[#This Row],[DESHIDRATADO LEVE]:[DESHIDRATADO INMADURO]])/$X$10)</f>
        <v>0</v>
      </c>
      <c r="DS176" s="18">
        <f t="shared" si="15"/>
        <v>0</v>
      </c>
      <c r="DT176" s="16">
        <f>IF($X176="","",SUM(Tabla152[[#This Row],[PRESENCIA DE LARVA]],Tabla152[[#This Row],[CHANCHITO BLANCO]])/$X$10)</f>
        <v>0</v>
      </c>
      <c r="DU176" s="18">
        <f>IF($X176="","",SUM(Tabla152[[#This Row],[ROJO GRADO 2 A MÁS]],Tabla152[[#This Row],[IMMADURO VERDE]],Tabla152[[#This Row],[DESORDEN POR MADURACIÓN]],Tabla152[[#This Row],[ARO PEDICELAR VERDE EXTREMO]])/$X$10)</f>
        <v>0</v>
      </c>
      <c r="DV176" s="16">
        <f>IF($X176="","",SUM(Tabla152[[#This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76" s="16">
        <f t="shared" si="16"/>
        <v>0</v>
      </c>
      <c r="DX176" s="16">
        <f>IF($X176="","",AJ176/$X$10)</f>
        <v>0</v>
      </c>
      <c r="DY176" s="16">
        <f>IF($X176="","",SUM(Tabla152[[#This Row],[PRESENCIA DE COROLA]],Tabla152[[#This Row],[PRESENCIA DE RESTO FLORAL VERDE]],Tabla152[[#This Row],[PRESENCIA DE PEDÚNCULO]])/$X$10)</f>
        <v>0</v>
      </c>
      <c r="DZ176" s="16">
        <f>IF($X176="","",SUM(Tabla152[[#This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77" spans="1:130" x14ac:dyDescent="0.3">
      <c r="A177" s="9">
        <f>IF(W177="","",IF(ROW()=10,1,IF(W177=W176,A176,MAX($A$9:A176)+1)))</f>
        <v>55</v>
      </c>
      <c r="B177" s="9">
        <f>WEEKNUM(Tabla152[[#This Row],[FECHA DE COSECHA]],21)</f>
        <v>36</v>
      </c>
      <c r="C177" s="9"/>
      <c r="D177" s="17">
        <v>46268</v>
      </c>
      <c r="E177" s="17">
        <v>46268</v>
      </c>
      <c r="F177" s="9">
        <v>1</v>
      </c>
      <c r="G177" s="9" t="s">
        <v>77</v>
      </c>
      <c r="H177" s="9" t="s">
        <v>144</v>
      </c>
      <c r="I177" s="9" t="s">
        <v>188</v>
      </c>
      <c r="J177" s="9" t="s">
        <v>135</v>
      </c>
      <c r="K177" s="9" t="s">
        <v>146</v>
      </c>
      <c r="L177" s="9" t="s">
        <v>131</v>
      </c>
      <c r="M177" s="9" t="s">
        <v>239</v>
      </c>
      <c r="N177" s="9" t="s">
        <v>136</v>
      </c>
      <c r="O177" s="9" t="s">
        <v>137</v>
      </c>
      <c r="P177" s="9" t="s">
        <v>243</v>
      </c>
      <c r="Q177" s="9"/>
      <c r="R177" s="9">
        <v>7</v>
      </c>
      <c r="S177" s="9">
        <v>78114711</v>
      </c>
      <c r="T177" t="s">
        <v>233</v>
      </c>
      <c r="U177" s="9" t="s">
        <v>147</v>
      </c>
      <c r="V177" s="9"/>
      <c r="W177" s="19" t="s">
        <v>172</v>
      </c>
      <c r="X177" s="9">
        <v>62</v>
      </c>
      <c r="Y177" s="9">
        <v>3</v>
      </c>
      <c r="Z177" s="9">
        <v>5</v>
      </c>
      <c r="AA177" s="9" t="str">
        <f>IF(Tabla152[[#This Row],[NOTA]]=15,"CUMPLE","NO CUMPLE")</f>
        <v>NO CUMPLE</v>
      </c>
      <c r="AB177" s="9" t="str">
        <f>IF(COUNTIF($A$10:A177,A177)=1,IF(COUNTIFS($A:$A,A177,$AA:$AA,"NO CUMPLE")&gt;0,"NO CUMPLE","CUMPLE"),"")</f>
        <v/>
      </c>
      <c r="AC177" s="9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7"/>
      <c r="AR177" s="7"/>
      <c r="AS177" s="7"/>
      <c r="AT177" s="7"/>
      <c r="AU177" s="7"/>
      <c r="AV177" s="7"/>
      <c r="AW177" s="7">
        <v>2</v>
      </c>
      <c r="AX177" s="7">
        <v>2</v>
      </c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18"/>
      <c r="BX177" s="18">
        <f>IF($X177="","",AE177/$X$10)</f>
        <v>0</v>
      </c>
      <c r="BY177" s="18">
        <f>IF($X177="","",AF177/$X$10)</f>
        <v>0</v>
      </c>
      <c r="BZ177" s="18">
        <f>IF($X177="","",AG177/$X$10)</f>
        <v>0</v>
      </c>
      <c r="CA177" s="18">
        <f>IF($X177="","",AH177/$X$10)</f>
        <v>0</v>
      </c>
      <c r="CB177" s="18">
        <f t="shared" si="17"/>
        <v>0</v>
      </c>
      <c r="CC177" s="18">
        <f>IF($X177="","",AJ177/$X$10)</f>
        <v>0</v>
      </c>
      <c r="CD177" s="18">
        <f>IF($X177="","",AK177/$X$10)</f>
        <v>0</v>
      </c>
      <c r="CE177" s="18">
        <f>IF($X177="","",AL177/$X$10)</f>
        <v>0</v>
      </c>
      <c r="CF177" s="18">
        <f>IF($X177="","",AM177/$X$10)</f>
        <v>0</v>
      </c>
      <c r="CG177" s="18">
        <f>IF($X177="","",AN177/$X$10)</f>
        <v>0</v>
      </c>
      <c r="CH177" s="18">
        <f>IF($X177="","",AO177/$X$10)</f>
        <v>0</v>
      </c>
      <c r="CI177" s="18">
        <f>IF($X177="","",AP177/$X$10)</f>
        <v>0</v>
      </c>
      <c r="CJ177" s="18">
        <f>IF($X177="","",AQ177/$X$10)</f>
        <v>0</v>
      </c>
      <c r="CK177" s="18">
        <f>IF($X177="","",AR177/$X$10)</f>
        <v>0</v>
      </c>
      <c r="CL177" s="18">
        <f>IF($X177="","",AS177/$X$10)</f>
        <v>0</v>
      </c>
      <c r="CM177" s="18">
        <f>IF($X177="","",AT177/$X$10)</f>
        <v>0</v>
      </c>
      <c r="CN177" s="18">
        <f>IF($X177="","",AU177/$X$10)</f>
        <v>0</v>
      </c>
      <c r="CO177" s="18">
        <f>IF($X177="","",AV177/$X$10)</f>
        <v>0</v>
      </c>
      <c r="CP177" s="18">
        <f>IF($X177="","",AW177/$X$10)</f>
        <v>3.1746031746031744E-2</v>
      </c>
      <c r="CQ177" s="18">
        <f>IF($X177="","",AX177/$X$10)</f>
        <v>3.1746031746031744E-2</v>
      </c>
      <c r="CR177" s="18">
        <f>IF($X177="","",AY177/$X$10)</f>
        <v>0</v>
      </c>
      <c r="CS177" s="18">
        <f>IF($X177="","",AZ177/$X$10)</f>
        <v>0</v>
      </c>
      <c r="CT177" s="18">
        <f>IF($X177="","",BA177/$X$10)</f>
        <v>0</v>
      </c>
      <c r="CU177" s="18">
        <f>IF($X177="","",BB177/$X$10)</f>
        <v>0</v>
      </c>
      <c r="CV177" s="18">
        <f>IF($X177="","",BC177/$X$10)</f>
        <v>0</v>
      </c>
      <c r="CW177" s="18">
        <f>IF($X177="","",BD177/$X$10)</f>
        <v>0</v>
      </c>
      <c r="CX177" s="18">
        <f>IF($X177="","",BE177/$X$10)</f>
        <v>0</v>
      </c>
      <c r="CY177" s="18">
        <f>IF($X177="","",BF177/$X$10)</f>
        <v>0</v>
      </c>
      <c r="CZ177" s="18">
        <f>IF($X177="","",BG177/$X$10)</f>
        <v>0</v>
      </c>
      <c r="DA177" s="18">
        <f>IF($X177="","",BH177/$X$10)</f>
        <v>0</v>
      </c>
      <c r="DB177" s="18">
        <f>IF($X177="","",BI177/$X$10)</f>
        <v>0</v>
      </c>
      <c r="DC177" s="18">
        <f>IF($X177="","",BJ177/$X$10)</f>
        <v>0</v>
      </c>
      <c r="DD177" s="18">
        <f>IF($X177="","",BK177/$X$10)</f>
        <v>0</v>
      </c>
      <c r="DE177" s="18">
        <f>IF($X177="","",BL177/$X$10)</f>
        <v>0</v>
      </c>
      <c r="DF177" s="18">
        <f>IF($X177="","",BM177/$X$10)</f>
        <v>0</v>
      </c>
      <c r="DG177" s="18">
        <f t="shared" si="18"/>
        <v>0</v>
      </c>
      <c r="DH177" s="18">
        <f>IF($X177="","",BO177/$X$10)</f>
        <v>0</v>
      </c>
      <c r="DI177" s="18">
        <f>IF($X177="","",BP177/$X$10)</f>
        <v>0</v>
      </c>
      <c r="DJ177" s="18">
        <f>IF($X177="","",BQ177/$X$10)</f>
        <v>0</v>
      </c>
      <c r="DK177" s="18">
        <f>IF($X177="","",BR177/$X$10)</f>
        <v>0</v>
      </c>
      <c r="DL177" s="18">
        <f>IF($X177="","",BS177/$X$10)</f>
        <v>0</v>
      </c>
      <c r="DM177" s="18">
        <f>IF($X177="","",BT177/$X$10)</f>
        <v>0</v>
      </c>
      <c r="DN177" s="18">
        <f t="shared" si="19"/>
        <v>0</v>
      </c>
      <c r="DO177" s="16">
        <f>IF($X177="","",SUM(Tabla152[[#This Row],[PODRIDO]],Tabla152[[#This Row],[HONGO]],Tabla152[[#This Row],[PICADO DE AVE CON PUDRICIÓN]],Tabla152[[#This Row],[FUMAGINA]])/$X$10)</f>
        <v>0</v>
      </c>
      <c r="DP177" s="16">
        <f>IF($X177="","",SUM(Tabla152[[#This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6.3492063492063489E-2</v>
      </c>
      <c r="DQ177" s="16">
        <f>IF($X177="","",SUM(Tabla152[[#This Row],[BLANDO]:[COLAPSADO]])/$X$10)</f>
        <v>0</v>
      </c>
      <c r="DR177" s="16">
        <f>IF($X177="","",SUM(Tabla152[[#This Row],[DESHIDRATADO LEVE]:[DESHIDRATADO INMADURO]])/$X$10)</f>
        <v>0</v>
      </c>
      <c r="DS177" s="18">
        <f t="shared" si="15"/>
        <v>0</v>
      </c>
      <c r="DT177" s="16">
        <f>IF($X177="","",SUM(Tabla152[[#This Row],[PRESENCIA DE LARVA]],Tabla152[[#This Row],[CHANCHITO BLANCO]])/$X$10)</f>
        <v>0</v>
      </c>
      <c r="DU177" s="18">
        <f>IF($X177="","",SUM(Tabla152[[#This Row],[ROJO GRADO 2 A MÁS]],Tabla152[[#This Row],[IMMADURO VERDE]],Tabla152[[#This Row],[DESORDEN POR MADURACIÓN]],Tabla152[[#This Row],[ARO PEDICELAR VERDE EXTREMO]])/$X$10)</f>
        <v>0</v>
      </c>
      <c r="DV177" s="16">
        <f>IF($X177="","",SUM(Tabla152[[#This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77" s="16">
        <f t="shared" si="16"/>
        <v>0</v>
      </c>
      <c r="DX177" s="16">
        <f>IF($X177="","",AJ177/$X$10)</f>
        <v>0</v>
      </c>
      <c r="DY177" s="16">
        <f>IF($X177="","",SUM(Tabla152[[#This Row],[PRESENCIA DE COROLA]],Tabla152[[#This Row],[PRESENCIA DE RESTO FLORAL VERDE]],Tabla152[[#This Row],[PRESENCIA DE PEDÚNCULO]])/$X$10)</f>
        <v>0</v>
      </c>
      <c r="DZ177" s="16">
        <f>IF($X177="","",SUM(Tabla152[[#This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78" spans="1:130" x14ac:dyDescent="0.3">
      <c r="A178" s="9">
        <f>IF(W178="","",IF(ROW()=10,1,IF(W178=W177,A177,MAX($A$9:A177)+1)))</f>
        <v>56</v>
      </c>
      <c r="B178" s="9">
        <f>WEEKNUM(Tabla152[[#This Row],[FECHA DE COSECHA]],21)</f>
        <v>36</v>
      </c>
      <c r="C178" s="9"/>
      <c r="D178" s="17">
        <v>46268</v>
      </c>
      <c r="E178" s="17">
        <v>46268</v>
      </c>
      <c r="F178" s="9">
        <v>1</v>
      </c>
      <c r="G178" s="9" t="s">
        <v>77</v>
      </c>
      <c r="H178" s="9" t="s">
        <v>144</v>
      </c>
      <c r="I178" s="9" t="s">
        <v>188</v>
      </c>
      <c r="J178" s="9" t="s">
        <v>135</v>
      </c>
      <c r="K178" s="9" t="s">
        <v>146</v>
      </c>
      <c r="L178" s="9" t="s">
        <v>131</v>
      </c>
      <c r="M178" s="9" t="s">
        <v>239</v>
      </c>
      <c r="N178" s="9" t="s">
        <v>136</v>
      </c>
      <c r="O178" s="9" t="s">
        <v>137</v>
      </c>
      <c r="P178" s="9" t="s">
        <v>243</v>
      </c>
      <c r="Q178" s="9"/>
      <c r="R178" s="9">
        <v>7</v>
      </c>
      <c r="S178" s="9">
        <v>78114711</v>
      </c>
      <c r="T178" t="s">
        <v>233</v>
      </c>
      <c r="U178" s="9" t="s">
        <v>147</v>
      </c>
      <c r="V178" s="9"/>
      <c r="W178" s="19" t="s">
        <v>206</v>
      </c>
      <c r="X178" s="9">
        <v>62</v>
      </c>
      <c r="Y178" s="9">
        <v>1</v>
      </c>
      <c r="Z178" s="9">
        <v>5</v>
      </c>
      <c r="AA178" s="9" t="str">
        <f>IF(Tabla152[[#This Row],[NOTA]]=15,"CUMPLE","NO CUMPLE")</f>
        <v>NO CUMPLE</v>
      </c>
      <c r="AB178" s="9" t="str">
        <f>IF(COUNTIF($A$10:A178,A178)=1,IF(COUNTIFS($A:$A,A178,$AA:$AA,"NO CUMPLE")&gt;0,"NO CUMPLE","CUMPLE"),"")</f>
        <v>NO CUMPLE</v>
      </c>
      <c r="AC178" s="9" t="s">
        <v>140</v>
      </c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7"/>
      <c r="AR178" s="7"/>
      <c r="AS178" s="7"/>
      <c r="AT178" s="7"/>
      <c r="AU178" s="7"/>
      <c r="AV178" s="7"/>
      <c r="AW178" s="7"/>
      <c r="AX178" s="7">
        <v>2</v>
      </c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18"/>
      <c r="BX178" s="18">
        <f>IF($X178="","",AE178/$X$10)</f>
        <v>0</v>
      </c>
      <c r="BY178" s="18">
        <f>IF($X178="","",AF178/$X$10)</f>
        <v>0</v>
      </c>
      <c r="BZ178" s="18">
        <f>IF($X178="","",AG178/$X$10)</f>
        <v>0</v>
      </c>
      <c r="CA178" s="18">
        <f>IF($X178="","",AH178/$X$10)</f>
        <v>0</v>
      </c>
      <c r="CB178" s="18">
        <f t="shared" si="17"/>
        <v>0</v>
      </c>
      <c r="CC178" s="18">
        <f>IF($X178="","",AJ178/$X$10)</f>
        <v>0</v>
      </c>
      <c r="CD178" s="18">
        <f>IF($X178="","",AK178/$X$10)</f>
        <v>0</v>
      </c>
      <c r="CE178" s="18">
        <f>IF($X178="","",AL178/$X$10)</f>
        <v>0</v>
      </c>
      <c r="CF178" s="18">
        <f>IF($X178="","",AM178/$X$10)</f>
        <v>0</v>
      </c>
      <c r="CG178" s="18">
        <f>IF($X178="","",AN178/$X$10)</f>
        <v>0</v>
      </c>
      <c r="CH178" s="18">
        <f>IF($X178="","",AO178/$X$10)</f>
        <v>0</v>
      </c>
      <c r="CI178" s="18">
        <f>IF($X178="","",AP178/$X$10)</f>
        <v>0</v>
      </c>
      <c r="CJ178" s="18">
        <f>IF($X178="","",AQ178/$X$10)</f>
        <v>0</v>
      </c>
      <c r="CK178" s="18">
        <f>IF($X178="","",AR178/$X$10)</f>
        <v>0</v>
      </c>
      <c r="CL178" s="18">
        <f>IF($X178="","",AS178/$X$10)</f>
        <v>0</v>
      </c>
      <c r="CM178" s="18">
        <f>IF($X178="","",AT178/$X$10)</f>
        <v>0</v>
      </c>
      <c r="CN178" s="18">
        <f>IF($X178="","",AU178/$X$10)</f>
        <v>0</v>
      </c>
      <c r="CO178" s="18">
        <f>IF($X178="","",AV178/$X$10)</f>
        <v>0</v>
      </c>
      <c r="CP178" s="18">
        <f>IF($X178="","",AW178/$X$10)</f>
        <v>0</v>
      </c>
      <c r="CQ178" s="18">
        <f>IF($X178="","",AX178/$X$10)</f>
        <v>3.1746031746031744E-2</v>
      </c>
      <c r="CR178" s="18">
        <f>IF($X178="","",AY178/$X$10)</f>
        <v>0</v>
      </c>
      <c r="CS178" s="18">
        <f>IF($X178="","",AZ178/$X$10)</f>
        <v>0</v>
      </c>
      <c r="CT178" s="18">
        <f>IF($X178="","",BA178/$X$10)</f>
        <v>0</v>
      </c>
      <c r="CU178" s="18">
        <f>IF($X178="","",BB178/$X$10)</f>
        <v>0</v>
      </c>
      <c r="CV178" s="18">
        <f>IF($X178="","",BC178/$X$10)</f>
        <v>0</v>
      </c>
      <c r="CW178" s="18">
        <f>IF($X178="","",BD178/$X$10)</f>
        <v>0</v>
      </c>
      <c r="CX178" s="18">
        <f>IF($X178="","",BE178/$X$10)</f>
        <v>0</v>
      </c>
      <c r="CY178" s="18">
        <f>IF($X178="","",BF178/$X$10)</f>
        <v>0</v>
      </c>
      <c r="CZ178" s="18">
        <f>IF($X178="","",BG178/$X$10)</f>
        <v>0</v>
      </c>
      <c r="DA178" s="18">
        <f>IF($X178="","",BH178/$X$10)</f>
        <v>0</v>
      </c>
      <c r="DB178" s="18">
        <f>IF($X178="","",BI178/$X$10)</f>
        <v>0</v>
      </c>
      <c r="DC178" s="18">
        <f>IF($X178="","",BJ178/$X$10)</f>
        <v>0</v>
      </c>
      <c r="DD178" s="18">
        <f>IF($X178="","",BK178/$X$10)</f>
        <v>0</v>
      </c>
      <c r="DE178" s="18">
        <f>IF($X178="","",BL178/$X$10)</f>
        <v>0</v>
      </c>
      <c r="DF178" s="18">
        <f>IF($X178="","",BM178/$X$10)</f>
        <v>0</v>
      </c>
      <c r="DG178" s="18">
        <f t="shared" si="18"/>
        <v>0</v>
      </c>
      <c r="DH178" s="18">
        <f>IF($X178="","",BO178/$X$10)</f>
        <v>0</v>
      </c>
      <c r="DI178" s="18">
        <f>IF($X178="","",BP178/$X$10)</f>
        <v>0</v>
      </c>
      <c r="DJ178" s="18">
        <f>IF($X178="","",BQ178/$X$10)</f>
        <v>0</v>
      </c>
      <c r="DK178" s="18">
        <f>IF($X178="","",BR178/$X$10)</f>
        <v>0</v>
      </c>
      <c r="DL178" s="18">
        <f>IF($X178="","",BS178/$X$10)</f>
        <v>0</v>
      </c>
      <c r="DM178" s="18">
        <f>IF($X178="","",BT178/$X$10)</f>
        <v>0</v>
      </c>
      <c r="DN178" s="18">
        <f t="shared" si="19"/>
        <v>0</v>
      </c>
      <c r="DO178" s="16">
        <f>IF($X178="","",SUM(Tabla152[[#This Row],[PODRIDO]],Tabla152[[#This Row],[HONGO]],Tabla152[[#This Row],[PICADO DE AVE CON PUDRICIÓN]],Tabla152[[#This Row],[FUMAGINA]])/$X$10)</f>
        <v>0</v>
      </c>
      <c r="DP178" s="16">
        <f>IF($X178="","",SUM(Tabla152[[#This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3.1746031746031744E-2</v>
      </c>
      <c r="DQ178" s="16">
        <f>IF($X178="","",SUM(Tabla152[[#This Row],[BLANDO]:[COLAPSADO]])/$X$10)</f>
        <v>0</v>
      </c>
      <c r="DR178" s="16">
        <f>IF($X178="","",SUM(Tabla152[[#This Row],[DESHIDRATADO LEVE]:[DESHIDRATADO INMADURO]])/$X$10)</f>
        <v>0</v>
      </c>
      <c r="DS178" s="18">
        <f t="shared" si="15"/>
        <v>0</v>
      </c>
      <c r="DT178" s="16">
        <f>IF($X178="","",SUM(Tabla152[[#This Row],[PRESENCIA DE LARVA]],Tabla152[[#This Row],[CHANCHITO BLANCO]])/$X$10)</f>
        <v>0</v>
      </c>
      <c r="DU178" s="18">
        <f>IF($X178="","",SUM(Tabla152[[#This Row],[ROJO GRADO 2 A MÁS]],Tabla152[[#This Row],[IMMADURO VERDE]],Tabla152[[#This Row],[DESORDEN POR MADURACIÓN]],Tabla152[[#This Row],[ARO PEDICELAR VERDE EXTREMO]])/$X$10)</f>
        <v>0</v>
      </c>
      <c r="DV178" s="16">
        <f>IF($X178="","",SUM(Tabla152[[#This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78" s="16">
        <f t="shared" si="16"/>
        <v>0</v>
      </c>
      <c r="DX178" s="16">
        <f>IF($X178="","",AJ178/$X$10)</f>
        <v>0</v>
      </c>
      <c r="DY178" s="16">
        <f>IF($X178="","",SUM(Tabla152[[#This Row],[PRESENCIA DE COROLA]],Tabla152[[#This Row],[PRESENCIA DE RESTO FLORAL VERDE]],Tabla152[[#This Row],[PRESENCIA DE PEDÚNCULO]])/$X$10)</f>
        <v>0</v>
      </c>
      <c r="DZ178" s="16">
        <f>IF($X178="","",SUM(Tabla152[[#This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79" spans="1:130" x14ac:dyDescent="0.3">
      <c r="A179" s="9">
        <f>IF(W179="","",IF(ROW()=10,1,IF(W179=W178,A178,MAX($A$9:A178)+1)))</f>
        <v>56</v>
      </c>
      <c r="B179" s="9">
        <f>WEEKNUM(Tabla152[[#This Row],[FECHA DE COSECHA]],21)</f>
        <v>36</v>
      </c>
      <c r="C179" s="9"/>
      <c r="D179" s="17">
        <v>46268</v>
      </c>
      <c r="E179" s="17">
        <v>46268</v>
      </c>
      <c r="F179" s="9">
        <v>1</v>
      </c>
      <c r="G179" s="9" t="s">
        <v>77</v>
      </c>
      <c r="H179" s="9" t="s">
        <v>144</v>
      </c>
      <c r="I179" s="9" t="s">
        <v>188</v>
      </c>
      <c r="J179" s="9" t="s">
        <v>135</v>
      </c>
      <c r="K179" s="9" t="s">
        <v>146</v>
      </c>
      <c r="L179" s="9" t="s">
        <v>131</v>
      </c>
      <c r="M179" s="9" t="s">
        <v>239</v>
      </c>
      <c r="N179" s="9" t="s">
        <v>136</v>
      </c>
      <c r="O179" s="9" t="s">
        <v>137</v>
      </c>
      <c r="P179" s="9" t="s">
        <v>243</v>
      </c>
      <c r="Q179" s="9"/>
      <c r="R179" s="9">
        <v>7</v>
      </c>
      <c r="S179" s="9">
        <v>78114711</v>
      </c>
      <c r="T179" t="s">
        <v>233</v>
      </c>
      <c r="U179" s="9" t="s">
        <v>147</v>
      </c>
      <c r="V179" s="9"/>
      <c r="W179" s="19" t="s">
        <v>206</v>
      </c>
      <c r="X179" s="9">
        <v>62</v>
      </c>
      <c r="Y179" s="9">
        <v>2</v>
      </c>
      <c r="Z179" s="9">
        <v>5</v>
      </c>
      <c r="AA179" s="9" t="str">
        <f>IF(Tabla152[[#This Row],[NOTA]]=15,"CUMPLE","NO CUMPLE")</f>
        <v>NO CUMPLE</v>
      </c>
      <c r="AB179" s="9" t="str">
        <f>IF(COUNTIF($A$10:A179,A179)=1,IF(COUNTIFS($A:$A,A179,$AA:$AA,"NO CUMPLE")&gt;0,"NO CUMPLE","CUMPLE"),"")</f>
        <v/>
      </c>
      <c r="AC179" s="9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7"/>
      <c r="AR179" s="7"/>
      <c r="AS179" s="7">
        <v>1</v>
      </c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18"/>
      <c r="BX179" s="18">
        <f>IF($X179="","",AE179/$X$10)</f>
        <v>0</v>
      </c>
      <c r="BY179" s="18">
        <f>IF($X179="","",AF179/$X$10)</f>
        <v>0</v>
      </c>
      <c r="BZ179" s="18">
        <f>IF($X179="","",AG179/$X$10)</f>
        <v>0</v>
      </c>
      <c r="CA179" s="18">
        <f>IF($X179="","",AH179/$X$10)</f>
        <v>0</v>
      </c>
      <c r="CB179" s="18">
        <f t="shared" si="17"/>
        <v>0</v>
      </c>
      <c r="CC179" s="18">
        <f>IF($X179="","",AJ179/$X$10)</f>
        <v>0</v>
      </c>
      <c r="CD179" s="18">
        <f>IF($X179="","",AK179/$X$10)</f>
        <v>0</v>
      </c>
      <c r="CE179" s="18">
        <f>IF($X179="","",AL179/$X$10)</f>
        <v>0</v>
      </c>
      <c r="CF179" s="18">
        <f>IF($X179="","",AM179/$X$10)</f>
        <v>0</v>
      </c>
      <c r="CG179" s="18">
        <f>IF($X179="","",AN179/$X$10)</f>
        <v>0</v>
      </c>
      <c r="CH179" s="18">
        <f>IF($X179="","",AO179/$X$10)</f>
        <v>0</v>
      </c>
      <c r="CI179" s="18">
        <f>IF($X179="","",AP179/$X$10)</f>
        <v>0</v>
      </c>
      <c r="CJ179" s="18">
        <f>IF($X179="","",AQ179/$X$10)</f>
        <v>0</v>
      </c>
      <c r="CK179" s="18">
        <f>IF($X179="","",AR179/$X$10)</f>
        <v>0</v>
      </c>
      <c r="CL179" s="18">
        <f>IF($X179="","",AS179/$X$10)</f>
        <v>1.5873015873015872E-2</v>
      </c>
      <c r="CM179" s="18">
        <f>IF($X179="","",AT179/$X$10)</f>
        <v>0</v>
      </c>
      <c r="CN179" s="18">
        <f>IF($X179="","",AU179/$X$10)</f>
        <v>0</v>
      </c>
      <c r="CO179" s="18">
        <f>IF($X179="","",AV179/$X$10)</f>
        <v>0</v>
      </c>
      <c r="CP179" s="18">
        <f>IF($X179="","",AW179/$X$10)</f>
        <v>0</v>
      </c>
      <c r="CQ179" s="18">
        <f>IF($X179="","",AX179/$X$10)</f>
        <v>0</v>
      </c>
      <c r="CR179" s="18">
        <f>IF($X179="","",AY179/$X$10)</f>
        <v>0</v>
      </c>
      <c r="CS179" s="18">
        <f>IF($X179="","",AZ179/$X$10)</f>
        <v>0</v>
      </c>
      <c r="CT179" s="18">
        <f>IF($X179="","",BA179/$X$10)</f>
        <v>0</v>
      </c>
      <c r="CU179" s="18">
        <f>IF($X179="","",BB179/$X$10)</f>
        <v>0</v>
      </c>
      <c r="CV179" s="18">
        <f>IF($X179="","",BC179/$X$10)</f>
        <v>0</v>
      </c>
      <c r="CW179" s="18">
        <f>IF($X179="","",BD179/$X$10)</f>
        <v>0</v>
      </c>
      <c r="CX179" s="18">
        <f>IF($X179="","",BE179/$X$10)</f>
        <v>0</v>
      </c>
      <c r="CY179" s="18">
        <f>IF($X179="","",BF179/$X$10)</f>
        <v>0</v>
      </c>
      <c r="CZ179" s="18">
        <f>IF($X179="","",BG179/$X$10)</f>
        <v>0</v>
      </c>
      <c r="DA179" s="18">
        <f>IF($X179="","",BH179/$X$10)</f>
        <v>0</v>
      </c>
      <c r="DB179" s="18">
        <f>IF($X179="","",BI179/$X$10)</f>
        <v>0</v>
      </c>
      <c r="DC179" s="18">
        <f>IF($X179="","",BJ179/$X$10)</f>
        <v>0</v>
      </c>
      <c r="DD179" s="18">
        <f>IF($X179="","",BK179/$X$10)</f>
        <v>0</v>
      </c>
      <c r="DE179" s="18">
        <f>IF($X179="","",BL179/$X$10)</f>
        <v>0</v>
      </c>
      <c r="DF179" s="18">
        <f>IF($X179="","",BM179/$X$10)</f>
        <v>0</v>
      </c>
      <c r="DG179" s="18">
        <f t="shared" si="18"/>
        <v>0</v>
      </c>
      <c r="DH179" s="18">
        <f>IF($X179="","",BO179/$X$10)</f>
        <v>0</v>
      </c>
      <c r="DI179" s="18">
        <f>IF($X179="","",BP179/$X$10)</f>
        <v>0</v>
      </c>
      <c r="DJ179" s="18">
        <f>IF($X179="","",BQ179/$X$10)</f>
        <v>0</v>
      </c>
      <c r="DK179" s="18">
        <f>IF($X179="","",BR179/$X$10)</f>
        <v>0</v>
      </c>
      <c r="DL179" s="18">
        <f>IF($X179="","",BS179/$X$10)</f>
        <v>0</v>
      </c>
      <c r="DM179" s="18">
        <f>IF($X179="","",BT179/$X$10)</f>
        <v>0</v>
      </c>
      <c r="DN179" s="18">
        <f t="shared" si="19"/>
        <v>0</v>
      </c>
      <c r="DO179" s="16">
        <f>IF($X179="","",SUM(Tabla152[[#This Row],[PODRIDO]],Tabla152[[#This Row],[HONGO]],Tabla152[[#This Row],[PICADO DE AVE CON PUDRICIÓN]],Tabla152[[#This Row],[FUMAGINA]])/$X$10)</f>
        <v>0</v>
      </c>
      <c r="DP179" s="16">
        <f>IF($X179="","",SUM(Tabla152[[#This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79" s="16">
        <f>IF($X179="","",SUM(Tabla152[[#This Row],[BLANDO]:[COLAPSADO]])/$X$10)</f>
        <v>0</v>
      </c>
      <c r="DR179" s="16">
        <f>IF($X179="","",SUM(Tabla152[[#This Row],[DESHIDRATADO LEVE]:[DESHIDRATADO INMADURO]])/$X$10)</f>
        <v>1.5873015873015872E-2</v>
      </c>
      <c r="DS179" s="18">
        <f t="shared" si="15"/>
        <v>0</v>
      </c>
      <c r="DT179" s="16">
        <f>IF($X179="","",SUM(Tabla152[[#This Row],[PRESENCIA DE LARVA]],Tabla152[[#This Row],[CHANCHITO BLANCO]])/$X$10)</f>
        <v>0</v>
      </c>
      <c r="DU179" s="18">
        <f>IF($X179="","",SUM(Tabla152[[#This Row],[ROJO GRADO 2 A MÁS]],Tabla152[[#This Row],[IMMADURO VERDE]],Tabla152[[#This Row],[DESORDEN POR MADURACIÓN]],Tabla152[[#This Row],[ARO PEDICELAR VERDE EXTREMO]])/$X$10)</f>
        <v>0</v>
      </c>
      <c r="DV179" s="16">
        <f>IF($X179="","",SUM(Tabla152[[#This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79" s="16">
        <f t="shared" si="16"/>
        <v>0</v>
      </c>
      <c r="DX179" s="16">
        <f>IF($X179="","",AJ179/$X$10)</f>
        <v>0</v>
      </c>
      <c r="DY179" s="16">
        <f>IF($X179="","",SUM(Tabla152[[#This Row],[PRESENCIA DE COROLA]],Tabla152[[#This Row],[PRESENCIA DE RESTO FLORAL VERDE]],Tabla152[[#This Row],[PRESENCIA DE PEDÚNCULO]])/$X$10)</f>
        <v>0</v>
      </c>
      <c r="DZ179" s="16">
        <f>IF($X179="","",SUM(Tabla152[[#This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80" spans="1:130" x14ac:dyDescent="0.3">
      <c r="A180" s="9">
        <f>IF(W180="","",IF(ROW()=10,1,IF(W180=W179,A179,MAX($A$9:A179)+1)))</f>
        <v>56</v>
      </c>
      <c r="B180" s="9">
        <f>WEEKNUM(Tabla152[[#This Row],[FECHA DE COSECHA]],21)</f>
        <v>36</v>
      </c>
      <c r="C180" s="9"/>
      <c r="D180" s="17">
        <v>46268</v>
      </c>
      <c r="E180" s="17">
        <v>46268</v>
      </c>
      <c r="F180" s="9">
        <v>1</v>
      </c>
      <c r="G180" s="9" t="s">
        <v>77</v>
      </c>
      <c r="H180" s="9" t="s">
        <v>144</v>
      </c>
      <c r="I180" s="9" t="s">
        <v>188</v>
      </c>
      <c r="J180" s="9" t="s">
        <v>135</v>
      </c>
      <c r="K180" s="9" t="s">
        <v>146</v>
      </c>
      <c r="L180" s="9" t="s">
        <v>131</v>
      </c>
      <c r="M180" s="9" t="s">
        <v>239</v>
      </c>
      <c r="N180" s="9" t="s">
        <v>136</v>
      </c>
      <c r="O180" s="9" t="s">
        <v>137</v>
      </c>
      <c r="P180" s="9" t="s">
        <v>243</v>
      </c>
      <c r="Q180" s="9"/>
      <c r="R180" s="9">
        <v>7</v>
      </c>
      <c r="S180" s="9">
        <v>78114711</v>
      </c>
      <c r="T180" t="s">
        <v>233</v>
      </c>
      <c r="U180" s="9" t="s">
        <v>147</v>
      </c>
      <c r="V180" s="9"/>
      <c r="W180" s="19" t="s">
        <v>206</v>
      </c>
      <c r="X180" s="9">
        <v>62</v>
      </c>
      <c r="Y180" s="9">
        <v>3</v>
      </c>
      <c r="Z180" s="9">
        <v>15</v>
      </c>
      <c r="AA180" s="9" t="str">
        <f>IF(Tabla152[[#This Row],[NOTA]]=15,"CUMPLE","NO CUMPLE")</f>
        <v>CUMPLE</v>
      </c>
      <c r="AB180" s="9" t="str">
        <f>IF(COUNTIF($A$10:A180,A180)=1,IF(COUNTIFS($A:$A,A180,$AA:$AA,"NO CUMPLE")&gt;0,"NO CUMPLE","CUMPLE"),"")</f>
        <v/>
      </c>
      <c r="AC180" s="9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18"/>
      <c r="BX180" s="18">
        <f>IF($X180="","",AE180/$X$10)</f>
        <v>0</v>
      </c>
      <c r="BY180" s="18">
        <f>IF($X180="","",AF180/$X$10)</f>
        <v>0</v>
      </c>
      <c r="BZ180" s="18">
        <f>IF($X180="","",AG180/$X$10)</f>
        <v>0</v>
      </c>
      <c r="CA180" s="18">
        <f>IF($X180="","",AH180/$X$10)</f>
        <v>0</v>
      </c>
      <c r="CB180" s="18">
        <f t="shared" si="17"/>
        <v>0</v>
      </c>
      <c r="CC180" s="18">
        <f>IF($X180="","",AJ180/$X$10)</f>
        <v>0</v>
      </c>
      <c r="CD180" s="18">
        <f>IF($X180="","",AK180/$X$10)</f>
        <v>0</v>
      </c>
      <c r="CE180" s="18">
        <f>IF($X180="","",AL180/$X$10)</f>
        <v>0</v>
      </c>
      <c r="CF180" s="18">
        <f>IF($X180="","",AM180/$X$10)</f>
        <v>0</v>
      </c>
      <c r="CG180" s="18">
        <f>IF($X180="","",AN180/$X$10)</f>
        <v>0</v>
      </c>
      <c r="CH180" s="18">
        <f>IF($X180="","",AO180/$X$10)</f>
        <v>0</v>
      </c>
      <c r="CI180" s="18">
        <f>IF($X180="","",AP180/$X$10)</f>
        <v>0</v>
      </c>
      <c r="CJ180" s="18">
        <f>IF($X180="","",AQ180/$X$10)</f>
        <v>0</v>
      </c>
      <c r="CK180" s="18">
        <f>IF($X180="","",AR180/$X$10)</f>
        <v>0</v>
      </c>
      <c r="CL180" s="18">
        <f>IF($X180="","",AS180/$X$10)</f>
        <v>0</v>
      </c>
      <c r="CM180" s="18">
        <f>IF($X180="","",AT180/$X$10)</f>
        <v>0</v>
      </c>
      <c r="CN180" s="18">
        <f>IF($X180="","",AU180/$X$10)</f>
        <v>0</v>
      </c>
      <c r="CO180" s="18">
        <f>IF($X180="","",AV180/$X$10)</f>
        <v>0</v>
      </c>
      <c r="CP180" s="18">
        <f>IF($X180="","",AW180/$X$10)</f>
        <v>0</v>
      </c>
      <c r="CQ180" s="18">
        <f>IF($X180="","",AX180/$X$10)</f>
        <v>0</v>
      </c>
      <c r="CR180" s="18">
        <f>IF($X180="","",AY180/$X$10)</f>
        <v>0</v>
      </c>
      <c r="CS180" s="18">
        <f>IF($X180="","",AZ180/$X$10)</f>
        <v>0</v>
      </c>
      <c r="CT180" s="18">
        <f>IF($X180="","",BA180/$X$10)</f>
        <v>0</v>
      </c>
      <c r="CU180" s="18">
        <f>IF($X180="","",BB180/$X$10)</f>
        <v>0</v>
      </c>
      <c r="CV180" s="18">
        <f>IF($X180="","",BC180/$X$10)</f>
        <v>0</v>
      </c>
      <c r="CW180" s="18">
        <f>IF($X180="","",BD180/$X$10)</f>
        <v>0</v>
      </c>
      <c r="CX180" s="18">
        <f>IF($X180="","",BE180/$X$10)</f>
        <v>0</v>
      </c>
      <c r="CY180" s="18">
        <f>IF($X180="","",BF180/$X$10)</f>
        <v>0</v>
      </c>
      <c r="CZ180" s="18">
        <f>IF($X180="","",BG180/$X$10)</f>
        <v>0</v>
      </c>
      <c r="DA180" s="18">
        <f>IF($X180="","",BH180/$X$10)</f>
        <v>0</v>
      </c>
      <c r="DB180" s="18">
        <f>IF($X180="","",BI180/$X$10)</f>
        <v>0</v>
      </c>
      <c r="DC180" s="18">
        <f>IF($X180="","",BJ180/$X$10)</f>
        <v>0</v>
      </c>
      <c r="DD180" s="18">
        <f>IF($X180="","",BK180/$X$10)</f>
        <v>0</v>
      </c>
      <c r="DE180" s="18">
        <f>IF($X180="","",BL180/$X$10)</f>
        <v>0</v>
      </c>
      <c r="DF180" s="18">
        <f>IF($X180="","",BM180/$X$10)</f>
        <v>0</v>
      </c>
      <c r="DG180" s="18">
        <f t="shared" si="18"/>
        <v>0</v>
      </c>
      <c r="DH180" s="18">
        <f>IF($X180="","",BO180/$X$10)</f>
        <v>0</v>
      </c>
      <c r="DI180" s="18">
        <f>IF($X180="","",BP180/$X$10)</f>
        <v>0</v>
      </c>
      <c r="DJ180" s="18">
        <f>IF($X180="","",BQ180/$X$10)</f>
        <v>0</v>
      </c>
      <c r="DK180" s="18">
        <f>IF($X180="","",BR180/$X$10)</f>
        <v>0</v>
      </c>
      <c r="DL180" s="18">
        <f>IF($X180="","",BS180/$X$10)</f>
        <v>0</v>
      </c>
      <c r="DM180" s="18">
        <f>IF($X180="","",BT180/$X$10)</f>
        <v>0</v>
      </c>
      <c r="DN180" s="18">
        <f t="shared" si="19"/>
        <v>0</v>
      </c>
      <c r="DO180" s="16">
        <f>IF($X180="","",SUM(Tabla152[[#This Row],[PODRIDO]],Tabla152[[#This Row],[HONGO]],Tabla152[[#This Row],[PICADO DE AVE CON PUDRICIÓN]],Tabla152[[#This Row],[FUMAGINA]])/$X$10)</f>
        <v>0</v>
      </c>
      <c r="DP180" s="16">
        <f>IF($X180="","",SUM(Tabla152[[#This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80" s="16">
        <f>IF($X180="","",SUM(Tabla152[[#This Row],[BLANDO]:[COLAPSADO]])/$X$10)</f>
        <v>0</v>
      </c>
      <c r="DR180" s="16">
        <f>IF($X180="","",SUM(Tabla152[[#This Row],[DESHIDRATADO LEVE]:[DESHIDRATADO INMADURO]])/$X$10)</f>
        <v>0</v>
      </c>
      <c r="DS180" s="18">
        <f t="shared" si="15"/>
        <v>0</v>
      </c>
      <c r="DT180" s="16">
        <f>IF($X180="","",SUM(Tabla152[[#This Row],[PRESENCIA DE LARVA]],Tabla152[[#This Row],[CHANCHITO BLANCO]])/$X$10)</f>
        <v>0</v>
      </c>
      <c r="DU180" s="18">
        <f>IF($X180="","",SUM(Tabla152[[#This Row],[ROJO GRADO 2 A MÁS]],Tabla152[[#This Row],[IMMADURO VERDE]],Tabla152[[#This Row],[DESORDEN POR MADURACIÓN]],Tabla152[[#This Row],[ARO PEDICELAR VERDE EXTREMO]])/$X$10)</f>
        <v>0</v>
      </c>
      <c r="DV180" s="16">
        <f>IF($X180="","",SUM(Tabla152[[#This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80" s="16">
        <f t="shared" si="16"/>
        <v>0</v>
      </c>
      <c r="DX180" s="16">
        <f>IF($X180="","",AJ180/$X$10)</f>
        <v>0</v>
      </c>
      <c r="DY180" s="16">
        <f>IF($X180="","",SUM(Tabla152[[#This Row],[PRESENCIA DE COROLA]],Tabla152[[#This Row],[PRESENCIA DE RESTO FLORAL VERDE]],Tabla152[[#This Row],[PRESENCIA DE PEDÚNCULO]])/$X$10)</f>
        <v>0</v>
      </c>
      <c r="DZ180" s="16">
        <f>IF($X180="","",SUM(Tabla152[[#This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81" spans="1:130" x14ac:dyDescent="0.3">
      <c r="A181" s="9">
        <f>IF(W181="","",IF(ROW()=10,1,IF(W181=W180,A180,MAX($A$9:A180)+1)))</f>
        <v>57</v>
      </c>
      <c r="B181" s="9">
        <f>WEEKNUM(Tabla152[[#This Row],[FECHA DE COSECHA]],21)</f>
        <v>36</v>
      </c>
      <c r="C181" s="9"/>
      <c r="D181" s="17">
        <v>46268</v>
      </c>
      <c r="E181" s="17">
        <v>46268</v>
      </c>
      <c r="F181" s="9">
        <v>1</v>
      </c>
      <c r="G181" s="9" t="s">
        <v>77</v>
      </c>
      <c r="H181" s="9" t="s">
        <v>144</v>
      </c>
      <c r="I181" s="9" t="s">
        <v>188</v>
      </c>
      <c r="J181" s="9" t="s">
        <v>135</v>
      </c>
      <c r="K181" s="9" t="s">
        <v>146</v>
      </c>
      <c r="L181" s="9" t="s">
        <v>131</v>
      </c>
      <c r="M181" s="9" t="s">
        <v>239</v>
      </c>
      <c r="N181" s="9" t="s">
        <v>136</v>
      </c>
      <c r="O181" s="9" t="s">
        <v>137</v>
      </c>
      <c r="P181" s="9" t="s">
        <v>243</v>
      </c>
      <c r="Q181" s="9"/>
      <c r="R181" s="9">
        <v>7</v>
      </c>
      <c r="S181" s="9">
        <v>78114711</v>
      </c>
      <c r="T181" t="s">
        <v>233</v>
      </c>
      <c r="U181" s="9" t="s">
        <v>147</v>
      </c>
      <c r="V181" s="9"/>
      <c r="W181" s="19" t="s">
        <v>182</v>
      </c>
      <c r="X181" s="9">
        <v>62</v>
      </c>
      <c r="Y181" s="9">
        <v>1</v>
      </c>
      <c r="Z181" s="9">
        <v>15</v>
      </c>
      <c r="AA181" s="9" t="str">
        <f>IF(Tabla152[[#This Row],[NOTA]]=15,"CUMPLE","NO CUMPLE")</f>
        <v>CUMPLE</v>
      </c>
      <c r="AB181" s="9" t="str">
        <f>IF(COUNTIF($A$10:A181,A181)=1,IF(COUNTIFS($A:$A,A181,$AA:$AA,"NO CUMPLE")&gt;0,"NO CUMPLE","CUMPLE"),"")</f>
        <v>CUMPLE</v>
      </c>
      <c r="AC181" s="9" t="s">
        <v>140</v>
      </c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18"/>
      <c r="BX181" s="18">
        <f>IF($X181="","",AE181/$X$10)</f>
        <v>0</v>
      </c>
      <c r="BY181" s="18">
        <f>IF($X181="","",AF181/$X$10)</f>
        <v>0</v>
      </c>
      <c r="BZ181" s="18">
        <f>IF($X181="","",AG181/$X$10)</f>
        <v>0</v>
      </c>
      <c r="CA181" s="18">
        <f>IF($X181="","",AH181/$X$10)</f>
        <v>0</v>
      </c>
      <c r="CB181" s="18">
        <f t="shared" si="17"/>
        <v>0</v>
      </c>
      <c r="CC181" s="18">
        <f>IF($X181="","",AJ181/$X$10)</f>
        <v>0</v>
      </c>
      <c r="CD181" s="18">
        <f>IF($X181="","",AK181/$X$10)</f>
        <v>0</v>
      </c>
      <c r="CE181" s="18">
        <f>IF($X181="","",AL181/$X$10)</f>
        <v>0</v>
      </c>
      <c r="CF181" s="18">
        <f>IF($X181="","",AM181/$X$10)</f>
        <v>0</v>
      </c>
      <c r="CG181" s="18">
        <f>IF($X181="","",AN181/$X$10)</f>
        <v>0</v>
      </c>
      <c r="CH181" s="18">
        <f>IF($X181="","",AO181/$X$10)</f>
        <v>0</v>
      </c>
      <c r="CI181" s="18">
        <f>IF($X181="","",AP181/$X$10)</f>
        <v>0</v>
      </c>
      <c r="CJ181" s="18">
        <f>IF($X181="","",AQ181/$X$10)</f>
        <v>0</v>
      </c>
      <c r="CK181" s="18">
        <f>IF($X181="","",AR181/$X$10)</f>
        <v>0</v>
      </c>
      <c r="CL181" s="18">
        <f>IF($X181="","",AS181/$X$10)</f>
        <v>0</v>
      </c>
      <c r="CM181" s="18">
        <f>IF($X181="","",AT181/$X$10)</f>
        <v>0</v>
      </c>
      <c r="CN181" s="18">
        <f>IF($X181="","",AU181/$X$10)</f>
        <v>0</v>
      </c>
      <c r="CO181" s="18">
        <f>IF($X181="","",AV181/$X$10)</f>
        <v>0</v>
      </c>
      <c r="CP181" s="18">
        <f>IF($X181="","",AW181/$X$10)</f>
        <v>0</v>
      </c>
      <c r="CQ181" s="18">
        <f>IF($X181="","",AX181/$X$10)</f>
        <v>0</v>
      </c>
      <c r="CR181" s="18">
        <f>IF($X181="","",AY181/$X$10)</f>
        <v>0</v>
      </c>
      <c r="CS181" s="18">
        <f>IF($X181="","",AZ181/$X$10)</f>
        <v>0</v>
      </c>
      <c r="CT181" s="18">
        <f>IF($X181="","",BA181/$X$10)</f>
        <v>0</v>
      </c>
      <c r="CU181" s="18">
        <f>IF($X181="","",BB181/$X$10)</f>
        <v>0</v>
      </c>
      <c r="CV181" s="18">
        <f>IF($X181="","",BC181/$X$10)</f>
        <v>0</v>
      </c>
      <c r="CW181" s="18">
        <f>IF($X181="","",BD181/$X$10)</f>
        <v>0</v>
      </c>
      <c r="CX181" s="18">
        <f>IF($X181="","",BE181/$X$10)</f>
        <v>0</v>
      </c>
      <c r="CY181" s="18">
        <f>IF($X181="","",BF181/$X$10)</f>
        <v>0</v>
      </c>
      <c r="CZ181" s="18">
        <f>IF($X181="","",BG181/$X$10)</f>
        <v>0</v>
      </c>
      <c r="DA181" s="18">
        <f>IF($X181="","",BH181/$X$10)</f>
        <v>0</v>
      </c>
      <c r="DB181" s="18">
        <f>IF($X181="","",BI181/$X$10)</f>
        <v>0</v>
      </c>
      <c r="DC181" s="18">
        <f>IF($X181="","",BJ181/$X$10)</f>
        <v>0</v>
      </c>
      <c r="DD181" s="18">
        <f>IF($X181="","",BK181/$X$10)</f>
        <v>0</v>
      </c>
      <c r="DE181" s="18">
        <f>IF($X181="","",BL181/$X$10)</f>
        <v>0</v>
      </c>
      <c r="DF181" s="18">
        <f>IF($X181="","",BM181/$X$10)</f>
        <v>0</v>
      </c>
      <c r="DG181" s="18">
        <f t="shared" si="18"/>
        <v>0</v>
      </c>
      <c r="DH181" s="18">
        <f>IF($X181="","",BO181/$X$10)</f>
        <v>0</v>
      </c>
      <c r="DI181" s="18">
        <f>IF($X181="","",BP181/$X$10)</f>
        <v>0</v>
      </c>
      <c r="DJ181" s="18">
        <f>IF($X181="","",BQ181/$X$10)</f>
        <v>0</v>
      </c>
      <c r="DK181" s="18">
        <f>IF($X181="","",BR181/$X$10)</f>
        <v>0</v>
      </c>
      <c r="DL181" s="18">
        <f>IF($X181="","",BS181/$X$10)</f>
        <v>0</v>
      </c>
      <c r="DM181" s="18">
        <f>IF($X181="","",BT181/$X$10)</f>
        <v>0</v>
      </c>
      <c r="DN181" s="18">
        <f t="shared" si="19"/>
        <v>0</v>
      </c>
      <c r="DO181" s="16">
        <f>IF($X181="","",SUM(Tabla152[[#This Row],[PODRIDO]],Tabla152[[#This Row],[HONGO]],Tabla152[[#This Row],[PICADO DE AVE CON PUDRICIÓN]],Tabla152[[#This Row],[FUMAGINA]])/$X$10)</f>
        <v>0</v>
      </c>
      <c r="DP181" s="16">
        <f>IF($X181="","",SUM(Tabla152[[#This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81" s="16">
        <f>IF($X181="","",SUM(Tabla152[[#This Row],[BLANDO]:[COLAPSADO]])/$X$10)</f>
        <v>0</v>
      </c>
      <c r="DR181" s="16">
        <f>IF($X181="","",SUM(Tabla152[[#This Row],[DESHIDRATADO LEVE]:[DESHIDRATADO INMADURO]])/$X$10)</f>
        <v>0</v>
      </c>
      <c r="DS181" s="18">
        <f t="shared" si="15"/>
        <v>0</v>
      </c>
      <c r="DT181" s="16">
        <f>IF($X181="","",SUM(Tabla152[[#This Row],[PRESENCIA DE LARVA]],Tabla152[[#This Row],[CHANCHITO BLANCO]])/$X$10)</f>
        <v>0</v>
      </c>
      <c r="DU181" s="18">
        <f>IF($X181="","",SUM(Tabla152[[#This Row],[ROJO GRADO 2 A MÁS]],Tabla152[[#This Row],[IMMADURO VERDE]],Tabla152[[#This Row],[DESORDEN POR MADURACIÓN]],Tabla152[[#This Row],[ARO PEDICELAR VERDE EXTREMO]])/$X$10)</f>
        <v>0</v>
      </c>
      <c r="DV181" s="16">
        <f>IF($X181="","",SUM(Tabla152[[#This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81" s="16">
        <f t="shared" si="16"/>
        <v>0</v>
      </c>
      <c r="DX181" s="16">
        <f>IF($X181="","",AJ181/$X$10)</f>
        <v>0</v>
      </c>
      <c r="DY181" s="16">
        <f>IF($X181="","",SUM(Tabla152[[#This Row],[PRESENCIA DE COROLA]],Tabla152[[#This Row],[PRESENCIA DE RESTO FLORAL VERDE]],Tabla152[[#This Row],[PRESENCIA DE PEDÚNCULO]])/$X$10)</f>
        <v>0</v>
      </c>
      <c r="DZ181" s="16">
        <f>IF($X181="","",SUM(Tabla152[[#This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82" spans="1:130" x14ac:dyDescent="0.3">
      <c r="A182" s="9">
        <f>IF(W182="","",IF(ROW()=10,1,IF(W182=W181,A181,MAX($A$9:A181)+1)))</f>
        <v>57</v>
      </c>
      <c r="B182" s="9">
        <f>WEEKNUM(Tabla152[[#This Row],[FECHA DE COSECHA]],21)</f>
        <v>36</v>
      </c>
      <c r="C182" s="9"/>
      <c r="D182" s="17">
        <v>46268</v>
      </c>
      <c r="E182" s="17">
        <v>46268</v>
      </c>
      <c r="F182" s="9">
        <v>1</v>
      </c>
      <c r="G182" s="9" t="s">
        <v>77</v>
      </c>
      <c r="H182" s="9" t="s">
        <v>144</v>
      </c>
      <c r="I182" s="9" t="s">
        <v>188</v>
      </c>
      <c r="J182" s="9" t="s">
        <v>135</v>
      </c>
      <c r="K182" s="9" t="s">
        <v>146</v>
      </c>
      <c r="L182" s="9" t="s">
        <v>131</v>
      </c>
      <c r="M182" s="9" t="s">
        <v>239</v>
      </c>
      <c r="N182" s="9" t="s">
        <v>136</v>
      </c>
      <c r="O182" s="9" t="s">
        <v>137</v>
      </c>
      <c r="P182" s="9" t="s">
        <v>243</v>
      </c>
      <c r="Q182" s="9"/>
      <c r="R182" s="9">
        <v>7</v>
      </c>
      <c r="S182" s="9">
        <v>78114711</v>
      </c>
      <c r="T182" t="s">
        <v>233</v>
      </c>
      <c r="U182" s="9" t="s">
        <v>147</v>
      </c>
      <c r="V182" s="9"/>
      <c r="W182" s="19" t="s">
        <v>182</v>
      </c>
      <c r="X182" s="9">
        <v>62</v>
      </c>
      <c r="Y182" s="9">
        <v>2</v>
      </c>
      <c r="Z182" s="9">
        <v>15</v>
      </c>
      <c r="AA182" s="9" t="str">
        <f>IF(Tabla152[[#This Row],[NOTA]]=15,"CUMPLE","NO CUMPLE")</f>
        <v>CUMPLE</v>
      </c>
      <c r="AB182" s="9" t="str">
        <f>IF(COUNTIF($A$10:A182,A182)=1,IF(COUNTIFS($A:$A,A182,$AA:$AA,"NO CUMPLE")&gt;0,"NO CUMPLE","CUMPLE"),"")</f>
        <v/>
      </c>
      <c r="AC182" s="9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18"/>
      <c r="BX182" s="18">
        <f>IF($X182="","",AE182/$X$10)</f>
        <v>0</v>
      </c>
      <c r="BY182" s="18">
        <f>IF($X182="","",AF182/$X$10)</f>
        <v>0</v>
      </c>
      <c r="BZ182" s="18">
        <f>IF($X182="","",AG182/$X$10)</f>
        <v>0</v>
      </c>
      <c r="CA182" s="18">
        <f>IF($X182="","",AH182/$X$10)</f>
        <v>0</v>
      </c>
      <c r="CB182" s="18">
        <f t="shared" si="17"/>
        <v>0</v>
      </c>
      <c r="CC182" s="18">
        <f>IF($X182="","",AJ182/$X$10)</f>
        <v>0</v>
      </c>
      <c r="CD182" s="18">
        <f>IF($X182="","",AK182/$X$10)</f>
        <v>0</v>
      </c>
      <c r="CE182" s="18">
        <f>IF($X182="","",AL182/$X$10)</f>
        <v>0</v>
      </c>
      <c r="CF182" s="18">
        <f>IF($X182="","",AM182/$X$10)</f>
        <v>0</v>
      </c>
      <c r="CG182" s="18">
        <f>IF($X182="","",AN182/$X$10)</f>
        <v>0</v>
      </c>
      <c r="CH182" s="18">
        <f>IF($X182="","",AO182/$X$10)</f>
        <v>0</v>
      </c>
      <c r="CI182" s="18">
        <f>IF($X182="","",AP182/$X$10)</f>
        <v>0</v>
      </c>
      <c r="CJ182" s="18">
        <f>IF($X182="","",AQ182/$X$10)</f>
        <v>0</v>
      </c>
      <c r="CK182" s="18">
        <f>IF($X182="","",AR182/$X$10)</f>
        <v>0</v>
      </c>
      <c r="CL182" s="18">
        <f>IF($X182="","",AS182/$X$10)</f>
        <v>0</v>
      </c>
      <c r="CM182" s="18">
        <f>IF($X182="","",AT182/$X$10)</f>
        <v>0</v>
      </c>
      <c r="CN182" s="18">
        <f>IF($X182="","",AU182/$X$10)</f>
        <v>0</v>
      </c>
      <c r="CO182" s="18">
        <f>IF($X182="","",AV182/$X$10)</f>
        <v>0</v>
      </c>
      <c r="CP182" s="18">
        <f>IF($X182="","",AW182/$X$10)</f>
        <v>0</v>
      </c>
      <c r="CQ182" s="18">
        <f>IF($X182="","",AX182/$X$10)</f>
        <v>0</v>
      </c>
      <c r="CR182" s="18">
        <f>IF($X182="","",AY182/$X$10)</f>
        <v>0</v>
      </c>
      <c r="CS182" s="18">
        <f>IF($X182="","",AZ182/$X$10)</f>
        <v>0</v>
      </c>
      <c r="CT182" s="18">
        <f>IF($X182="","",BA182/$X$10)</f>
        <v>0</v>
      </c>
      <c r="CU182" s="18">
        <f>IF($X182="","",BB182/$X$10)</f>
        <v>0</v>
      </c>
      <c r="CV182" s="18">
        <f>IF($X182="","",BC182/$X$10)</f>
        <v>0</v>
      </c>
      <c r="CW182" s="18">
        <f>IF($X182="","",BD182/$X$10)</f>
        <v>0</v>
      </c>
      <c r="CX182" s="18">
        <f>IF($X182="","",BE182/$X$10)</f>
        <v>0</v>
      </c>
      <c r="CY182" s="18">
        <f>IF($X182="","",BF182/$X$10)</f>
        <v>0</v>
      </c>
      <c r="CZ182" s="18">
        <f>IF($X182="","",BG182/$X$10)</f>
        <v>0</v>
      </c>
      <c r="DA182" s="18">
        <f>IF($X182="","",BH182/$X$10)</f>
        <v>0</v>
      </c>
      <c r="DB182" s="18">
        <f>IF($X182="","",BI182/$X$10)</f>
        <v>0</v>
      </c>
      <c r="DC182" s="18">
        <f>IF($X182="","",BJ182/$X$10)</f>
        <v>0</v>
      </c>
      <c r="DD182" s="18">
        <f>IF($X182="","",BK182/$X$10)</f>
        <v>0</v>
      </c>
      <c r="DE182" s="18">
        <f>IF($X182="","",BL182/$X$10)</f>
        <v>0</v>
      </c>
      <c r="DF182" s="18">
        <f>IF($X182="","",BM182/$X$10)</f>
        <v>0</v>
      </c>
      <c r="DG182" s="18">
        <f t="shared" si="18"/>
        <v>0</v>
      </c>
      <c r="DH182" s="18">
        <f>IF($X182="","",BO182/$X$10)</f>
        <v>0</v>
      </c>
      <c r="DI182" s="18">
        <f>IF($X182="","",BP182/$X$10)</f>
        <v>0</v>
      </c>
      <c r="DJ182" s="18">
        <f>IF($X182="","",BQ182/$X$10)</f>
        <v>0</v>
      </c>
      <c r="DK182" s="18">
        <f>IF($X182="","",BR182/$X$10)</f>
        <v>0</v>
      </c>
      <c r="DL182" s="18">
        <f>IF($X182="","",BS182/$X$10)</f>
        <v>0</v>
      </c>
      <c r="DM182" s="18">
        <f>IF($X182="","",BT182/$X$10)</f>
        <v>0</v>
      </c>
      <c r="DN182" s="18">
        <f t="shared" si="19"/>
        <v>0</v>
      </c>
      <c r="DO182" s="16">
        <f>IF($X182="","",SUM(Tabla152[[#This Row],[PODRIDO]],Tabla152[[#This Row],[HONGO]],Tabla152[[#This Row],[PICADO DE AVE CON PUDRICIÓN]],Tabla152[[#This Row],[FUMAGINA]])/$X$10)</f>
        <v>0</v>
      </c>
      <c r="DP182" s="16">
        <f>IF($X182="","",SUM(Tabla152[[#This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82" s="16">
        <f>IF($X182="","",SUM(Tabla152[[#This Row],[BLANDO]:[COLAPSADO]])/$X$10)</f>
        <v>0</v>
      </c>
      <c r="DR182" s="16">
        <f>IF($X182="","",SUM(Tabla152[[#This Row],[DESHIDRATADO LEVE]:[DESHIDRATADO INMADURO]])/$X$10)</f>
        <v>0</v>
      </c>
      <c r="DS182" s="18">
        <f t="shared" si="15"/>
        <v>0</v>
      </c>
      <c r="DT182" s="16">
        <f>IF($X182="","",SUM(Tabla152[[#This Row],[PRESENCIA DE LARVA]],Tabla152[[#This Row],[CHANCHITO BLANCO]])/$X$10)</f>
        <v>0</v>
      </c>
      <c r="DU182" s="18">
        <f>IF($X182="","",SUM(Tabla152[[#This Row],[ROJO GRADO 2 A MÁS]],Tabla152[[#This Row],[IMMADURO VERDE]],Tabla152[[#This Row],[DESORDEN POR MADURACIÓN]],Tabla152[[#This Row],[ARO PEDICELAR VERDE EXTREMO]])/$X$10)</f>
        <v>0</v>
      </c>
      <c r="DV182" s="16">
        <f>IF($X182="","",SUM(Tabla152[[#This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82" s="16">
        <f t="shared" si="16"/>
        <v>0</v>
      </c>
      <c r="DX182" s="16">
        <f>IF($X182="","",AJ182/$X$10)</f>
        <v>0</v>
      </c>
      <c r="DY182" s="16">
        <f>IF($X182="","",SUM(Tabla152[[#This Row],[PRESENCIA DE COROLA]],Tabla152[[#This Row],[PRESENCIA DE RESTO FLORAL VERDE]],Tabla152[[#This Row],[PRESENCIA DE PEDÚNCULO]])/$X$10)</f>
        <v>0</v>
      </c>
      <c r="DZ182" s="16">
        <f>IF($X182="","",SUM(Tabla152[[#This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83" spans="1:130" x14ac:dyDescent="0.3">
      <c r="A183" s="9">
        <f>IF(W183="","",IF(ROW()=10,1,IF(W183=W182,A182,MAX($A$9:A182)+1)))</f>
        <v>57</v>
      </c>
      <c r="B183" s="9">
        <f>WEEKNUM(Tabla152[[#This Row],[FECHA DE COSECHA]],21)</f>
        <v>36</v>
      </c>
      <c r="C183" s="9"/>
      <c r="D183" s="17">
        <v>46268</v>
      </c>
      <c r="E183" s="17">
        <v>46268</v>
      </c>
      <c r="F183" s="9">
        <v>1</v>
      </c>
      <c r="G183" s="9" t="s">
        <v>77</v>
      </c>
      <c r="H183" s="9" t="s">
        <v>144</v>
      </c>
      <c r="I183" s="9" t="s">
        <v>188</v>
      </c>
      <c r="J183" s="9" t="s">
        <v>135</v>
      </c>
      <c r="K183" s="9" t="s">
        <v>146</v>
      </c>
      <c r="L183" s="9" t="s">
        <v>131</v>
      </c>
      <c r="M183" s="9" t="s">
        <v>239</v>
      </c>
      <c r="N183" s="9" t="s">
        <v>136</v>
      </c>
      <c r="O183" s="9" t="s">
        <v>137</v>
      </c>
      <c r="P183" s="9" t="s">
        <v>243</v>
      </c>
      <c r="Q183" s="9"/>
      <c r="R183" s="9">
        <v>7</v>
      </c>
      <c r="S183" s="9">
        <v>78114711</v>
      </c>
      <c r="T183" t="s">
        <v>233</v>
      </c>
      <c r="U183" s="9" t="s">
        <v>147</v>
      </c>
      <c r="V183" s="9"/>
      <c r="W183" s="19" t="s">
        <v>182</v>
      </c>
      <c r="X183" s="9">
        <v>62</v>
      </c>
      <c r="Y183" s="9">
        <v>3</v>
      </c>
      <c r="Z183" s="9">
        <v>15</v>
      </c>
      <c r="AA183" s="9" t="str">
        <f>IF(Tabla152[[#This Row],[NOTA]]=15,"CUMPLE","NO CUMPLE")</f>
        <v>CUMPLE</v>
      </c>
      <c r="AB183" s="9" t="str">
        <f>IF(COUNTIF($A$10:A183,A183)=1,IF(COUNTIFS($A:$A,A183,$AA:$AA,"NO CUMPLE")&gt;0,"NO CUMPLE","CUMPLE"),"")</f>
        <v/>
      </c>
      <c r="AC183" s="9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18"/>
      <c r="BX183" s="18">
        <f>IF($X183="","",AE183/$X$10)</f>
        <v>0</v>
      </c>
      <c r="BY183" s="18">
        <f>IF($X183="","",AF183/$X$10)</f>
        <v>0</v>
      </c>
      <c r="BZ183" s="18">
        <f>IF($X183="","",AG183/$X$10)</f>
        <v>0</v>
      </c>
      <c r="CA183" s="18">
        <f>IF($X183="","",AH183/$X$10)</f>
        <v>0</v>
      </c>
      <c r="CB183" s="18">
        <f t="shared" si="17"/>
        <v>0</v>
      </c>
      <c r="CC183" s="18">
        <f>IF($X183="","",AJ183/$X$10)</f>
        <v>0</v>
      </c>
      <c r="CD183" s="18">
        <f>IF($X183="","",AK183/$X$10)</f>
        <v>0</v>
      </c>
      <c r="CE183" s="18">
        <f>IF($X183="","",AL183/$X$10)</f>
        <v>0</v>
      </c>
      <c r="CF183" s="18">
        <f>IF($X183="","",AM183/$X$10)</f>
        <v>0</v>
      </c>
      <c r="CG183" s="18">
        <f>IF($X183="","",AN183/$X$10)</f>
        <v>0</v>
      </c>
      <c r="CH183" s="18">
        <f>IF($X183="","",AO183/$X$10)</f>
        <v>0</v>
      </c>
      <c r="CI183" s="18">
        <f>IF($X183="","",AP183/$X$10)</f>
        <v>0</v>
      </c>
      <c r="CJ183" s="18">
        <f>IF($X183="","",AQ183/$X$10)</f>
        <v>0</v>
      </c>
      <c r="CK183" s="18">
        <f>IF($X183="","",AR183/$X$10)</f>
        <v>0</v>
      </c>
      <c r="CL183" s="18">
        <f>IF($X183="","",AS183/$X$10)</f>
        <v>0</v>
      </c>
      <c r="CM183" s="18">
        <f>IF($X183="","",AT183/$X$10)</f>
        <v>0</v>
      </c>
      <c r="CN183" s="18">
        <f>IF($X183="","",AU183/$X$10)</f>
        <v>0</v>
      </c>
      <c r="CO183" s="18">
        <f>IF($X183="","",AV183/$X$10)</f>
        <v>0</v>
      </c>
      <c r="CP183" s="18">
        <f>IF($X183="","",AW183/$X$10)</f>
        <v>0</v>
      </c>
      <c r="CQ183" s="18">
        <f>IF($X183="","",AX183/$X$10)</f>
        <v>0</v>
      </c>
      <c r="CR183" s="18">
        <f>IF($X183="","",AY183/$X$10)</f>
        <v>0</v>
      </c>
      <c r="CS183" s="18">
        <f>IF($X183="","",AZ183/$X$10)</f>
        <v>0</v>
      </c>
      <c r="CT183" s="18">
        <f>IF($X183="","",BA183/$X$10)</f>
        <v>0</v>
      </c>
      <c r="CU183" s="18">
        <f>IF($X183="","",BB183/$X$10)</f>
        <v>0</v>
      </c>
      <c r="CV183" s="18">
        <f>IF($X183="","",BC183/$X$10)</f>
        <v>0</v>
      </c>
      <c r="CW183" s="18">
        <f>IF($X183="","",BD183/$X$10)</f>
        <v>0</v>
      </c>
      <c r="CX183" s="18">
        <f>IF($X183="","",BE183/$X$10)</f>
        <v>0</v>
      </c>
      <c r="CY183" s="18">
        <f>IF($X183="","",BF183/$X$10)</f>
        <v>0</v>
      </c>
      <c r="CZ183" s="18">
        <f>IF($X183="","",BG183/$X$10)</f>
        <v>0</v>
      </c>
      <c r="DA183" s="18">
        <f>IF($X183="","",BH183/$X$10)</f>
        <v>0</v>
      </c>
      <c r="DB183" s="18">
        <f>IF($X183="","",BI183/$X$10)</f>
        <v>0</v>
      </c>
      <c r="DC183" s="18">
        <f>IF($X183="","",BJ183/$X$10)</f>
        <v>0</v>
      </c>
      <c r="DD183" s="18">
        <f>IF($X183="","",BK183/$X$10)</f>
        <v>0</v>
      </c>
      <c r="DE183" s="18">
        <f>IF($X183="","",BL183/$X$10)</f>
        <v>0</v>
      </c>
      <c r="DF183" s="18">
        <f>IF($X183="","",BM183/$X$10)</f>
        <v>0</v>
      </c>
      <c r="DG183" s="18">
        <f t="shared" si="18"/>
        <v>0</v>
      </c>
      <c r="DH183" s="18">
        <f>IF($X183="","",BO183/$X$10)</f>
        <v>0</v>
      </c>
      <c r="DI183" s="18">
        <f>IF($X183="","",BP183/$X$10)</f>
        <v>0</v>
      </c>
      <c r="DJ183" s="18">
        <f>IF($X183="","",BQ183/$X$10)</f>
        <v>0</v>
      </c>
      <c r="DK183" s="18">
        <f>IF($X183="","",BR183/$X$10)</f>
        <v>0</v>
      </c>
      <c r="DL183" s="18">
        <f>IF($X183="","",BS183/$X$10)</f>
        <v>0</v>
      </c>
      <c r="DM183" s="18">
        <f>IF($X183="","",BT183/$X$10)</f>
        <v>0</v>
      </c>
      <c r="DN183" s="18">
        <f t="shared" si="19"/>
        <v>0</v>
      </c>
      <c r="DO183" s="16">
        <f>IF($X183="","",SUM(Tabla152[[#This Row],[PODRIDO]],Tabla152[[#This Row],[HONGO]],Tabla152[[#This Row],[PICADO DE AVE CON PUDRICIÓN]],Tabla152[[#This Row],[FUMAGINA]])/$X$10)</f>
        <v>0</v>
      </c>
      <c r="DP183" s="16">
        <f>IF($X183="","",SUM(Tabla152[[#This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83" s="16">
        <f>IF($X183="","",SUM(Tabla152[[#This Row],[BLANDO]:[COLAPSADO]])/$X$10)</f>
        <v>0</v>
      </c>
      <c r="DR183" s="16">
        <f>IF($X183="","",SUM(Tabla152[[#This Row],[DESHIDRATADO LEVE]:[DESHIDRATADO INMADURO]])/$X$10)</f>
        <v>0</v>
      </c>
      <c r="DS183" s="18">
        <f t="shared" si="15"/>
        <v>0</v>
      </c>
      <c r="DT183" s="16">
        <f>IF($X183="","",SUM(Tabla152[[#This Row],[PRESENCIA DE LARVA]],Tabla152[[#This Row],[CHANCHITO BLANCO]])/$X$10)</f>
        <v>0</v>
      </c>
      <c r="DU183" s="18">
        <f>IF($X183="","",SUM(Tabla152[[#This Row],[ROJO GRADO 2 A MÁS]],Tabla152[[#This Row],[IMMADURO VERDE]],Tabla152[[#This Row],[DESORDEN POR MADURACIÓN]],Tabla152[[#This Row],[ARO PEDICELAR VERDE EXTREMO]])/$X$10)</f>
        <v>0</v>
      </c>
      <c r="DV183" s="16">
        <f>IF($X183="","",SUM(Tabla152[[#This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83" s="16">
        <f t="shared" si="16"/>
        <v>0</v>
      </c>
      <c r="DX183" s="16">
        <f>IF($X183="","",AJ183/$X$10)</f>
        <v>0</v>
      </c>
      <c r="DY183" s="16">
        <f>IF($X183="","",SUM(Tabla152[[#This Row],[PRESENCIA DE COROLA]],Tabla152[[#This Row],[PRESENCIA DE RESTO FLORAL VERDE]],Tabla152[[#This Row],[PRESENCIA DE PEDÚNCULO]])/$X$10)</f>
        <v>0</v>
      </c>
      <c r="DZ183" s="16">
        <f>IF($X183="","",SUM(Tabla152[[#This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84" spans="1:130" x14ac:dyDescent="0.3">
      <c r="A184" s="9">
        <f>IF(W184="","",IF(ROW()=10,1,IF(W184=W183,A183,MAX($A$9:A183)+1)))</f>
        <v>58</v>
      </c>
      <c r="B184" s="9">
        <f>WEEKNUM(Tabla152[[#This Row],[FECHA DE COSECHA]],21)</f>
        <v>36</v>
      </c>
      <c r="C184" s="9"/>
      <c r="D184" s="17">
        <v>46268</v>
      </c>
      <c r="E184" s="17">
        <v>46268</v>
      </c>
      <c r="F184" s="9">
        <v>1</v>
      </c>
      <c r="G184" s="9" t="s">
        <v>77</v>
      </c>
      <c r="H184" s="9" t="s">
        <v>144</v>
      </c>
      <c r="I184" s="9" t="s">
        <v>188</v>
      </c>
      <c r="J184" s="9" t="s">
        <v>135</v>
      </c>
      <c r="K184" s="9" t="s">
        <v>146</v>
      </c>
      <c r="L184" s="9" t="s">
        <v>131</v>
      </c>
      <c r="M184" s="9" t="s">
        <v>239</v>
      </c>
      <c r="N184" s="9" t="s">
        <v>136</v>
      </c>
      <c r="O184" s="9" t="s">
        <v>137</v>
      </c>
      <c r="P184" s="9" t="s">
        <v>243</v>
      </c>
      <c r="Q184" s="9"/>
      <c r="R184" s="9">
        <v>7</v>
      </c>
      <c r="S184" s="9">
        <v>78114711</v>
      </c>
      <c r="T184" t="s">
        <v>233</v>
      </c>
      <c r="U184" s="9" t="s">
        <v>147</v>
      </c>
      <c r="V184" s="9"/>
      <c r="W184" s="19" t="s">
        <v>149</v>
      </c>
      <c r="X184" s="9">
        <v>62</v>
      </c>
      <c r="Y184" s="9">
        <v>1</v>
      </c>
      <c r="Z184" s="9">
        <v>15</v>
      </c>
      <c r="AA184" s="9" t="str">
        <f>IF(Tabla152[[#This Row],[NOTA]]=15,"CUMPLE","NO CUMPLE")</f>
        <v>CUMPLE</v>
      </c>
      <c r="AB184" s="9" t="str">
        <f>IF(COUNTIF($A$10:A184,A184)=1,IF(COUNTIFS($A:$A,A184,$AA:$AA,"NO CUMPLE")&gt;0,"NO CUMPLE","CUMPLE"),"")</f>
        <v>CUMPLE</v>
      </c>
      <c r="AC184" s="9" t="s">
        <v>140</v>
      </c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18"/>
      <c r="BX184" s="18">
        <f>IF($X184="","",AE184/$X$10)</f>
        <v>0</v>
      </c>
      <c r="BY184" s="18">
        <f>IF($X184="","",AF184/$X$10)</f>
        <v>0</v>
      </c>
      <c r="BZ184" s="18">
        <f>IF($X184="","",AG184/$X$10)</f>
        <v>0</v>
      </c>
      <c r="CA184" s="18">
        <f>IF($X184="","",AH184/$X$10)</f>
        <v>0</v>
      </c>
      <c r="CB184" s="18">
        <f t="shared" si="17"/>
        <v>0</v>
      </c>
      <c r="CC184" s="18">
        <f>IF($X184="","",AJ184/$X$10)</f>
        <v>0</v>
      </c>
      <c r="CD184" s="18">
        <f>IF($X184="","",AK184/$X$10)</f>
        <v>0</v>
      </c>
      <c r="CE184" s="18">
        <f>IF($X184="","",AL184/$X$10)</f>
        <v>0</v>
      </c>
      <c r="CF184" s="18">
        <f>IF($X184="","",AM184/$X$10)</f>
        <v>0</v>
      </c>
      <c r="CG184" s="18">
        <f>IF($X184="","",AN184/$X$10)</f>
        <v>0</v>
      </c>
      <c r="CH184" s="18">
        <f>IF($X184="","",AO184/$X$10)</f>
        <v>0</v>
      </c>
      <c r="CI184" s="18">
        <f>IF($X184="","",AP184/$X$10)</f>
        <v>0</v>
      </c>
      <c r="CJ184" s="18">
        <f>IF($X184="","",AQ184/$X$10)</f>
        <v>0</v>
      </c>
      <c r="CK184" s="18">
        <f>IF($X184="","",AR184/$X$10)</f>
        <v>0</v>
      </c>
      <c r="CL184" s="18">
        <f>IF($X184="","",AS184/$X$10)</f>
        <v>0</v>
      </c>
      <c r="CM184" s="18">
        <f>IF($X184="","",AT184/$X$10)</f>
        <v>0</v>
      </c>
      <c r="CN184" s="18">
        <f>IF($X184="","",AU184/$X$10)</f>
        <v>0</v>
      </c>
      <c r="CO184" s="18">
        <f>IF($X184="","",AV184/$X$10)</f>
        <v>0</v>
      </c>
      <c r="CP184" s="18">
        <f>IF($X184="","",AW184/$X$10)</f>
        <v>0</v>
      </c>
      <c r="CQ184" s="18">
        <f>IF($X184="","",AX184/$X$10)</f>
        <v>0</v>
      </c>
      <c r="CR184" s="18">
        <f>IF($X184="","",AY184/$X$10)</f>
        <v>0</v>
      </c>
      <c r="CS184" s="18">
        <f>IF($X184="","",AZ184/$X$10)</f>
        <v>0</v>
      </c>
      <c r="CT184" s="18">
        <f>IF($X184="","",BA184/$X$10)</f>
        <v>0</v>
      </c>
      <c r="CU184" s="18">
        <f>IF($X184="","",BB184/$X$10)</f>
        <v>0</v>
      </c>
      <c r="CV184" s="18">
        <f>IF($X184="","",BC184/$X$10)</f>
        <v>0</v>
      </c>
      <c r="CW184" s="18">
        <f>IF($X184="","",BD184/$X$10)</f>
        <v>0</v>
      </c>
      <c r="CX184" s="18">
        <f>IF($X184="","",BE184/$X$10)</f>
        <v>0</v>
      </c>
      <c r="CY184" s="18">
        <f>IF($X184="","",BF184/$X$10)</f>
        <v>0</v>
      </c>
      <c r="CZ184" s="18">
        <f>IF($X184="","",BG184/$X$10)</f>
        <v>0</v>
      </c>
      <c r="DA184" s="18">
        <f>IF($X184="","",BH184/$X$10)</f>
        <v>0</v>
      </c>
      <c r="DB184" s="18">
        <f>IF($X184="","",BI184/$X$10)</f>
        <v>0</v>
      </c>
      <c r="DC184" s="18">
        <f>IF($X184="","",BJ184/$X$10)</f>
        <v>0</v>
      </c>
      <c r="DD184" s="18">
        <f>IF($X184="","",BK184/$X$10)</f>
        <v>0</v>
      </c>
      <c r="DE184" s="18">
        <f>IF($X184="","",BL184/$X$10)</f>
        <v>0</v>
      </c>
      <c r="DF184" s="18">
        <f>IF($X184="","",BM184/$X$10)</f>
        <v>0</v>
      </c>
      <c r="DG184" s="18">
        <f t="shared" si="18"/>
        <v>0</v>
      </c>
      <c r="DH184" s="18">
        <f>IF($X184="","",BO184/$X$10)</f>
        <v>0</v>
      </c>
      <c r="DI184" s="18">
        <f>IF($X184="","",BP184/$X$10)</f>
        <v>0</v>
      </c>
      <c r="DJ184" s="18">
        <f>IF($X184="","",BQ184/$X$10)</f>
        <v>0</v>
      </c>
      <c r="DK184" s="18">
        <f>IF($X184="","",BR184/$X$10)</f>
        <v>0</v>
      </c>
      <c r="DL184" s="18">
        <f>IF($X184="","",BS184/$X$10)</f>
        <v>0</v>
      </c>
      <c r="DM184" s="18">
        <f>IF($X184="","",BT184/$X$10)</f>
        <v>0</v>
      </c>
      <c r="DN184" s="18">
        <f t="shared" si="19"/>
        <v>0</v>
      </c>
      <c r="DO184" s="16">
        <f>IF($X184="","",SUM(Tabla152[[#This Row],[PODRIDO]],Tabla152[[#This Row],[HONGO]],Tabla152[[#This Row],[PICADO DE AVE CON PUDRICIÓN]],Tabla152[[#This Row],[FUMAGINA]])/$X$10)</f>
        <v>0</v>
      </c>
      <c r="DP184" s="16">
        <f>IF($X184="","",SUM(Tabla152[[#This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84" s="16">
        <f>IF($X184="","",SUM(Tabla152[[#This Row],[BLANDO]:[COLAPSADO]])/$X$10)</f>
        <v>0</v>
      </c>
      <c r="DR184" s="16">
        <f>IF($X184="","",SUM(Tabla152[[#This Row],[DESHIDRATADO LEVE]:[DESHIDRATADO INMADURO]])/$X$10)</f>
        <v>0</v>
      </c>
      <c r="DS184" s="18">
        <f t="shared" si="15"/>
        <v>0</v>
      </c>
      <c r="DT184" s="16">
        <f>IF($X184="","",SUM(Tabla152[[#This Row],[PRESENCIA DE LARVA]],Tabla152[[#This Row],[CHANCHITO BLANCO]])/$X$10)</f>
        <v>0</v>
      </c>
      <c r="DU184" s="18">
        <f>IF($X184="","",SUM(Tabla152[[#This Row],[ROJO GRADO 2 A MÁS]],Tabla152[[#This Row],[IMMADURO VERDE]],Tabla152[[#This Row],[DESORDEN POR MADURACIÓN]],Tabla152[[#This Row],[ARO PEDICELAR VERDE EXTREMO]])/$X$10)</f>
        <v>0</v>
      </c>
      <c r="DV184" s="16">
        <f>IF($X184="","",SUM(Tabla152[[#This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84" s="16">
        <f t="shared" si="16"/>
        <v>0</v>
      </c>
      <c r="DX184" s="16">
        <f>IF($X184="","",AJ184/$X$10)</f>
        <v>0</v>
      </c>
      <c r="DY184" s="16">
        <f>IF($X184="","",SUM(Tabla152[[#This Row],[PRESENCIA DE COROLA]],Tabla152[[#This Row],[PRESENCIA DE RESTO FLORAL VERDE]],Tabla152[[#This Row],[PRESENCIA DE PEDÚNCULO]])/$X$10)</f>
        <v>0</v>
      </c>
      <c r="DZ184" s="16">
        <f>IF($X184="","",SUM(Tabla152[[#This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85" spans="1:130" x14ac:dyDescent="0.3">
      <c r="A185" s="9">
        <f>IF(W185="","",IF(ROW()=10,1,IF(W185=W184,A184,MAX($A$9:A184)+1)))</f>
        <v>58</v>
      </c>
      <c r="B185" s="9">
        <f>WEEKNUM(Tabla152[[#This Row],[FECHA DE COSECHA]],21)</f>
        <v>36</v>
      </c>
      <c r="C185" s="9"/>
      <c r="D185" s="17">
        <v>46268</v>
      </c>
      <c r="E185" s="17">
        <v>46268</v>
      </c>
      <c r="F185" s="9">
        <v>1</v>
      </c>
      <c r="G185" s="9" t="s">
        <v>77</v>
      </c>
      <c r="H185" s="9" t="s">
        <v>144</v>
      </c>
      <c r="I185" s="9" t="s">
        <v>188</v>
      </c>
      <c r="J185" s="9" t="s">
        <v>135</v>
      </c>
      <c r="K185" s="9" t="s">
        <v>146</v>
      </c>
      <c r="L185" s="9" t="s">
        <v>131</v>
      </c>
      <c r="M185" s="9" t="s">
        <v>239</v>
      </c>
      <c r="N185" s="9" t="s">
        <v>136</v>
      </c>
      <c r="O185" s="9" t="s">
        <v>137</v>
      </c>
      <c r="P185" s="9" t="s">
        <v>243</v>
      </c>
      <c r="Q185" s="9"/>
      <c r="R185" s="9">
        <v>7</v>
      </c>
      <c r="S185" s="9">
        <v>78114711</v>
      </c>
      <c r="T185" t="s">
        <v>233</v>
      </c>
      <c r="U185" s="9" t="s">
        <v>147</v>
      </c>
      <c r="V185" s="9"/>
      <c r="W185" s="19" t="s">
        <v>149</v>
      </c>
      <c r="X185" s="9">
        <v>62</v>
      </c>
      <c r="Y185" s="9">
        <v>2</v>
      </c>
      <c r="Z185" s="9">
        <v>15</v>
      </c>
      <c r="AA185" s="9" t="str">
        <f>IF(Tabla152[[#This Row],[NOTA]]=15,"CUMPLE","NO CUMPLE")</f>
        <v>CUMPLE</v>
      </c>
      <c r="AB185" s="9" t="str">
        <f>IF(COUNTIF($A$10:A185,A185)=1,IF(COUNTIFS($A:$A,A185,$AA:$AA,"NO CUMPLE")&gt;0,"NO CUMPLE","CUMPLE"),"")</f>
        <v/>
      </c>
      <c r="AC185" s="9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18"/>
      <c r="BX185" s="18">
        <f>IF($X185="","",AE185/$X$10)</f>
        <v>0</v>
      </c>
      <c r="BY185" s="18">
        <f>IF($X185="","",AF185/$X$10)</f>
        <v>0</v>
      </c>
      <c r="BZ185" s="18">
        <f>IF($X185="","",AG185/$X$10)</f>
        <v>0</v>
      </c>
      <c r="CA185" s="18">
        <f>IF($X185="","",AH185/$X$10)</f>
        <v>0</v>
      </c>
      <c r="CB185" s="18">
        <f t="shared" si="17"/>
        <v>0</v>
      </c>
      <c r="CC185" s="18">
        <f>IF($X185="","",AJ185/$X$10)</f>
        <v>0</v>
      </c>
      <c r="CD185" s="18">
        <f>IF($X185="","",AK185/$X$10)</f>
        <v>0</v>
      </c>
      <c r="CE185" s="18">
        <f>IF($X185="","",AL185/$X$10)</f>
        <v>0</v>
      </c>
      <c r="CF185" s="18">
        <f>IF($X185="","",AM185/$X$10)</f>
        <v>0</v>
      </c>
      <c r="CG185" s="18">
        <f>IF($X185="","",AN185/$X$10)</f>
        <v>0</v>
      </c>
      <c r="CH185" s="18">
        <f>IF($X185="","",AO185/$X$10)</f>
        <v>0</v>
      </c>
      <c r="CI185" s="18">
        <f>IF($X185="","",AP185/$X$10)</f>
        <v>0</v>
      </c>
      <c r="CJ185" s="18">
        <f>IF($X185="","",AQ185/$X$10)</f>
        <v>0</v>
      </c>
      <c r="CK185" s="18">
        <f>IF($X185="","",AR185/$X$10)</f>
        <v>0</v>
      </c>
      <c r="CL185" s="18">
        <f>IF($X185="","",AS185/$X$10)</f>
        <v>0</v>
      </c>
      <c r="CM185" s="18">
        <f>IF($X185="","",AT185/$X$10)</f>
        <v>0</v>
      </c>
      <c r="CN185" s="18">
        <f>IF($X185="","",AU185/$X$10)</f>
        <v>0</v>
      </c>
      <c r="CO185" s="18">
        <f>IF($X185="","",AV185/$X$10)</f>
        <v>0</v>
      </c>
      <c r="CP185" s="18">
        <f>IF($X185="","",AW185/$X$10)</f>
        <v>0</v>
      </c>
      <c r="CQ185" s="18">
        <f>IF($X185="","",AX185/$X$10)</f>
        <v>0</v>
      </c>
      <c r="CR185" s="18">
        <f>IF($X185="","",AY185/$X$10)</f>
        <v>0</v>
      </c>
      <c r="CS185" s="18">
        <f>IF($X185="","",AZ185/$X$10)</f>
        <v>0</v>
      </c>
      <c r="CT185" s="18">
        <f>IF($X185="","",BA185/$X$10)</f>
        <v>0</v>
      </c>
      <c r="CU185" s="18">
        <f>IF($X185="","",BB185/$X$10)</f>
        <v>0</v>
      </c>
      <c r="CV185" s="18">
        <f>IF($X185="","",BC185/$X$10)</f>
        <v>0</v>
      </c>
      <c r="CW185" s="18">
        <f>IF($X185="","",BD185/$X$10)</f>
        <v>0</v>
      </c>
      <c r="CX185" s="18">
        <f>IF($X185="","",BE185/$X$10)</f>
        <v>0</v>
      </c>
      <c r="CY185" s="18">
        <f>IF($X185="","",BF185/$X$10)</f>
        <v>0</v>
      </c>
      <c r="CZ185" s="18">
        <f>IF($X185="","",BG185/$X$10)</f>
        <v>0</v>
      </c>
      <c r="DA185" s="18">
        <f>IF($X185="","",BH185/$X$10)</f>
        <v>0</v>
      </c>
      <c r="DB185" s="18">
        <f>IF($X185="","",BI185/$X$10)</f>
        <v>0</v>
      </c>
      <c r="DC185" s="18">
        <f>IF($X185="","",BJ185/$X$10)</f>
        <v>0</v>
      </c>
      <c r="DD185" s="18">
        <f>IF($X185="","",BK185/$X$10)</f>
        <v>0</v>
      </c>
      <c r="DE185" s="18">
        <f>IF($X185="","",BL185/$X$10)</f>
        <v>0</v>
      </c>
      <c r="DF185" s="18">
        <f>IF($X185="","",BM185/$X$10)</f>
        <v>0</v>
      </c>
      <c r="DG185" s="18">
        <f t="shared" si="18"/>
        <v>0</v>
      </c>
      <c r="DH185" s="18">
        <f>IF($X185="","",BO185/$X$10)</f>
        <v>0</v>
      </c>
      <c r="DI185" s="18">
        <f>IF($X185="","",BP185/$X$10)</f>
        <v>0</v>
      </c>
      <c r="DJ185" s="18">
        <f>IF($X185="","",BQ185/$X$10)</f>
        <v>0</v>
      </c>
      <c r="DK185" s="18">
        <f>IF($X185="","",BR185/$X$10)</f>
        <v>0</v>
      </c>
      <c r="DL185" s="18">
        <f>IF($X185="","",BS185/$X$10)</f>
        <v>0</v>
      </c>
      <c r="DM185" s="18">
        <f>IF($X185="","",BT185/$X$10)</f>
        <v>0</v>
      </c>
      <c r="DN185" s="18">
        <f t="shared" si="19"/>
        <v>0</v>
      </c>
      <c r="DO185" s="16">
        <f>IF($X185="","",SUM(Tabla152[[#This Row],[PODRIDO]],Tabla152[[#This Row],[HONGO]],Tabla152[[#This Row],[PICADO DE AVE CON PUDRICIÓN]],Tabla152[[#This Row],[FUMAGINA]])/$X$10)</f>
        <v>0</v>
      </c>
      <c r="DP185" s="16">
        <f>IF($X185="","",SUM(Tabla152[[#This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85" s="16">
        <f>IF($X185="","",SUM(Tabla152[[#This Row],[BLANDO]:[COLAPSADO]])/$X$10)</f>
        <v>0</v>
      </c>
      <c r="DR185" s="16">
        <f>IF($X185="","",SUM(Tabla152[[#This Row],[DESHIDRATADO LEVE]:[DESHIDRATADO INMADURO]])/$X$10)</f>
        <v>0</v>
      </c>
      <c r="DS185" s="18">
        <f t="shared" si="15"/>
        <v>0</v>
      </c>
      <c r="DT185" s="16">
        <f>IF($X185="","",SUM(Tabla152[[#This Row],[PRESENCIA DE LARVA]],Tabla152[[#This Row],[CHANCHITO BLANCO]])/$X$10)</f>
        <v>0</v>
      </c>
      <c r="DU185" s="18">
        <f>IF($X185="","",SUM(Tabla152[[#This Row],[ROJO GRADO 2 A MÁS]],Tabla152[[#This Row],[IMMADURO VERDE]],Tabla152[[#This Row],[DESORDEN POR MADURACIÓN]],Tabla152[[#This Row],[ARO PEDICELAR VERDE EXTREMO]])/$X$10)</f>
        <v>0</v>
      </c>
      <c r="DV185" s="16">
        <f>IF($X185="","",SUM(Tabla152[[#This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85" s="16">
        <f t="shared" si="16"/>
        <v>0</v>
      </c>
      <c r="DX185" s="16">
        <f>IF($X185="","",AJ185/$X$10)</f>
        <v>0</v>
      </c>
      <c r="DY185" s="16">
        <f>IF($X185="","",SUM(Tabla152[[#This Row],[PRESENCIA DE COROLA]],Tabla152[[#This Row],[PRESENCIA DE RESTO FLORAL VERDE]],Tabla152[[#This Row],[PRESENCIA DE PEDÚNCULO]])/$X$10)</f>
        <v>0</v>
      </c>
      <c r="DZ185" s="16">
        <f>IF($X185="","",SUM(Tabla152[[#This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86" spans="1:130" x14ac:dyDescent="0.3">
      <c r="A186" s="9">
        <f>IF(W186="","",IF(ROW()=10,1,IF(W186=W185,A185,MAX($A$9:A185)+1)))</f>
        <v>58</v>
      </c>
      <c r="B186" s="9">
        <f>WEEKNUM(Tabla152[[#This Row],[FECHA DE COSECHA]],21)</f>
        <v>36</v>
      </c>
      <c r="C186" s="9"/>
      <c r="D186" s="17">
        <v>46268</v>
      </c>
      <c r="E186" s="17">
        <v>46268</v>
      </c>
      <c r="F186" s="9">
        <v>1</v>
      </c>
      <c r="G186" s="9" t="s">
        <v>77</v>
      </c>
      <c r="H186" s="9" t="s">
        <v>144</v>
      </c>
      <c r="I186" s="9" t="s">
        <v>188</v>
      </c>
      <c r="J186" s="9" t="s">
        <v>135</v>
      </c>
      <c r="K186" s="9" t="s">
        <v>146</v>
      </c>
      <c r="L186" s="9" t="s">
        <v>131</v>
      </c>
      <c r="M186" s="9" t="s">
        <v>239</v>
      </c>
      <c r="N186" s="9" t="s">
        <v>136</v>
      </c>
      <c r="O186" s="9" t="s">
        <v>137</v>
      </c>
      <c r="P186" s="9" t="s">
        <v>243</v>
      </c>
      <c r="Q186" s="9"/>
      <c r="R186" s="9">
        <v>7</v>
      </c>
      <c r="S186" s="9">
        <v>78114711</v>
      </c>
      <c r="T186" t="s">
        <v>233</v>
      </c>
      <c r="U186" s="9" t="s">
        <v>147</v>
      </c>
      <c r="V186" s="9"/>
      <c r="W186" s="19" t="s">
        <v>149</v>
      </c>
      <c r="X186" s="9">
        <v>62</v>
      </c>
      <c r="Y186" s="9">
        <v>3</v>
      </c>
      <c r="Z186" s="9">
        <v>15</v>
      </c>
      <c r="AA186" s="9" t="str">
        <f>IF(Tabla152[[#This Row],[NOTA]]=15,"CUMPLE","NO CUMPLE")</f>
        <v>CUMPLE</v>
      </c>
      <c r="AB186" s="9" t="str">
        <f>IF(COUNTIF($A$10:A186,A186)=1,IF(COUNTIFS($A:$A,A186,$AA:$AA,"NO CUMPLE")&gt;0,"NO CUMPLE","CUMPLE"),"")</f>
        <v/>
      </c>
      <c r="AC186" s="9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18"/>
      <c r="BX186" s="18">
        <f>IF($X186="","",AE186/$X$10)</f>
        <v>0</v>
      </c>
      <c r="BY186" s="18">
        <f>IF($X186="","",AF186/$X$10)</f>
        <v>0</v>
      </c>
      <c r="BZ186" s="18">
        <f>IF($X186="","",AG186/$X$10)</f>
        <v>0</v>
      </c>
      <c r="CA186" s="18">
        <f>IF($X186="","",AH186/$X$10)</f>
        <v>0</v>
      </c>
      <c r="CB186" s="18">
        <f t="shared" si="17"/>
        <v>0</v>
      </c>
      <c r="CC186" s="18">
        <f>IF($X186="","",AJ186/$X$10)</f>
        <v>0</v>
      </c>
      <c r="CD186" s="18">
        <f>IF($X186="","",AK186/$X$10)</f>
        <v>0</v>
      </c>
      <c r="CE186" s="18">
        <f>IF($X186="","",AL186/$X$10)</f>
        <v>0</v>
      </c>
      <c r="CF186" s="18">
        <f>IF($X186="","",AM186/$X$10)</f>
        <v>0</v>
      </c>
      <c r="CG186" s="18">
        <f>IF($X186="","",AN186/$X$10)</f>
        <v>0</v>
      </c>
      <c r="CH186" s="18">
        <f>IF($X186="","",AO186/$X$10)</f>
        <v>0</v>
      </c>
      <c r="CI186" s="18">
        <f>IF($X186="","",AP186/$X$10)</f>
        <v>0</v>
      </c>
      <c r="CJ186" s="18">
        <f>IF($X186="","",AQ186/$X$10)</f>
        <v>0</v>
      </c>
      <c r="CK186" s="18">
        <f>IF($X186="","",AR186/$X$10)</f>
        <v>0</v>
      </c>
      <c r="CL186" s="18">
        <f>IF($X186="","",AS186/$X$10)</f>
        <v>0</v>
      </c>
      <c r="CM186" s="18">
        <f>IF($X186="","",AT186/$X$10)</f>
        <v>0</v>
      </c>
      <c r="CN186" s="18">
        <f>IF($X186="","",AU186/$X$10)</f>
        <v>0</v>
      </c>
      <c r="CO186" s="18">
        <f>IF($X186="","",AV186/$X$10)</f>
        <v>0</v>
      </c>
      <c r="CP186" s="18">
        <f>IF($X186="","",AW186/$X$10)</f>
        <v>0</v>
      </c>
      <c r="CQ186" s="18">
        <f>IF($X186="","",AX186/$X$10)</f>
        <v>0</v>
      </c>
      <c r="CR186" s="18">
        <f>IF($X186="","",AY186/$X$10)</f>
        <v>0</v>
      </c>
      <c r="CS186" s="18">
        <f>IF($X186="","",AZ186/$X$10)</f>
        <v>0</v>
      </c>
      <c r="CT186" s="18">
        <f>IF($X186="","",BA186/$X$10)</f>
        <v>0</v>
      </c>
      <c r="CU186" s="18">
        <f>IF($X186="","",BB186/$X$10)</f>
        <v>0</v>
      </c>
      <c r="CV186" s="18">
        <f>IF($X186="","",BC186/$X$10)</f>
        <v>0</v>
      </c>
      <c r="CW186" s="18">
        <f>IF($X186="","",BD186/$X$10)</f>
        <v>0</v>
      </c>
      <c r="CX186" s="18">
        <f>IF($X186="","",BE186/$X$10)</f>
        <v>0</v>
      </c>
      <c r="CY186" s="18">
        <f>IF($X186="","",BF186/$X$10)</f>
        <v>0</v>
      </c>
      <c r="CZ186" s="18">
        <f>IF($X186="","",BG186/$X$10)</f>
        <v>0</v>
      </c>
      <c r="DA186" s="18">
        <f>IF($X186="","",BH186/$X$10)</f>
        <v>0</v>
      </c>
      <c r="DB186" s="18">
        <f>IF($X186="","",BI186/$X$10)</f>
        <v>0</v>
      </c>
      <c r="DC186" s="18">
        <f>IF($X186="","",BJ186/$X$10)</f>
        <v>0</v>
      </c>
      <c r="DD186" s="18">
        <f>IF($X186="","",BK186/$X$10)</f>
        <v>0</v>
      </c>
      <c r="DE186" s="18">
        <f>IF($X186="","",BL186/$X$10)</f>
        <v>0</v>
      </c>
      <c r="DF186" s="18">
        <f>IF($X186="","",BM186/$X$10)</f>
        <v>0</v>
      </c>
      <c r="DG186" s="18">
        <f t="shared" si="18"/>
        <v>0</v>
      </c>
      <c r="DH186" s="18">
        <f>IF($X186="","",BO186/$X$10)</f>
        <v>0</v>
      </c>
      <c r="DI186" s="18">
        <f>IF($X186="","",BP186/$X$10)</f>
        <v>0</v>
      </c>
      <c r="DJ186" s="18">
        <f>IF($X186="","",BQ186/$X$10)</f>
        <v>0</v>
      </c>
      <c r="DK186" s="18">
        <f>IF($X186="","",BR186/$X$10)</f>
        <v>0</v>
      </c>
      <c r="DL186" s="18">
        <f>IF($X186="","",BS186/$X$10)</f>
        <v>0</v>
      </c>
      <c r="DM186" s="18">
        <f>IF($X186="","",BT186/$X$10)</f>
        <v>0</v>
      </c>
      <c r="DN186" s="18">
        <f t="shared" si="19"/>
        <v>0</v>
      </c>
      <c r="DO186" s="16">
        <f>IF($X186="","",SUM(Tabla152[[#This Row],[PODRIDO]],Tabla152[[#This Row],[HONGO]],Tabla152[[#This Row],[PICADO DE AVE CON PUDRICIÓN]],Tabla152[[#This Row],[FUMAGINA]])/$X$10)</f>
        <v>0</v>
      </c>
      <c r="DP186" s="16">
        <f>IF($X186="","",SUM(Tabla152[[#This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86" s="16">
        <f>IF($X186="","",SUM(Tabla152[[#This Row],[BLANDO]:[COLAPSADO]])/$X$10)</f>
        <v>0</v>
      </c>
      <c r="DR186" s="16">
        <f>IF($X186="","",SUM(Tabla152[[#This Row],[DESHIDRATADO LEVE]:[DESHIDRATADO INMADURO]])/$X$10)</f>
        <v>0</v>
      </c>
      <c r="DS186" s="18">
        <f t="shared" si="15"/>
        <v>0</v>
      </c>
      <c r="DT186" s="16">
        <f>IF($X186="","",SUM(Tabla152[[#This Row],[PRESENCIA DE LARVA]],Tabla152[[#This Row],[CHANCHITO BLANCO]])/$X$10)</f>
        <v>0</v>
      </c>
      <c r="DU186" s="18">
        <f>IF($X186="","",SUM(Tabla152[[#This Row],[ROJO GRADO 2 A MÁS]],Tabla152[[#This Row],[IMMADURO VERDE]],Tabla152[[#This Row],[DESORDEN POR MADURACIÓN]],Tabla152[[#This Row],[ARO PEDICELAR VERDE EXTREMO]])/$X$10)</f>
        <v>0</v>
      </c>
      <c r="DV186" s="16">
        <f>IF($X186="","",SUM(Tabla152[[#This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86" s="16">
        <f t="shared" si="16"/>
        <v>0</v>
      </c>
      <c r="DX186" s="16">
        <f>IF($X186="","",AJ186/$X$10)</f>
        <v>0</v>
      </c>
      <c r="DY186" s="16">
        <f>IF($X186="","",SUM(Tabla152[[#This Row],[PRESENCIA DE COROLA]],Tabla152[[#This Row],[PRESENCIA DE RESTO FLORAL VERDE]],Tabla152[[#This Row],[PRESENCIA DE PEDÚNCULO]])/$X$10)</f>
        <v>0</v>
      </c>
      <c r="DZ186" s="16">
        <f>IF($X186="","",SUM(Tabla152[[#This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87" spans="1:130" x14ac:dyDescent="0.3">
      <c r="A187" s="9">
        <f>IF(W187="","",IF(ROW()=10,1,IF(W187=W186,A186,MAX($A$9:A186)+1)))</f>
        <v>59</v>
      </c>
      <c r="B187" s="9">
        <f>WEEKNUM(Tabla152[[#This Row],[FECHA DE COSECHA]],21)</f>
        <v>36</v>
      </c>
      <c r="C187" s="9"/>
      <c r="D187" s="17">
        <v>46268</v>
      </c>
      <c r="E187" s="17">
        <v>46268</v>
      </c>
      <c r="F187" s="9">
        <v>1</v>
      </c>
      <c r="G187" s="9" t="s">
        <v>77</v>
      </c>
      <c r="H187" s="9" t="s">
        <v>144</v>
      </c>
      <c r="I187" s="9" t="s">
        <v>188</v>
      </c>
      <c r="J187" s="9" t="s">
        <v>135</v>
      </c>
      <c r="K187" s="9" t="s">
        <v>146</v>
      </c>
      <c r="L187" s="9" t="s">
        <v>131</v>
      </c>
      <c r="M187" s="9" t="s">
        <v>239</v>
      </c>
      <c r="N187" s="9" t="s">
        <v>136</v>
      </c>
      <c r="O187" s="9" t="s">
        <v>137</v>
      </c>
      <c r="P187" s="9" t="s">
        <v>243</v>
      </c>
      <c r="Q187" s="9"/>
      <c r="R187" s="9">
        <v>7</v>
      </c>
      <c r="S187" s="9">
        <v>78114711</v>
      </c>
      <c r="T187" t="s">
        <v>233</v>
      </c>
      <c r="U187" s="9" t="s">
        <v>147</v>
      </c>
      <c r="V187" s="9"/>
      <c r="W187" s="19" t="s">
        <v>207</v>
      </c>
      <c r="X187" s="9">
        <v>62</v>
      </c>
      <c r="Y187" s="9">
        <v>1</v>
      </c>
      <c r="Z187" s="9">
        <v>15</v>
      </c>
      <c r="AA187" s="9" t="str">
        <f>IF(Tabla152[[#This Row],[NOTA]]=15,"CUMPLE","NO CUMPLE")</f>
        <v>CUMPLE</v>
      </c>
      <c r="AB187" s="9" t="str">
        <f>IF(COUNTIF($A$10:A187,A187)=1,IF(COUNTIFS($A:$A,A187,$AA:$AA,"NO CUMPLE")&gt;0,"NO CUMPLE","CUMPLE"),"")</f>
        <v>CUMPLE</v>
      </c>
      <c r="AC187" s="9" t="s">
        <v>140</v>
      </c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18"/>
      <c r="BX187" s="18">
        <f>IF($X187="","",AE187/$X$10)</f>
        <v>0</v>
      </c>
      <c r="BY187" s="18">
        <f>IF($X187="","",AF187/$X$10)</f>
        <v>0</v>
      </c>
      <c r="BZ187" s="18">
        <f>IF($X187="","",AG187/$X$10)</f>
        <v>0</v>
      </c>
      <c r="CA187" s="18">
        <f>IF($X187="","",AH187/$X$10)</f>
        <v>0</v>
      </c>
      <c r="CB187" s="18">
        <f t="shared" si="17"/>
        <v>0</v>
      </c>
      <c r="CC187" s="18">
        <f>IF($X187="","",AJ187/$X$10)</f>
        <v>0</v>
      </c>
      <c r="CD187" s="18">
        <f>IF($X187="","",AK187/$X$10)</f>
        <v>0</v>
      </c>
      <c r="CE187" s="18">
        <f>IF($X187="","",AL187/$X$10)</f>
        <v>0</v>
      </c>
      <c r="CF187" s="18">
        <f>IF($X187="","",AM187/$X$10)</f>
        <v>0</v>
      </c>
      <c r="CG187" s="18">
        <f>IF($X187="","",AN187/$X$10)</f>
        <v>0</v>
      </c>
      <c r="CH187" s="18">
        <f>IF($X187="","",AO187/$X$10)</f>
        <v>0</v>
      </c>
      <c r="CI187" s="18">
        <f>IF($X187="","",AP187/$X$10)</f>
        <v>0</v>
      </c>
      <c r="CJ187" s="18">
        <f>IF($X187="","",AQ187/$X$10)</f>
        <v>0</v>
      </c>
      <c r="CK187" s="18">
        <f>IF($X187="","",AR187/$X$10)</f>
        <v>0</v>
      </c>
      <c r="CL187" s="18">
        <f>IF($X187="","",AS187/$X$10)</f>
        <v>0</v>
      </c>
      <c r="CM187" s="18">
        <f>IF($X187="","",AT187/$X$10)</f>
        <v>0</v>
      </c>
      <c r="CN187" s="18">
        <f>IF($X187="","",AU187/$X$10)</f>
        <v>0</v>
      </c>
      <c r="CO187" s="18">
        <f>IF($X187="","",AV187/$X$10)</f>
        <v>0</v>
      </c>
      <c r="CP187" s="18">
        <f>IF($X187="","",AW187/$X$10)</f>
        <v>0</v>
      </c>
      <c r="CQ187" s="18">
        <f>IF($X187="","",AX187/$X$10)</f>
        <v>0</v>
      </c>
      <c r="CR187" s="18">
        <f>IF($X187="","",AY187/$X$10)</f>
        <v>0</v>
      </c>
      <c r="CS187" s="18">
        <f>IF($X187="","",AZ187/$X$10)</f>
        <v>0</v>
      </c>
      <c r="CT187" s="18">
        <f>IF($X187="","",BA187/$X$10)</f>
        <v>0</v>
      </c>
      <c r="CU187" s="18">
        <f>IF($X187="","",BB187/$X$10)</f>
        <v>0</v>
      </c>
      <c r="CV187" s="18">
        <f>IF($X187="","",BC187/$X$10)</f>
        <v>0</v>
      </c>
      <c r="CW187" s="18">
        <f>IF($X187="","",BD187/$X$10)</f>
        <v>0</v>
      </c>
      <c r="CX187" s="18">
        <f>IF($X187="","",BE187/$X$10)</f>
        <v>0</v>
      </c>
      <c r="CY187" s="18">
        <f>IF($X187="","",BF187/$X$10)</f>
        <v>0</v>
      </c>
      <c r="CZ187" s="18">
        <f>IF($X187="","",BG187/$X$10)</f>
        <v>0</v>
      </c>
      <c r="DA187" s="18">
        <f>IF($X187="","",BH187/$X$10)</f>
        <v>0</v>
      </c>
      <c r="DB187" s="18">
        <f>IF($X187="","",BI187/$X$10)</f>
        <v>0</v>
      </c>
      <c r="DC187" s="18">
        <f>IF($X187="","",BJ187/$X$10)</f>
        <v>0</v>
      </c>
      <c r="DD187" s="18">
        <f>IF($X187="","",BK187/$X$10)</f>
        <v>0</v>
      </c>
      <c r="DE187" s="18">
        <f>IF($X187="","",BL187/$X$10)</f>
        <v>0</v>
      </c>
      <c r="DF187" s="18">
        <f>IF($X187="","",BM187/$X$10)</f>
        <v>0</v>
      </c>
      <c r="DG187" s="18">
        <f t="shared" si="18"/>
        <v>0</v>
      </c>
      <c r="DH187" s="18">
        <f>IF($X187="","",BO187/$X$10)</f>
        <v>0</v>
      </c>
      <c r="DI187" s="18">
        <f>IF($X187="","",BP187/$X$10)</f>
        <v>0</v>
      </c>
      <c r="DJ187" s="18">
        <f>IF($X187="","",BQ187/$X$10)</f>
        <v>0</v>
      </c>
      <c r="DK187" s="18">
        <f>IF($X187="","",BR187/$X$10)</f>
        <v>0</v>
      </c>
      <c r="DL187" s="18">
        <f>IF($X187="","",BS187/$X$10)</f>
        <v>0</v>
      </c>
      <c r="DM187" s="18">
        <f>IF($X187="","",BT187/$X$10)</f>
        <v>0</v>
      </c>
      <c r="DN187" s="18">
        <f t="shared" si="19"/>
        <v>0</v>
      </c>
      <c r="DO187" s="16">
        <f>IF($X187="","",SUM(Tabla152[[#This Row],[PODRIDO]],Tabla152[[#This Row],[HONGO]],Tabla152[[#This Row],[PICADO DE AVE CON PUDRICIÓN]],Tabla152[[#This Row],[FUMAGINA]])/$X$10)</f>
        <v>0</v>
      </c>
      <c r="DP187" s="16">
        <f>IF($X187="","",SUM(Tabla152[[#This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87" s="16">
        <f>IF($X187="","",SUM(Tabla152[[#This Row],[BLANDO]:[COLAPSADO]])/$X$10)</f>
        <v>0</v>
      </c>
      <c r="DR187" s="16">
        <f>IF($X187="","",SUM(Tabla152[[#This Row],[DESHIDRATADO LEVE]:[DESHIDRATADO INMADURO]])/$X$10)</f>
        <v>0</v>
      </c>
      <c r="DS187" s="18">
        <f t="shared" si="15"/>
        <v>0</v>
      </c>
      <c r="DT187" s="16">
        <f>IF($X187="","",SUM(Tabla152[[#This Row],[PRESENCIA DE LARVA]],Tabla152[[#This Row],[CHANCHITO BLANCO]])/$X$10)</f>
        <v>0</v>
      </c>
      <c r="DU187" s="18">
        <f>IF($X187="","",SUM(Tabla152[[#This Row],[ROJO GRADO 2 A MÁS]],Tabla152[[#This Row],[IMMADURO VERDE]],Tabla152[[#This Row],[DESORDEN POR MADURACIÓN]],Tabla152[[#This Row],[ARO PEDICELAR VERDE EXTREMO]])/$X$10)</f>
        <v>0</v>
      </c>
      <c r="DV187" s="16">
        <f>IF($X187="","",SUM(Tabla152[[#This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87" s="16">
        <f t="shared" si="16"/>
        <v>0</v>
      </c>
      <c r="DX187" s="16">
        <f>IF($X187="","",AJ187/$X$10)</f>
        <v>0</v>
      </c>
      <c r="DY187" s="16">
        <f>IF($X187="","",SUM(Tabla152[[#This Row],[PRESENCIA DE COROLA]],Tabla152[[#This Row],[PRESENCIA DE RESTO FLORAL VERDE]],Tabla152[[#This Row],[PRESENCIA DE PEDÚNCULO]])/$X$10)</f>
        <v>0</v>
      </c>
      <c r="DZ187" s="16">
        <f>IF($X187="","",SUM(Tabla152[[#This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88" spans="1:130" x14ac:dyDescent="0.3">
      <c r="A188" s="9">
        <f>IF(W188="","",IF(ROW()=10,1,IF(W188=W187,A187,MAX($A$9:A187)+1)))</f>
        <v>59</v>
      </c>
      <c r="B188" s="9">
        <f>WEEKNUM(Tabla152[[#This Row],[FECHA DE COSECHA]],21)</f>
        <v>36</v>
      </c>
      <c r="C188" s="9"/>
      <c r="D188" s="17">
        <v>46268</v>
      </c>
      <c r="E188" s="17">
        <v>46268</v>
      </c>
      <c r="F188" s="9">
        <v>1</v>
      </c>
      <c r="G188" s="9" t="s">
        <v>77</v>
      </c>
      <c r="H188" s="9" t="s">
        <v>144</v>
      </c>
      <c r="I188" s="9" t="s">
        <v>188</v>
      </c>
      <c r="J188" s="9" t="s">
        <v>135</v>
      </c>
      <c r="K188" s="9" t="s">
        <v>146</v>
      </c>
      <c r="L188" s="9" t="s">
        <v>131</v>
      </c>
      <c r="M188" s="9" t="s">
        <v>239</v>
      </c>
      <c r="N188" s="9" t="s">
        <v>136</v>
      </c>
      <c r="O188" s="9" t="s">
        <v>137</v>
      </c>
      <c r="P188" s="9" t="s">
        <v>243</v>
      </c>
      <c r="Q188" s="9"/>
      <c r="R188" s="9">
        <v>7</v>
      </c>
      <c r="S188" s="9">
        <v>78114711</v>
      </c>
      <c r="T188" t="s">
        <v>233</v>
      </c>
      <c r="U188" s="9" t="s">
        <v>147</v>
      </c>
      <c r="V188" s="9"/>
      <c r="W188" s="19" t="s">
        <v>207</v>
      </c>
      <c r="X188" s="9">
        <v>62</v>
      </c>
      <c r="Y188" s="9">
        <v>2</v>
      </c>
      <c r="Z188" s="9">
        <v>15</v>
      </c>
      <c r="AA188" s="9" t="str">
        <f>IF(Tabla152[[#This Row],[NOTA]]=15,"CUMPLE","NO CUMPLE")</f>
        <v>CUMPLE</v>
      </c>
      <c r="AB188" s="9" t="str">
        <f>IF(COUNTIF($A$10:A188,A188)=1,IF(COUNTIFS($A:$A,A188,$AA:$AA,"NO CUMPLE")&gt;0,"NO CUMPLE","CUMPLE"),"")</f>
        <v/>
      </c>
      <c r="AC188" s="9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18"/>
      <c r="BX188" s="18">
        <f>IF($X188="","",AE188/$X$10)</f>
        <v>0</v>
      </c>
      <c r="BY188" s="18">
        <f>IF($X188="","",AF188/$X$10)</f>
        <v>0</v>
      </c>
      <c r="BZ188" s="18">
        <f>IF($X188="","",AG188/$X$10)</f>
        <v>0</v>
      </c>
      <c r="CA188" s="18">
        <f>IF($X188="","",AH188/$X$10)</f>
        <v>0</v>
      </c>
      <c r="CB188" s="18">
        <f t="shared" si="17"/>
        <v>0</v>
      </c>
      <c r="CC188" s="18">
        <f>IF($X188="","",AJ188/$X$10)</f>
        <v>0</v>
      </c>
      <c r="CD188" s="18">
        <f>IF($X188="","",AK188/$X$10)</f>
        <v>0</v>
      </c>
      <c r="CE188" s="18">
        <f>IF($X188="","",AL188/$X$10)</f>
        <v>0</v>
      </c>
      <c r="CF188" s="18">
        <f>IF($X188="","",AM188/$X$10)</f>
        <v>0</v>
      </c>
      <c r="CG188" s="18">
        <f>IF($X188="","",AN188/$X$10)</f>
        <v>0</v>
      </c>
      <c r="CH188" s="18">
        <f>IF($X188="","",AO188/$X$10)</f>
        <v>0</v>
      </c>
      <c r="CI188" s="18">
        <f>IF($X188="","",AP188/$X$10)</f>
        <v>0</v>
      </c>
      <c r="CJ188" s="18">
        <f>IF($X188="","",AQ188/$X$10)</f>
        <v>0</v>
      </c>
      <c r="CK188" s="18">
        <f>IF($X188="","",AR188/$X$10)</f>
        <v>0</v>
      </c>
      <c r="CL188" s="18">
        <f>IF($X188="","",AS188/$X$10)</f>
        <v>0</v>
      </c>
      <c r="CM188" s="18">
        <f>IF($X188="","",AT188/$X$10)</f>
        <v>0</v>
      </c>
      <c r="CN188" s="18">
        <f>IF($X188="","",AU188/$X$10)</f>
        <v>0</v>
      </c>
      <c r="CO188" s="18">
        <f>IF($X188="","",AV188/$X$10)</f>
        <v>0</v>
      </c>
      <c r="CP188" s="18">
        <f>IF($X188="","",AW188/$X$10)</f>
        <v>0</v>
      </c>
      <c r="CQ188" s="18">
        <f>IF($X188="","",AX188/$X$10)</f>
        <v>0</v>
      </c>
      <c r="CR188" s="18">
        <f>IF($X188="","",AY188/$X$10)</f>
        <v>0</v>
      </c>
      <c r="CS188" s="18">
        <f>IF($X188="","",AZ188/$X$10)</f>
        <v>0</v>
      </c>
      <c r="CT188" s="18">
        <f>IF($X188="","",BA188/$X$10)</f>
        <v>0</v>
      </c>
      <c r="CU188" s="18">
        <f>IF($X188="","",BB188/$X$10)</f>
        <v>0</v>
      </c>
      <c r="CV188" s="18">
        <f>IF($X188="","",BC188/$X$10)</f>
        <v>0</v>
      </c>
      <c r="CW188" s="18">
        <f>IF($X188="","",BD188/$X$10)</f>
        <v>0</v>
      </c>
      <c r="CX188" s="18">
        <f>IF($X188="","",BE188/$X$10)</f>
        <v>0</v>
      </c>
      <c r="CY188" s="18">
        <f>IF($X188="","",BF188/$X$10)</f>
        <v>0</v>
      </c>
      <c r="CZ188" s="18">
        <f>IF($X188="","",BG188/$X$10)</f>
        <v>0</v>
      </c>
      <c r="DA188" s="18">
        <f>IF($X188="","",BH188/$X$10)</f>
        <v>0</v>
      </c>
      <c r="DB188" s="18">
        <f>IF($X188="","",BI188/$X$10)</f>
        <v>0</v>
      </c>
      <c r="DC188" s="18">
        <f>IF($X188="","",BJ188/$X$10)</f>
        <v>0</v>
      </c>
      <c r="DD188" s="18">
        <f>IF($X188="","",BK188/$X$10)</f>
        <v>0</v>
      </c>
      <c r="DE188" s="18">
        <f>IF($X188="","",BL188/$X$10)</f>
        <v>0</v>
      </c>
      <c r="DF188" s="18">
        <f>IF($X188="","",BM188/$X$10)</f>
        <v>0</v>
      </c>
      <c r="DG188" s="18">
        <f t="shared" si="18"/>
        <v>0</v>
      </c>
      <c r="DH188" s="18">
        <f>IF($X188="","",BO188/$X$10)</f>
        <v>0</v>
      </c>
      <c r="DI188" s="18">
        <f>IF($X188="","",BP188/$X$10)</f>
        <v>0</v>
      </c>
      <c r="DJ188" s="18">
        <f>IF($X188="","",BQ188/$X$10)</f>
        <v>0</v>
      </c>
      <c r="DK188" s="18">
        <f>IF($X188="","",BR188/$X$10)</f>
        <v>0</v>
      </c>
      <c r="DL188" s="18">
        <f>IF($X188="","",BS188/$X$10)</f>
        <v>0</v>
      </c>
      <c r="DM188" s="18">
        <f>IF($X188="","",BT188/$X$10)</f>
        <v>0</v>
      </c>
      <c r="DN188" s="18">
        <f t="shared" si="19"/>
        <v>0</v>
      </c>
      <c r="DO188" s="16">
        <f>IF($X188="","",SUM(Tabla152[[#This Row],[PODRIDO]],Tabla152[[#This Row],[HONGO]],Tabla152[[#This Row],[PICADO DE AVE CON PUDRICIÓN]],Tabla152[[#This Row],[FUMAGINA]])/$X$10)</f>
        <v>0</v>
      </c>
      <c r="DP188" s="16">
        <f>IF($X188="","",SUM(Tabla152[[#This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88" s="16">
        <f>IF($X188="","",SUM(Tabla152[[#This Row],[BLANDO]:[COLAPSADO]])/$X$10)</f>
        <v>0</v>
      </c>
      <c r="DR188" s="16">
        <f>IF($X188="","",SUM(Tabla152[[#This Row],[DESHIDRATADO LEVE]:[DESHIDRATADO INMADURO]])/$X$10)</f>
        <v>0</v>
      </c>
      <c r="DS188" s="18">
        <f t="shared" si="15"/>
        <v>0</v>
      </c>
      <c r="DT188" s="16">
        <f>IF($X188="","",SUM(Tabla152[[#This Row],[PRESENCIA DE LARVA]],Tabla152[[#This Row],[CHANCHITO BLANCO]])/$X$10)</f>
        <v>0</v>
      </c>
      <c r="DU188" s="18">
        <f>IF($X188="","",SUM(Tabla152[[#This Row],[ROJO GRADO 2 A MÁS]],Tabla152[[#This Row],[IMMADURO VERDE]],Tabla152[[#This Row],[DESORDEN POR MADURACIÓN]],Tabla152[[#This Row],[ARO PEDICELAR VERDE EXTREMO]])/$X$10)</f>
        <v>0</v>
      </c>
      <c r="DV188" s="16">
        <f>IF($X188="","",SUM(Tabla152[[#This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88" s="16">
        <f t="shared" si="16"/>
        <v>0</v>
      </c>
      <c r="DX188" s="16">
        <f>IF($X188="","",AJ188/$X$10)</f>
        <v>0</v>
      </c>
      <c r="DY188" s="16">
        <f>IF($X188="","",SUM(Tabla152[[#This Row],[PRESENCIA DE COROLA]],Tabla152[[#This Row],[PRESENCIA DE RESTO FLORAL VERDE]],Tabla152[[#This Row],[PRESENCIA DE PEDÚNCULO]])/$X$10)</f>
        <v>0</v>
      </c>
      <c r="DZ188" s="16">
        <f>IF($X188="","",SUM(Tabla152[[#This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89" spans="1:130" x14ac:dyDescent="0.3">
      <c r="A189" s="9">
        <f>IF(W189="","",IF(ROW()=10,1,IF(W189=W188,A188,MAX($A$9:A188)+1)))</f>
        <v>59</v>
      </c>
      <c r="B189" s="9">
        <f>WEEKNUM(Tabla152[[#This Row],[FECHA DE COSECHA]],21)</f>
        <v>36</v>
      </c>
      <c r="C189" s="9"/>
      <c r="D189" s="17">
        <v>46268</v>
      </c>
      <c r="E189" s="17">
        <v>46268</v>
      </c>
      <c r="F189" s="9">
        <v>1</v>
      </c>
      <c r="G189" s="9" t="s">
        <v>77</v>
      </c>
      <c r="H189" s="9" t="s">
        <v>144</v>
      </c>
      <c r="I189" s="9" t="s">
        <v>188</v>
      </c>
      <c r="J189" s="9" t="s">
        <v>135</v>
      </c>
      <c r="K189" s="9" t="s">
        <v>146</v>
      </c>
      <c r="L189" s="9" t="s">
        <v>131</v>
      </c>
      <c r="M189" s="9" t="s">
        <v>239</v>
      </c>
      <c r="N189" s="9" t="s">
        <v>136</v>
      </c>
      <c r="O189" s="9" t="s">
        <v>137</v>
      </c>
      <c r="P189" s="9" t="s">
        <v>243</v>
      </c>
      <c r="Q189" s="9"/>
      <c r="R189" s="9">
        <v>7</v>
      </c>
      <c r="S189" s="9">
        <v>78114711</v>
      </c>
      <c r="T189" t="s">
        <v>233</v>
      </c>
      <c r="U189" s="9" t="s">
        <v>147</v>
      </c>
      <c r="V189" s="9"/>
      <c r="W189" s="19" t="s">
        <v>207</v>
      </c>
      <c r="X189" s="9">
        <v>62</v>
      </c>
      <c r="Y189" s="9">
        <v>3</v>
      </c>
      <c r="Z189" s="9">
        <v>15</v>
      </c>
      <c r="AA189" s="9" t="str">
        <f>IF(Tabla152[[#This Row],[NOTA]]=15,"CUMPLE","NO CUMPLE")</f>
        <v>CUMPLE</v>
      </c>
      <c r="AB189" s="9" t="str">
        <f>IF(COUNTIF($A$10:A189,A189)=1,IF(COUNTIFS($A:$A,A189,$AA:$AA,"NO CUMPLE")&gt;0,"NO CUMPLE","CUMPLE"),"")</f>
        <v/>
      </c>
      <c r="AC189" s="9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18"/>
      <c r="BX189" s="18">
        <f>IF($X189="","",AE189/$X$10)</f>
        <v>0</v>
      </c>
      <c r="BY189" s="18">
        <f>IF($X189="","",AF189/$X$10)</f>
        <v>0</v>
      </c>
      <c r="BZ189" s="18">
        <f>IF($X189="","",AG189/$X$10)</f>
        <v>0</v>
      </c>
      <c r="CA189" s="18">
        <f>IF($X189="","",AH189/$X$10)</f>
        <v>0</v>
      </c>
      <c r="CB189" s="18">
        <f t="shared" si="17"/>
        <v>0</v>
      </c>
      <c r="CC189" s="18">
        <f>IF($X189="","",AJ189/$X$10)</f>
        <v>0</v>
      </c>
      <c r="CD189" s="18">
        <f>IF($X189="","",AK189/$X$10)</f>
        <v>0</v>
      </c>
      <c r="CE189" s="18">
        <f>IF($X189="","",AL189/$X$10)</f>
        <v>0</v>
      </c>
      <c r="CF189" s="18">
        <f>IF($X189="","",AM189/$X$10)</f>
        <v>0</v>
      </c>
      <c r="CG189" s="18">
        <f>IF($X189="","",AN189/$X$10)</f>
        <v>0</v>
      </c>
      <c r="CH189" s="18">
        <f>IF($X189="","",AO189/$X$10)</f>
        <v>0</v>
      </c>
      <c r="CI189" s="18">
        <f>IF($X189="","",AP189/$X$10)</f>
        <v>0</v>
      </c>
      <c r="CJ189" s="18">
        <f>IF($X189="","",AQ189/$X$10)</f>
        <v>0</v>
      </c>
      <c r="CK189" s="18">
        <f>IF($X189="","",AR189/$X$10)</f>
        <v>0</v>
      </c>
      <c r="CL189" s="18">
        <f>IF($X189="","",AS189/$X$10)</f>
        <v>0</v>
      </c>
      <c r="CM189" s="18">
        <f>IF($X189="","",AT189/$X$10)</f>
        <v>0</v>
      </c>
      <c r="CN189" s="18">
        <f>IF($X189="","",AU189/$X$10)</f>
        <v>0</v>
      </c>
      <c r="CO189" s="18">
        <f>IF($X189="","",AV189/$X$10)</f>
        <v>0</v>
      </c>
      <c r="CP189" s="18">
        <f>IF($X189="","",AW189/$X$10)</f>
        <v>0</v>
      </c>
      <c r="CQ189" s="18">
        <f>IF($X189="","",AX189/$X$10)</f>
        <v>0</v>
      </c>
      <c r="CR189" s="18">
        <f>IF($X189="","",AY189/$X$10)</f>
        <v>0</v>
      </c>
      <c r="CS189" s="18">
        <f>IF($X189="","",AZ189/$X$10)</f>
        <v>0</v>
      </c>
      <c r="CT189" s="18">
        <f>IF($X189="","",BA189/$X$10)</f>
        <v>0</v>
      </c>
      <c r="CU189" s="18">
        <f>IF($X189="","",BB189/$X$10)</f>
        <v>0</v>
      </c>
      <c r="CV189" s="18">
        <f>IF($X189="","",BC189/$X$10)</f>
        <v>0</v>
      </c>
      <c r="CW189" s="18">
        <f>IF($X189="","",BD189/$X$10)</f>
        <v>0</v>
      </c>
      <c r="CX189" s="18">
        <f>IF($X189="","",BE189/$X$10)</f>
        <v>0</v>
      </c>
      <c r="CY189" s="18">
        <f>IF($X189="","",BF189/$X$10)</f>
        <v>0</v>
      </c>
      <c r="CZ189" s="18">
        <f>IF($X189="","",BG189/$X$10)</f>
        <v>0</v>
      </c>
      <c r="DA189" s="18">
        <f>IF($X189="","",BH189/$X$10)</f>
        <v>0</v>
      </c>
      <c r="DB189" s="18">
        <f>IF($X189="","",BI189/$X$10)</f>
        <v>0</v>
      </c>
      <c r="DC189" s="18">
        <f>IF($X189="","",BJ189/$X$10)</f>
        <v>0</v>
      </c>
      <c r="DD189" s="18">
        <f>IF($X189="","",BK189/$X$10)</f>
        <v>0</v>
      </c>
      <c r="DE189" s="18">
        <f>IF($X189="","",BL189/$X$10)</f>
        <v>0</v>
      </c>
      <c r="DF189" s="18">
        <f>IF($X189="","",BM189/$X$10)</f>
        <v>0</v>
      </c>
      <c r="DG189" s="18">
        <f t="shared" si="18"/>
        <v>0</v>
      </c>
      <c r="DH189" s="18">
        <f>IF($X189="","",BO189/$X$10)</f>
        <v>0</v>
      </c>
      <c r="DI189" s="18">
        <f>IF($X189="","",BP189/$X$10)</f>
        <v>0</v>
      </c>
      <c r="DJ189" s="18">
        <f>IF($X189="","",BQ189/$X$10)</f>
        <v>0</v>
      </c>
      <c r="DK189" s="18">
        <f>IF($X189="","",BR189/$X$10)</f>
        <v>0</v>
      </c>
      <c r="DL189" s="18">
        <f>IF($X189="","",BS189/$X$10)</f>
        <v>0</v>
      </c>
      <c r="DM189" s="18">
        <f>IF($X189="","",BT189/$X$10)</f>
        <v>0</v>
      </c>
      <c r="DN189" s="18">
        <f t="shared" si="19"/>
        <v>0</v>
      </c>
      <c r="DO189" s="16">
        <f>IF($X189="","",SUM(Tabla152[[#This Row],[PODRIDO]],Tabla152[[#This Row],[HONGO]],Tabla152[[#This Row],[PICADO DE AVE CON PUDRICIÓN]],Tabla152[[#This Row],[FUMAGINA]])/$X$10)</f>
        <v>0</v>
      </c>
      <c r="DP189" s="16">
        <f>IF($X189="","",SUM(Tabla152[[#This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89" s="16">
        <f>IF($X189="","",SUM(Tabla152[[#This Row],[BLANDO]:[COLAPSADO]])/$X$10)</f>
        <v>0</v>
      </c>
      <c r="DR189" s="16">
        <f>IF($X189="","",SUM(Tabla152[[#This Row],[DESHIDRATADO LEVE]:[DESHIDRATADO INMADURO]])/$X$10)</f>
        <v>0</v>
      </c>
      <c r="DS189" s="18">
        <f t="shared" si="15"/>
        <v>0</v>
      </c>
      <c r="DT189" s="16">
        <f>IF($X189="","",SUM(Tabla152[[#This Row],[PRESENCIA DE LARVA]],Tabla152[[#This Row],[CHANCHITO BLANCO]])/$X$10)</f>
        <v>0</v>
      </c>
      <c r="DU189" s="18">
        <f>IF($X189="","",SUM(Tabla152[[#This Row],[ROJO GRADO 2 A MÁS]],Tabla152[[#This Row],[IMMADURO VERDE]],Tabla152[[#This Row],[DESORDEN POR MADURACIÓN]],Tabla152[[#This Row],[ARO PEDICELAR VERDE EXTREMO]])/$X$10)</f>
        <v>0</v>
      </c>
      <c r="DV189" s="16">
        <f>IF($X189="","",SUM(Tabla152[[#This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89" s="16">
        <f t="shared" si="16"/>
        <v>0</v>
      </c>
      <c r="DX189" s="16">
        <f>IF($X189="","",AJ189/$X$10)</f>
        <v>0</v>
      </c>
      <c r="DY189" s="16">
        <f>IF($X189="","",SUM(Tabla152[[#This Row],[PRESENCIA DE COROLA]],Tabla152[[#This Row],[PRESENCIA DE RESTO FLORAL VERDE]],Tabla152[[#This Row],[PRESENCIA DE PEDÚNCULO]])/$X$10)</f>
        <v>0</v>
      </c>
      <c r="DZ189" s="16">
        <f>IF($X189="","",SUM(Tabla152[[#This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90" spans="1:130" x14ac:dyDescent="0.3">
      <c r="A190" s="9">
        <f>IF(W190="","",IF(ROW()=10,1,IF(W190=W189,A189,MAX($A$9:A189)+1)))</f>
        <v>60</v>
      </c>
      <c r="B190" s="9">
        <f>WEEKNUM(Tabla152[[#This Row],[FECHA DE COSECHA]],21)</f>
        <v>36</v>
      </c>
      <c r="C190" s="9"/>
      <c r="D190" s="17">
        <v>46268</v>
      </c>
      <c r="E190" s="17">
        <v>46268</v>
      </c>
      <c r="F190" s="9">
        <v>1</v>
      </c>
      <c r="G190" s="9" t="s">
        <v>77</v>
      </c>
      <c r="H190" s="9" t="s">
        <v>144</v>
      </c>
      <c r="I190" s="9" t="s">
        <v>188</v>
      </c>
      <c r="J190" s="9" t="s">
        <v>135</v>
      </c>
      <c r="K190" s="9" t="s">
        <v>146</v>
      </c>
      <c r="L190" s="9" t="s">
        <v>131</v>
      </c>
      <c r="M190" s="9" t="s">
        <v>239</v>
      </c>
      <c r="N190" s="9" t="s">
        <v>136</v>
      </c>
      <c r="O190" s="9" t="s">
        <v>137</v>
      </c>
      <c r="P190" s="9" t="s">
        <v>243</v>
      </c>
      <c r="Q190" s="9"/>
      <c r="R190" s="9">
        <v>7</v>
      </c>
      <c r="S190" s="9">
        <v>78114711</v>
      </c>
      <c r="T190" t="s">
        <v>233</v>
      </c>
      <c r="U190" s="9" t="s">
        <v>147</v>
      </c>
      <c r="V190" s="9"/>
      <c r="W190" s="19" t="s">
        <v>173</v>
      </c>
      <c r="X190" s="9">
        <v>62</v>
      </c>
      <c r="Y190" s="9">
        <v>1</v>
      </c>
      <c r="Z190" s="9">
        <v>15</v>
      </c>
      <c r="AA190" s="9" t="str">
        <f>IF(Tabla152[[#This Row],[NOTA]]=15,"CUMPLE","NO CUMPLE")</f>
        <v>CUMPLE</v>
      </c>
      <c r="AB190" s="9" t="str">
        <f>IF(COUNTIF($A$10:A190,A190)=1,IF(COUNTIFS($A:$A,A190,$AA:$AA,"NO CUMPLE")&gt;0,"NO CUMPLE","CUMPLE"),"")</f>
        <v>CUMPLE</v>
      </c>
      <c r="AC190" s="9" t="s">
        <v>140</v>
      </c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18"/>
      <c r="BX190" s="18">
        <f>IF($X190="","",AE190/$X$10)</f>
        <v>0</v>
      </c>
      <c r="BY190" s="18">
        <f>IF($X190="","",AF190/$X$10)</f>
        <v>0</v>
      </c>
      <c r="BZ190" s="18">
        <f>IF($X190="","",AG190/$X$10)</f>
        <v>0</v>
      </c>
      <c r="CA190" s="18">
        <f>IF($X190="","",AH190/$X$10)</f>
        <v>0</v>
      </c>
      <c r="CB190" s="18">
        <f t="shared" si="17"/>
        <v>0</v>
      </c>
      <c r="CC190" s="18">
        <f>IF($X190="","",AJ190/$X$10)</f>
        <v>0</v>
      </c>
      <c r="CD190" s="18">
        <f>IF($X190="","",AK190/$X$10)</f>
        <v>0</v>
      </c>
      <c r="CE190" s="18">
        <f>IF($X190="","",AL190/$X$10)</f>
        <v>0</v>
      </c>
      <c r="CF190" s="18">
        <f>IF($X190="","",AM190/$X$10)</f>
        <v>0</v>
      </c>
      <c r="CG190" s="18">
        <f>IF($X190="","",AN190/$X$10)</f>
        <v>0</v>
      </c>
      <c r="CH190" s="18">
        <f>IF($X190="","",AO190/$X$10)</f>
        <v>0</v>
      </c>
      <c r="CI190" s="18">
        <f>IF($X190="","",AP190/$X$10)</f>
        <v>0</v>
      </c>
      <c r="CJ190" s="18">
        <f>IF($X190="","",AQ190/$X$10)</f>
        <v>0</v>
      </c>
      <c r="CK190" s="18">
        <f>IF($X190="","",AR190/$X$10)</f>
        <v>0</v>
      </c>
      <c r="CL190" s="18">
        <f>IF($X190="","",AS190/$X$10)</f>
        <v>0</v>
      </c>
      <c r="CM190" s="18">
        <f>IF($X190="","",AT190/$X$10)</f>
        <v>0</v>
      </c>
      <c r="CN190" s="18">
        <f>IF($X190="","",AU190/$X$10)</f>
        <v>0</v>
      </c>
      <c r="CO190" s="18">
        <f>IF($X190="","",AV190/$X$10)</f>
        <v>0</v>
      </c>
      <c r="CP190" s="18">
        <f>IF($X190="","",AW190/$X$10)</f>
        <v>0</v>
      </c>
      <c r="CQ190" s="18">
        <f>IF($X190="","",AX190/$X$10)</f>
        <v>0</v>
      </c>
      <c r="CR190" s="18">
        <f>IF($X190="","",AY190/$X$10)</f>
        <v>0</v>
      </c>
      <c r="CS190" s="18">
        <f>IF($X190="","",AZ190/$X$10)</f>
        <v>0</v>
      </c>
      <c r="CT190" s="18">
        <f>IF($X190="","",BA190/$X$10)</f>
        <v>0</v>
      </c>
      <c r="CU190" s="18">
        <f>IF($X190="","",BB190/$X$10)</f>
        <v>0</v>
      </c>
      <c r="CV190" s="18">
        <f>IF($X190="","",BC190/$X$10)</f>
        <v>0</v>
      </c>
      <c r="CW190" s="18">
        <f>IF($X190="","",BD190/$X$10)</f>
        <v>0</v>
      </c>
      <c r="CX190" s="18">
        <f>IF($X190="","",BE190/$X$10)</f>
        <v>0</v>
      </c>
      <c r="CY190" s="18">
        <f>IF($X190="","",BF190/$X$10)</f>
        <v>0</v>
      </c>
      <c r="CZ190" s="18">
        <f>IF($X190="","",BG190/$X$10)</f>
        <v>0</v>
      </c>
      <c r="DA190" s="18">
        <f>IF($X190="","",BH190/$X$10)</f>
        <v>0</v>
      </c>
      <c r="DB190" s="18">
        <f>IF($X190="","",BI190/$X$10)</f>
        <v>0</v>
      </c>
      <c r="DC190" s="18">
        <f>IF($X190="","",BJ190/$X$10)</f>
        <v>0</v>
      </c>
      <c r="DD190" s="18">
        <f>IF($X190="","",BK190/$X$10)</f>
        <v>0</v>
      </c>
      <c r="DE190" s="18">
        <f>IF($X190="","",BL190/$X$10)</f>
        <v>0</v>
      </c>
      <c r="DF190" s="18">
        <f>IF($X190="","",BM190/$X$10)</f>
        <v>0</v>
      </c>
      <c r="DG190" s="18">
        <f t="shared" si="18"/>
        <v>0</v>
      </c>
      <c r="DH190" s="18">
        <f>IF($X190="","",BO190/$X$10)</f>
        <v>0</v>
      </c>
      <c r="DI190" s="18">
        <f>IF($X190="","",BP190/$X$10)</f>
        <v>0</v>
      </c>
      <c r="DJ190" s="18">
        <f>IF($X190="","",BQ190/$X$10)</f>
        <v>0</v>
      </c>
      <c r="DK190" s="18">
        <f>IF($X190="","",BR190/$X$10)</f>
        <v>0</v>
      </c>
      <c r="DL190" s="18">
        <f>IF($X190="","",BS190/$X$10)</f>
        <v>0</v>
      </c>
      <c r="DM190" s="18">
        <f>IF($X190="","",BT190/$X$10)</f>
        <v>0</v>
      </c>
      <c r="DN190" s="18">
        <f t="shared" si="19"/>
        <v>0</v>
      </c>
      <c r="DO190" s="16">
        <f>IF($X190="","",SUM(Tabla152[[#This Row],[PODRIDO]],Tabla152[[#This Row],[HONGO]],Tabla152[[#This Row],[PICADO DE AVE CON PUDRICIÓN]],Tabla152[[#This Row],[FUMAGINA]])/$X$10)</f>
        <v>0</v>
      </c>
      <c r="DP190" s="16">
        <f>IF($X190="","",SUM(Tabla152[[#This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90" s="16">
        <f>IF($X190="","",SUM(Tabla152[[#This Row],[BLANDO]:[COLAPSADO]])/$X$10)</f>
        <v>0</v>
      </c>
      <c r="DR190" s="16">
        <f>IF($X190="","",SUM(Tabla152[[#This Row],[DESHIDRATADO LEVE]:[DESHIDRATADO INMADURO]])/$X$10)</f>
        <v>0</v>
      </c>
      <c r="DS190" s="18">
        <f t="shared" si="15"/>
        <v>0</v>
      </c>
      <c r="DT190" s="16">
        <f>IF($X190="","",SUM(Tabla152[[#This Row],[PRESENCIA DE LARVA]],Tabla152[[#This Row],[CHANCHITO BLANCO]])/$X$10)</f>
        <v>0</v>
      </c>
      <c r="DU190" s="18">
        <f>IF($X190="","",SUM(Tabla152[[#This Row],[ROJO GRADO 2 A MÁS]],Tabla152[[#This Row],[IMMADURO VERDE]],Tabla152[[#This Row],[DESORDEN POR MADURACIÓN]],Tabla152[[#This Row],[ARO PEDICELAR VERDE EXTREMO]])/$X$10)</f>
        <v>0</v>
      </c>
      <c r="DV190" s="16">
        <f>IF($X190="","",SUM(Tabla152[[#This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90" s="16">
        <f t="shared" si="16"/>
        <v>0</v>
      </c>
      <c r="DX190" s="16">
        <f>IF($X190="","",AJ190/$X$10)</f>
        <v>0</v>
      </c>
      <c r="DY190" s="16">
        <f>IF($X190="","",SUM(Tabla152[[#This Row],[PRESENCIA DE COROLA]],Tabla152[[#This Row],[PRESENCIA DE RESTO FLORAL VERDE]],Tabla152[[#This Row],[PRESENCIA DE PEDÚNCULO]])/$X$10)</f>
        <v>0</v>
      </c>
      <c r="DZ190" s="16">
        <f>IF($X190="","",SUM(Tabla152[[#This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91" spans="1:130" x14ac:dyDescent="0.3">
      <c r="A191" s="9">
        <f>IF(W191="","",IF(ROW()=10,1,IF(W191=W190,A190,MAX($A$9:A190)+1)))</f>
        <v>60</v>
      </c>
      <c r="B191" s="9">
        <f>WEEKNUM(Tabla152[[#This Row],[FECHA DE COSECHA]],21)</f>
        <v>36</v>
      </c>
      <c r="C191" s="9"/>
      <c r="D191" s="17">
        <v>46268</v>
      </c>
      <c r="E191" s="17">
        <v>46268</v>
      </c>
      <c r="F191" s="9">
        <v>1</v>
      </c>
      <c r="G191" s="9" t="s">
        <v>77</v>
      </c>
      <c r="H191" s="9" t="s">
        <v>144</v>
      </c>
      <c r="I191" s="9" t="s">
        <v>188</v>
      </c>
      <c r="J191" s="9" t="s">
        <v>135</v>
      </c>
      <c r="K191" s="9" t="s">
        <v>146</v>
      </c>
      <c r="L191" s="9" t="s">
        <v>131</v>
      </c>
      <c r="M191" s="9" t="s">
        <v>239</v>
      </c>
      <c r="N191" s="9" t="s">
        <v>136</v>
      </c>
      <c r="O191" s="9" t="s">
        <v>137</v>
      </c>
      <c r="P191" s="9" t="s">
        <v>243</v>
      </c>
      <c r="Q191" s="9"/>
      <c r="R191" s="9">
        <v>7</v>
      </c>
      <c r="S191" s="9">
        <v>78114711</v>
      </c>
      <c r="T191" t="s">
        <v>233</v>
      </c>
      <c r="U191" s="9" t="s">
        <v>147</v>
      </c>
      <c r="V191" s="9"/>
      <c r="W191" s="19" t="s">
        <v>173</v>
      </c>
      <c r="X191" s="9">
        <v>62</v>
      </c>
      <c r="Y191" s="9">
        <v>2</v>
      </c>
      <c r="Z191" s="9">
        <v>15</v>
      </c>
      <c r="AA191" s="9" t="str">
        <f>IF(Tabla152[[#This Row],[NOTA]]=15,"CUMPLE","NO CUMPLE")</f>
        <v>CUMPLE</v>
      </c>
      <c r="AB191" s="9" t="str">
        <f>IF(COUNTIF($A$10:A191,A191)=1,IF(COUNTIFS($A:$A,A191,$AA:$AA,"NO CUMPLE")&gt;0,"NO CUMPLE","CUMPLE"),"")</f>
        <v/>
      </c>
      <c r="AC191" s="9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18"/>
      <c r="BX191" s="18">
        <f>IF($X191="","",AE191/$X$10)</f>
        <v>0</v>
      </c>
      <c r="BY191" s="18">
        <f>IF($X191="","",AF191/$X$10)</f>
        <v>0</v>
      </c>
      <c r="BZ191" s="18">
        <f>IF($X191="","",AG191/$X$10)</f>
        <v>0</v>
      </c>
      <c r="CA191" s="18">
        <f>IF($X191="","",AH191/$X$10)</f>
        <v>0</v>
      </c>
      <c r="CB191" s="18">
        <f t="shared" si="17"/>
        <v>0</v>
      </c>
      <c r="CC191" s="18">
        <f>IF($X191="","",AJ191/$X$10)</f>
        <v>0</v>
      </c>
      <c r="CD191" s="18">
        <f>IF($X191="","",AK191/$X$10)</f>
        <v>0</v>
      </c>
      <c r="CE191" s="18">
        <f>IF($X191="","",AL191/$X$10)</f>
        <v>0</v>
      </c>
      <c r="CF191" s="18">
        <f>IF($X191="","",AM191/$X$10)</f>
        <v>0</v>
      </c>
      <c r="CG191" s="18">
        <f>IF($X191="","",AN191/$X$10)</f>
        <v>0</v>
      </c>
      <c r="CH191" s="18">
        <f>IF($X191="","",AO191/$X$10)</f>
        <v>0</v>
      </c>
      <c r="CI191" s="18">
        <f>IF($X191="","",AP191/$X$10)</f>
        <v>0</v>
      </c>
      <c r="CJ191" s="18">
        <f>IF($X191="","",AQ191/$X$10)</f>
        <v>0</v>
      </c>
      <c r="CK191" s="18">
        <f>IF($X191="","",AR191/$X$10)</f>
        <v>0</v>
      </c>
      <c r="CL191" s="18">
        <f>IF($X191="","",AS191/$X$10)</f>
        <v>0</v>
      </c>
      <c r="CM191" s="18">
        <f>IF($X191="","",AT191/$X$10)</f>
        <v>0</v>
      </c>
      <c r="CN191" s="18">
        <f>IF($X191="","",AU191/$X$10)</f>
        <v>0</v>
      </c>
      <c r="CO191" s="18">
        <f>IF($X191="","",AV191/$X$10)</f>
        <v>0</v>
      </c>
      <c r="CP191" s="18">
        <f>IF($X191="","",AW191/$X$10)</f>
        <v>0</v>
      </c>
      <c r="CQ191" s="18">
        <f>IF($X191="","",AX191/$X$10)</f>
        <v>0</v>
      </c>
      <c r="CR191" s="18">
        <f>IF($X191="","",AY191/$X$10)</f>
        <v>0</v>
      </c>
      <c r="CS191" s="18">
        <f>IF($X191="","",AZ191/$X$10)</f>
        <v>0</v>
      </c>
      <c r="CT191" s="18">
        <f>IF($X191="","",BA191/$X$10)</f>
        <v>0</v>
      </c>
      <c r="CU191" s="18">
        <f>IF($X191="","",BB191/$X$10)</f>
        <v>0</v>
      </c>
      <c r="CV191" s="18">
        <f>IF($X191="","",BC191/$X$10)</f>
        <v>0</v>
      </c>
      <c r="CW191" s="18">
        <f>IF($X191="","",BD191/$X$10)</f>
        <v>0</v>
      </c>
      <c r="CX191" s="18">
        <f>IF($X191="","",BE191/$X$10)</f>
        <v>0</v>
      </c>
      <c r="CY191" s="18">
        <f>IF($X191="","",BF191/$X$10)</f>
        <v>0</v>
      </c>
      <c r="CZ191" s="18">
        <f>IF($X191="","",BG191/$X$10)</f>
        <v>0</v>
      </c>
      <c r="DA191" s="18">
        <f>IF($X191="","",BH191/$X$10)</f>
        <v>0</v>
      </c>
      <c r="DB191" s="18">
        <f>IF($X191="","",BI191/$X$10)</f>
        <v>0</v>
      </c>
      <c r="DC191" s="18">
        <f>IF($X191="","",BJ191/$X$10)</f>
        <v>0</v>
      </c>
      <c r="DD191" s="18">
        <f>IF($X191="","",BK191/$X$10)</f>
        <v>0</v>
      </c>
      <c r="DE191" s="18">
        <f>IF($X191="","",BL191/$X$10)</f>
        <v>0</v>
      </c>
      <c r="DF191" s="18">
        <f>IF($X191="","",BM191/$X$10)</f>
        <v>0</v>
      </c>
      <c r="DG191" s="18">
        <f t="shared" si="18"/>
        <v>0</v>
      </c>
      <c r="DH191" s="18">
        <f>IF($X191="","",BO191/$X$10)</f>
        <v>0</v>
      </c>
      <c r="DI191" s="18">
        <f>IF($X191="","",BP191/$X$10)</f>
        <v>0</v>
      </c>
      <c r="DJ191" s="18">
        <f>IF($X191="","",BQ191/$X$10)</f>
        <v>0</v>
      </c>
      <c r="DK191" s="18">
        <f>IF($X191="","",BR191/$X$10)</f>
        <v>0</v>
      </c>
      <c r="DL191" s="18">
        <f>IF($X191="","",BS191/$X$10)</f>
        <v>0</v>
      </c>
      <c r="DM191" s="18">
        <f>IF($X191="","",BT191/$X$10)</f>
        <v>0</v>
      </c>
      <c r="DN191" s="18">
        <f t="shared" si="19"/>
        <v>0</v>
      </c>
      <c r="DO191" s="16">
        <f>IF($X191="","",SUM(Tabla152[[#This Row],[PODRIDO]],Tabla152[[#This Row],[HONGO]],Tabla152[[#This Row],[PICADO DE AVE CON PUDRICIÓN]],Tabla152[[#This Row],[FUMAGINA]])/$X$10)</f>
        <v>0</v>
      </c>
      <c r="DP191" s="16">
        <f>IF($X191="","",SUM(Tabla152[[#This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91" s="16">
        <f>IF($X191="","",SUM(Tabla152[[#This Row],[BLANDO]:[COLAPSADO]])/$X$10)</f>
        <v>0</v>
      </c>
      <c r="DR191" s="16">
        <f>IF($X191="","",SUM(Tabla152[[#This Row],[DESHIDRATADO LEVE]:[DESHIDRATADO INMADURO]])/$X$10)</f>
        <v>0</v>
      </c>
      <c r="DS191" s="18">
        <f t="shared" si="15"/>
        <v>0</v>
      </c>
      <c r="DT191" s="16">
        <f>IF($X191="","",SUM(Tabla152[[#This Row],[PRESENCIA DE LARVA]],Tabla152[[#This Row],[CHANCHITO BLANCO]])/$X$10)</f>
        <v>0</v>
      </c>
      <c r="DU191" s="18">
        <f>IF($X191="","",SUM(Tabla152[[#This Row],[ROJO GRADO 2 A MÁS]],Tabla152[[#This Row],[IMMADURO VERDE]],Tabla152[[#This Row],[DESORDEN POR MADURACIÓN]],Tabla152[[#This Row],[ARO PEDICELAR VERDE EXTREMO]])/$X$10)</f>
        <v>0</v>
      </c>
      <c r="DV191" s="16">
        <f>IF($X191="","",SUM(Tabla152[[#This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91" s="16">
        <f t="shared" si="16"/>
        <v>0</v>
      </c>
      <c r="DX191" s="16">
        <f>IF($X191="","",AJ191/$X$10)</f>
        <v>0</v>
      </c>
      <c r="DY191" s="16">
        <f>IF($X191="","",SUM(Tabla152[[#This Row],[PRESENCIA DE COROLA]],Tabla152[[#This Row],[PRESENCIA DE RESTO FLORAL VERDE]],Tabla152[[#This Row],[PRESENCIA DE PEDÚNCULO]])/$X$10)</f>
        <v>0</v>
      </c>
      <c r="DZ191" s="16">
        <f>IF($X191="","",SUM(Tabla152[[#This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92" spans="1:130" x14ac:dyDescent="0.3">
      <c r="A192" s="9">
        <f>IF(W192="","",IF(ROW()=10,1,IF(W192=W191,A191,MAX($A$9:A191)+1)))</f>
        <v>60</v>
      </c>
      <c r="B192" s="9">
        <f>WEEKNUM(Tabla152[[#This Row],[FECHA DE COSECHA]],21)</f>
        <v>36</v>
      </c>
      <c r="C192" s="9"/>
      <c r="D192" s="17">
        <v>46268</v>
      </c>
      <c r="E192" s="17">
        <v>46268</v>
      </c>
      <c r="F192" s="9">
        <v>1</v>
      </c>
      <c r="G192" s="9" t="s">
        <v>77</v>
      </c>
      <c r="H192" s="9" t="s">
        <v>144</v>
      </c>
      <c r="I192" s="9" t="s">
        <v>188</v>
      </c>
      <c r="J192" s="9" t="s">
        <v>135</v>
      </c>
      <c r="K192" s="9" t="s">
        <v>146</v>
      </c>
      <c r="L192" s="9" t="s">
        <v>131</v>
      </c>
      <c r="M192" s="9" t="s">
        <v>239</v>
      </c>
      <c r="N192" s="9" t="s">
        <v>136</v>
      </c>
      <c r="O192" s="9" t="s">
        <v>137</v>
      </c>
      <c r="P192" s="9" t="s">
        <v>243</v>
      </c>
      <c r="Q192" s="9"/>
      <c r="R192" s="9">
        <v>7</v>
      </c>
      <c r="S192" s="9">
        <v>78114711</v>
      </c>
      <c r="T192" t="s">
        <v>233</v>
      </c>
      <c r="U192" s="9" t="s">
        <v>147</v>
      </c>
      <c r="V192" s="9"/>
      <c r="W192" s="19" t="s">
        <v>173</v>
      </c>
      <c r="X192" s="9">
        <v>62</v>
      </c>
      <c r="Y192" s="9">
        <v>3</v>
      </c>
      <c r="Z192" s="9">
        <v>15</v>
      </c>
      <c r="AA192" s="9" t="str">
        <f>IF(Tabla152[[#This Row],[NOTA]]=15,"CUMPLE","NO CUMPLE")</f>
        <v>CUMPLE</v>
      </c>
      <c r="AB192" s="9" t="str">
        <f>IF(COUNTIF($A$10:A192,A192)=1,IF(COUNTIFS($A:$A,A192,$AA:$AA,"NO CUMPLE")&gt;0,"NO CUMPLE","CUMPLE"),"")</f>
        <v/>
      </c>
      <c r="AC192" s="9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18"/>
      <c r="BX192" s="18">
        <f>IF($X192="","",AE192/$X$10)</f>
        <v>0</v>
      </c>
      <c r="BY192" s="18">
        <f>IF($X192="","",AF192/$X$10)</f>
        <v>0</v>
      </c>
      <c r="BZ192" s="18">
        <f>IF($X192="","",AG192/$X$10)</f>
        <v>0</v>
      </c>
      <c r="CA192" s="18">
        <f>IF($X192="","",AH192/$X$10)</f>
        <v>0</v>
      </c>
      <c r="CB192" s="18">
        <f t="shared" si="17"/>
        <v>0</v>
      </c>
      <c r="CC192" s="18">
        <f>IF($X192="","",AJ192/$X$10)</f>
        <v>0</v>
      </c>
      <c r="CD192" s="18">
        <f>IF($X192="","",AK192/$X$10)</f>
        <v>0</v>
      </c>
      <c r="CE192" s="18">
        <f>IF($X192="","",AL192/$X$10)</f>
        <v>0</v>
      </c>
      <c r="CF192" s="18">
        <f>IF($X192="","",AM192/$X$10)</f>
        <v>0</v>
      </c>
      <c r="CG192" s="18">
        <f>IF($X192="","",AN192/$X$10)</f>
        <v>0</v>
      </c>
      <c r="CH192" s="18">
        <f>IF($X192="","",AO192/$X$10)</f>
        <v>0</v>
      </c>
      <c r="CI192" s="18">
        <f>IF($X192="","",AP192/$X$10)</f>
        <v>0</v>
      </c>
      <c r="CJ192" s="18">
        <f>IF($X192="","",AQ192/$X$10)</f>
        <v>0</v>
      </c>
      <c r="CK192" s="18">
        <f>IF($X192="","",AR192/$X$10)</f>
        <v>0</v>
      </c>
      <c r="CL192" s="18">
        <f>IF($X192="","",AS192/$X$10)</f>
        <v>0</v>
      </c>
      <c r="CM192" s="18">
        <f>IF($X192="","",AT192/$X$10)</f>
        <v>0</v>
      </c>
      <c r="CN192" s="18">
        <f>IF($X192="","",AU192/$X$10)</f>
        <v>0</v>
      </c>
      <c r="CO192" s="18">
        <f>IF($X192="","",AV192/$X$10)</f>
        <v>0</v>
      </c>
      <c r="CP192" s="18">
        <f>IF($X192="","",AW192/$X$10)</f>
        <v>0</v>
      </c>
      <c r="CQ192" s="18">
        <f>IF($X192="","",AX192/$X$10)</f>
        <v>0</v>
      </c>
      <c r="CR192" s="18">
        <f>IF($X192="","",AY192/$X$10)</f>
        <v>0</v>
      </c>
      <c r="CS192" s="18">
        <f>IF($X192="","",AZ192/$X$10)</f>
        <v>0</v>
      </c>
      <c r="CT192" s="18">
        <f>IF($X192="","",BA192/$X$10)</f>
        <v>0</v>
      </c>
      <c r="CU192" s="18">
        <f>IF($X192="","",BB192/$X$10)</f>
        <v>0</v>
      </c>
      <c r="CV192" s="18">
        <f>IF($X192="","",BC192/$X$10)</f>
        <v>0</v>
      </c>
      <c r="CW192" s="18">
        <f>IF($X192="","",BD192/$X$10)</f>
        <v>0</v>
      </c>
      <c r="CX192" s="18">
        <f>IF($X192="","",BE192/$X$10)</f>
        <v>0</v>
      </c>
      <c r="CY192" s="18">
        <f>IF($X192="","",BF192/$X$10)</f>
        <v>0</v>
      </c>
      <c r="CZ192" s="18">
        <f>IF($X192="","",BG192/$X$10)</f>
        <v>0</v>
      </c>
      <c r="DA192" s="18">
        <f>IF($X192="","",BH192/$X$10)</f>
        <v>0</v>
      </c>
      <c r="DB192" s="18">
        <f>IF($X192="","",BI192/$X$10)</f>
        <v>0</v>
      </c>
      <c r="DC192" s="18">
        <f>IF($X192="","",BJ192/$X$10)</f>
        <v>0</v>
      </c>
      <c r="DD192" s="18">
        <f>IF($X192="","",BK192/$X$10)</f>
        <v>0</v>
      </c>
      <c r="DE192" s="18">
        <f>IF($X192="","",BL192/$X$10)</f>
        <v>0</v>
      </c>
      <c r="DF192" s="18">
        <f>IF($X192="","",BM192/$X$10)</f>
        <v>0</v>
      </c>
      <c r="DG192" s="18">
        <f t="shared" si="18"/>
        <v>0</v>
      </c>
      <c r="DH192" s="18">
        <f>IF($X192="","",BO192/$X$10)</f>
        <v>0</v>
      </c>
      <c r="DI192" s="18">
        <f>IF($X192="","",BP192/$X$10)</f>
        <v>0</v>
      </c>
      <c r="DJ192" s="18">
        <f>IF($X192="","",BQ192/$X$10)</f>
        <v>0</v>
      </c>
      <c r="DK192" s="18">
        <f>IF($X192="","",BR192/$X$10)</f>
        <v>0</v>
      </c>
      <c r="DL192" s="18">
        <f>IF($X192="","",BS192/$X$10)</f>
        <v>0</v>
      </c>
      <c r="DM192" s="18">
        <f>IF($X192="","",BT192/$X$10)</f>
        <v>0</v>
      </c>
      <c r="DN192" s="18">
        <f t="shared" si="19"/>
        <v>0</v>
      </c>
      <c r="DO192" s="16">
        <f>IF($X192="","",SUM(Tabla152[[#This Row],[PODRIDO]],Tabla152[[#This Row],[HONGO]],Tabla152[[#This Row],[PICADO DE AVE CON PUDRICIÓN]],Tabla152[[#This Row],[FUMAGINA]])/$X$10)</f>
        <v>0</v>
      </c>
      <c r="DP192" s="16">
        <f>IF($X192="","",SUM(Tabla152[[#This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92" s="16">
        <f>IF($X192="","",SUM(Tabla152[[#This Row],[BLANDO]:[COLAPSADO]])/$X$10)</f>
        <v>0</v>
      </c>
      <c r="DR192" s="16">
        <f>IF($X192="","",SUM(Tabla152[[#This Row],[DESHIDRATADO LEVE]:[DESHIDRATADO INMADURO]])/$X$10)</f>
        <v>0</v>
      </c>
      <c r="DS192" s="18">
        <f t="shared" si="15"/>
        <v>0</v>
      </c>
      <c r="DT192" s="16">
        <f>IF($X192="","",SUM(Tabla152[[#This Row],[PRESENCIA DE LARVA]],Tabla152[[#This Row],[CHANCHITO BLANCO]])/$X$10)</f>
        <v>0</v>
      </c>
      <c r="DU192" s="18">
        <f>IF($X192="","",SUM(Tabla152[[#This Row],[ROJO GRADO 2 A MÁS]],Tabla152[[#This Row],[IMMADURO VERDE]],Tabla152[[#This Row],[DESORDEN POR MADURACIÓN]],Tabla152[[#This Row],[ARO PEDICELAR VERDE EXTREMO]])/$X$10)</f>
        <v>0</v>
      </c>
      <c r="DV192" s="16">
        <f>IF($X192="","",SUM(Tabla152[[#This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92" s="16">
        <f t="shared" si="16"/>
        <v>0</v>
      </c>
      <c r="DX192" s="16">
        <f>IF($X192="","",AJ192/$X$10)</f>
        <v>0</v>
      </c>
      <c r="DY192" s="16">
        <f>IF($X192="","",SUM(Tabla152[[#This Row],[PRESENCIA DE COROLA]],Tabla152[[#This Row],[PRESENCIA DE RESTO FLORAL VERDE]],Tabla152[[#This Row],[PRESENCIA DE PEDÚNCULO]])/$X$10)</f>
        <v>0</v>
      </c>
      <c r="DZ192" s="16">
        <f>IF($X192="","",SUM(Tabla152[[#This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93" spans="1:130" x14ac:dyDescent="0.3">
      <c r="A193" s="9">
        <f>IF(W193="","",IF(ROW()=10,1,IF(W193=W192,A192,MAX($A$9:A192)+1)))</f>
        <v>61</v>
      </c>
      <c r="B193" s="9">
        <f>WEEKNUM(Tabla152[[#This Row],[FECHA DE COSECHA]],21)</f>
        <v>36</v>
      </c>
      <c r="C193" s="9"/>
      <c r="D193" s="17">
        <v>46268</v>
      </c>
      <c r="E193" s="17">
        <v>46268</v>
      </c>
      <c r="F193" s="9">
        <v>1</v>
      </c>
      <c r="G193" s="9" t="s">
        <v>77</v>
      </c>
      <c r="H193" s="9" t="s">
        <v>144</v>
      </c>
      <c r="I193" s="9" t="s">
        <v>188</v>
      </c>
      <c r="J193" s="9" t="s">
        <v>135</v>
      </c>
      <c r="K193" s="9" t="s">
        <v>146</v>
      </c>
      <c r="L193" s="9" t="s">
        <v>131</v>
      </c>
      <c r="M193" s="9" t="s">
        <v>239</v>
      </c>
      <c r="N193" s="9" t="s">
        <v>136</v>
      </c>
      <c r="O193" s="9" t="s">
        <v>137</v>
      </c>
      <c r="P193" s="9" t="s">
        <v>243</v>
      </c>
      <c r="Q193" s="9"/>
      <c r="R193" s="9">
        <v>7</v>
      </c>
      <c r="S193" s="9">
        <v>78114711</v>
      </c>
      <c r="T193" t="s">
        <v>233</v>
      </c>
      <c r="U193" s="9" t="s">
        <v>147</v>
      </c>
      <c r="V193" s="9"/>
      <c r="W193" s="19" t="s">
        <v>208</v>
      </c>
      <c r="X193" s="9">
        <v>62</v>
      </c>
      <c r="Y193" s="9">
        <v>1</v>
      </c>
      <c r="Z193" s="9">
        <v>15</v>
      </c>
      <c r="AA193" s="9" t="str">
        <f>IF(Tabla152[[#This Row],[NOTA]]=15,"CUMPLE","NO CUMPLE")</f>
        <v>CUMPLE</v>
      </c>
      <c r="AB193" s="9" t="str">
        <f>IF(COUNTIF($A$10:A193,A193)=1,IF(COUNTIFS($A:$A,A193,$AA:$AA,"NO CUMPLE")&gt;0,"NO CUMPLE","CUMPLE"),"")</f>
        <v>NO CUMPLE</v>
      </c>
      <c r="AC193" s="9" t="s">
        <v>140</v>
      </c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18"/>
      <c r="BX193" s="18">
        <f>IF($X193="","",AE193/$X$10)</f>
        <v>0</v>
      </c>
      <c r="BY193" s="18">
        <f>IF($X193="","",AF193/$X$10)</f>
        <v>0</v>
      </c>
      <c r="BZ193" s="18">
        <f>IF($X193="","",AG193/$X$10)</f>
        <v>0</v>
      </c>
      <c r="CA193" s="18">
        <f>IF($X193="","",AH193/$X$10)</f>
        <v>0</v>
      </c>
      <c r="CB193" s="18">
        <f t="shared" si="17"/>
        <v>0</v>
      </c>
      <c r="CC193" s="18">
        <f>IF($X193="","",AJ193/$X$10)</f>
        <v>0</v>
      </c>
      <c r="CD193" s="18">
        <f>IF($X193="","",AK193/$X$10)</f>
        <v>0</v>
      </c>
      <c r="CE193" s="18">
        <f>IF($X193="","",AL193/$X$10)</f>
        <v>0</v>
      </c>
      <c r="CF193" s="18">
        <f>IF($X193="","",AM193/$X$10)</f>
        <v>0</v>
      </c>
      <c r="CG193" s="18">
        <f>IF($X193="","",AN193/$X$10)</f>
        <v>0</v>
      </c>
      <c r="CH193" s="18">
        <f>IF($X193="","",AO193/$X$10)</f>
        <v>0</v>
      </c>
      <c r="CI193" s="18">
        <f>IF($X193="","",AP193/$X$10)</f>
        <v>0</v>
      </c>
      <c r="CJ193" s="18">
        <f>IF($X193="","",AQ193/$X$10)</f>
        <v>0</v>
      </c>
      <c r="CK193" s="18">
        <f>IF($X193="","",AR193/$X$10)</f>
        <v>0</v>
      </c>
      <c r="CL193" s="18">
        <f>IF($X193="","",AS193/$X$10)</f>
        <v>0</v>
      </c>
      <c r="CM193" s="18">
        <f>IF($X193="","",AT193/$X$10)</f>
        <v>0</v>
      </c>
      <c r="CN193" s="18">
        <f>IF($X193="","",AU193/$X$10)</f>
        <v>0</v>
      </c>
      <c r="CO193" s="18">
        <f>IF($X193="","",AV193/$X$10)</f>
        <v>0</v>
      </c>
      <c r="CP193" s="18">
        <f>IF($X193="","",AW193/$X$10)</f>
        <v>0</v>
      </c>
      <c r="CQ193" s="18">
        <f>IF($X193="","",AX193/$X$10)</f>
        <v>0</v>
      </c>
      <c r="CR193" s="18">
        <f>IF($X193="","",AY193/$X$10)</f>
        <v>0</v>
      </c>
      <c r="CS193" s="18">
        <f>IF($X193="","",AZ193/$X$10)</f>
        <v>0</v>
      </c>
      <c r="CT193" s="18">
        <f>IF($X193="","",BA193/$X$10)</f>
        <v>0</v>
      </c>
      <c r="CU193" s="18">
        <f>IF($X193="","",BB193/$X$10)</f>
        <v>0</v>
      </c>
      <c r="CV193" s="18">
        <f>IF($X193="","",BC193/$X$10)</f>
        <v>0</v>
      </c>
      <c r="CW193" s="18">
        <f>IF($X193="","",BD193/$X$10)</f>
        <v>0</v>
      </c>
      <c r="CX193" s="18">
        <f>IF($X193="","",BE193/$X$10)</f>
        <v>0</v>
      </c>
      <c r="CY193" s="18">
        <f>IF($X193="","",BF193/$X$10)</f>
        <v>0</v>
      </c>
      <c r="CZ193" s="18">
        <f>IF($X193="","",BG193/$X$10)</f>
        <v>0</v>
      </c>
      <c r="DA193" s="18">
        <f>IF($X193="","",BH193/$X$10)</f>
        <v>0</v>
      </c>
      <c r="DB193" s="18">
        <f>IF($X193="","",BI193/$X$10)</f>
        <v>0</v>
      </c>
      <c r="DC193" s="18">
        <f>IF($X193="","",BJ193/$X$10)</f>
        <v>0</v>
      </c>
      <c r="DD193" s="18">
        <f>IF($X193="","",BK193/$X$10)</f>
        <v>0</v>
      </c>
      <c r="DE193" s="18">
        <f>IF($X193="","",BL193/$X$10)</f>
        <v>0</v>
      </c>
      <c r="DF193" s="18">
        <f>IF($X193="","",BM193/$X$10)</f>
        <v>0</v>
      </c>
      <c r="DG193" s="18">
        <f t="shared" si="18"/>
        <v>0</v>
      </c>
      <c r="DH193" s="18">
        <f>IF($X193="","",BO193/$X$10)</f>
        <v>0</v>
      </c>
      <c r="DI193" s="18">
        <f>IF($X193="","",BP193/$X$10)</f>
        <v>0</v>
      </c>
      <c r="DJ193" s="18">
        <f>IF($X193="","",BQ193/$X$10)</f>
        <v>0</v>
      </c>
      <c r="DK193" s="18">
        <f>IF($X193="","",BR193/$X$10)</f>
        <v>0</v>
      </c>
      <c r="DL193" s="18">
        <f>IF($X193="","",BS193/$X$10)</f>
        <v>0</v>
      </c>
      <c r="DM193" s="18">
        <f>IF($X193="","",BT193/$X$10)</f>
        <v>0</v>
      </c>
      <c r="DN193" s="18">
        <f t="shared" si="19"/>
        <v>0</v>
      </c>
      <c r="DO193" s="16">
        <f>IF($X193="","",SUM(Tabla152[[#This Row],[PODRIDO]],Tabla152[[#This Row],[HONGO]],Tabla152[[#This Row],[PICADO DE AVE CON PUDRICIÓN]],Tabla152[[#This Row],[FUMAGINA]])/$X$10)</f>
        <v>0</v>
      </c>
      <c r="DP193" s="16">
        <f>IF($X193="","",SUM(Tabla152[[#This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93" s="16">
        <f>IF($X193="","",SUM(Tabla152[[#This Row],[BLANDO]:[COLAPSADO]])/$X$10)</f>
        <v>0</v>
      </c>
      <c r="DR193" s="16">
        <f>IF($X193="","",SUM(Tabla152[[#This Row],[DESHIDRATADO LEVE]:[DESHIDRATADO INMADURO]])/$X$10)</f>
        <v>0</v>
      </c>
      <c r="DS193" s="18">
        <f t="shared" si="15"/>
        <v>0</v>
      </c>
      <c r="DT193" s="16">
        <f>IF($X193="","",SUM(Tabla152[[#This Row],[PRESENCIA DE LARVA]],Tabla152[[#This Row],[CHANCHITO BLANCO]])/$X$10)</f>
        <v>0</v>
      </c>
      <c r="DU193" s="18">
        <f>IF($X193="","",SUM(Tabla152[[#This Row],[ROJO GRADO 2 A MÁS]],Tabla152[[#This Row],[IMMADURO VERDE]],Tabla152[[#This Row],[DESORDEN POR MADURACIÓN]],Tabla152[[#This Row],[ARO PEDICELAR VERDE EXTREMO]])/$X$10)</f>
        <v>0</v>
      </c>
      <c r="DV193" s="16">
        <f>IF($X193="","",SUM(Tabla152[[#This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93" s="16">
        <f t="shared" si="16"/>
        <v>0</v>
      </c>
      <c r="DX193" s="16">
        <f>IF($X193="","",AJ193/$X$10)</f>
        <v>0</v>
      </c>
      <c r="DY193" s="16">
        <f>IF($X193="","",SUM(Tabla152[[#This Row],[PRESENCIA DE COROLA]],Tabla152[[#This Row],[PRESENCIA DE RESTO FLORAL VERDE]],Tabla152[[#This Row],[PRESENCIA DE PEDÚNCULO]])/$X$10)</f>
        <v>0</v>
      </c>
      <c r="DZ193" s="16">
        <f>IF($X193="","",SUM(Tabla152[[#This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94" spans="1:130" x14ac:dyDescent="0.3">
      <c r="A194" s="9">
        <f>IF(W194="","",IF(ROW()=10,1,IF(W194=W193,A193,MAX($A$9:A193)+1)))</f>
        <v>61</v>
      </c>
      <c r="B194" s="9">
        <f>WEEKNUM(Tabla152[[#This Row],[FECHA DE COSECHA]],21)</f>
        <v>36</v>
      </c>
      <c r="C194" s="9"/>
      <c r="D194" s="17">
        <v>46268</v>
      </c>
      <c r="E194" s="17">
        <v>46268</v>
      </c>
      <c r="F194" s="9">
        <v>1</v>
      </c>
      <c r="G194" s="9" t="s">
        <v>77</v>
      </c>
      <c r="H194" s="9" t="s">
        <v>144</v>
      </c>
      <c r="I194" s="9" t="s">
        <v>188</v>
      </c>
      <c r="J194" s="9" t="s">
        <v>135</v>
      </c>
      <c r="K194" s="9" t="s">
        <v>146</v>
      </c>
      <c r="L194" s="9" t="s">
        <v>131</v>
      </c>
      <c r="M194" s="9" t="s">
        <v>239</v>
      </c>
      <c r="N194" s="9" t="s">
        <v>136</v>
      </c>
      <c r="O194" s="9" t="s">
        <v>137</v>
      </c>
      <c r="P194" s="9" t="s">
        <v>243</v>
      </c>
      <c r="Q194" s="9"/>
      <c r="R194" s="9">
        <v>7</v>
      </c>
      <c r="S194" s="9">
        <v>78114711</v>
      </c>
      <c r="T194" t="s">
        <v>233</v>
      </c>
      <c r="U194" s="9" t="s">
        <v>147</v>
      </c>
      <c r="V194" s="9"/>
      <c r="W194" s="19" t="s">
        <v>208</v>
      </c>
      <c r="X194" s="9">
        <v>62</v>
      </c>
      <c r="Y194" s="9">
        <v>2</v>
      </c>
      <c r="Z194" s="9">
        <v>5</v>
      </c>
      <c r="AA194" s="9" t="str">
        <f>IF(Tabla152[[#This Row],[NOTA]]=15,"CUMPLE","NO CUMPLE")</f>
        <v>NO CUMPLE</v>
      </c>
      <c r="AB194" s="9" t="str">
        <f>IF(COUNTIF($A$10:A194,A194)=1,IF(COUNTIFS($A:$A,A194,$AA:$AA,"NO CUMPLE")&gt;0,"NO CUMPLE","CUMPLE"),"")</f>
        <v/>
      </c>
      <c r="AC194" s="9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7"/>
      <c r="AR194" s="7"/>
      <c r="AS194" s="7"/>
      <c r="AT194" s="7"/>
      <c r="AU194" s="7"/>
      <c r="AV194" s="7"/>
      <c r="AW194" s="7">
        <v>3</v>
      </c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18"/>
      <c r="BX194" s="18">
        <f>IF($X194="","",AE194/$X$10)</f>
        <v>0</v>
      </c>
      <c r="BY194" s="18">
        <f>IF($X194="","",AF194/$X$10)</f>
        <v>0</v>
      </c>
      <c r="BZ194" s="18">
        <f>IF($X194="","",AG194/$X$10)</f>
        <v>0</v>
      </c>
      <c r="CA194" s="18">
        <f>IF($X194="","",AH194/$X$10)</f>
        <v>0</v>
      </c>
      <c r="CB194" s="18">
        <f t="shared" si="17"/>
        <v>0</v>
      </c>
      <c r="CC194" s="18">
        <f>IF($X194="","",AJ194/$X$10)</f>
        <v>0</v>
      </c>
      <c r="CD194" s="18">
        <f>IF($X194="","",AK194/$X$10)</f>
        <v>0</v>
      </c>
      <c r="CE194" s="18">
        <f>IF($X194="","",AL194/$X$10)</f>
        <v>0</v>
      </c>
      <c r="CF194" s="18">
        <f>IF($X194="","",AM194/$X$10)</f>
        <v>0</v>
      </c>
      <c r="CG194" s="18">
        <f>IF($X194="","",AN194/$X$10)</f>
        <v>0</v>
      </c>
      <c r="CH194" s="18">
        <f>IF($X194="","",AO194/$X$10)</f>
        <v>0</v>
      </c>
      <c r="CI194" s="18">
        <f>IF($X194="","",AP194/$X$10)</f>
        <v>0</v>
      </c>
      <c r="CJ194" s="18">
        <f>IF($X194="","",AQ194/$X$10)</f>
        <v>0</v>
      </c>
      <c r="CK194" s="18">
        <f>IF($X194="","",AR194/$X$10)</f>
        <v>0</v>
      </c>
      <c r="CL194" s="18">
        <f>IF($X194="","",AS194/$X$10)</f>
        <v>0</v>
      </c>
      <c r="CM194" s="18">
        <f>IF($X194="","",AT194/$X$10)</f>
        <v>0</v>
      </c>
      <c r="CN194" s="18">
        <f>IF($X194="","",AU194/$X$10)</f>
        <v>0</v>
      </c>
      <c r="CO194" s="18">
        <f>IF($X194="","",AV194/$X$10)</f>
        <v>0</v>
      </c>
      <c r="CP194" s="18">
        <f>IF($X194="","",AW194/$X$10)</f>
        <v>4.7619047619047616E-2</v>
      </c>
      <c r="CQ194" s="18">
        <f>IF($X194="","",AX194/$X$10)</f>
        <v>0</v>
      </c>
      <c r="CR194" s="18">
        <f>IF($X194="","",AY194/$X$10)</f>
        <v>0</v>
      </c>
      <c r="CS194" s="18">
        <f>IF($X194="","",AZ194/$X$10)</f>
        <v>0</v>
      </c>
      <c r="CT194" s="18">
        <f>IF($X194="","",BA194/$X$10)</f>
        <v>0</v>
      </c>
      <c r="CU194" s="18">
        <f>IF($X194="","",BB194/$X$10)</f>
        <v>0</v>
      </c>
      <c r="CV194" s="18">
        <f>IF($X194="","",BC194/$X$10)</f>
        <v>0</v>
      </c>
      <c r="CW194" s="18">
        <f>IF($X194="","",BD194/$X$10)</f>
        <v>0</v>
      </c>
      <c r="CX194" s="18">
        <f>IF($X194="","",BE194/$X$10)</f>
        <v>0</v>
      </c>
      <c r="CY194" s="18">
        <f>IF($X194="","",BF194/$X$10)</f>
        <v>0</v>
      </c>
      <c r="CZ194" s="18">
        <f>IF($X194="","",BG194/$X$10)</f>
        <v>0</v>
      </c>
      <c r="DA194" s="18">
        <f>IF($X194="","",BH194/$X$10)</f>
        <v>0</v>
      </c>
      <c r="DB194" s="18">
        <f>IF($X194="","",BI194/$X$10)</f>
        <v>0</v>
      </c>
      <c r="DC194" s="18">
        <f>IF($X194="","",BJ194/$X$10)</f>
        <v>0</v>
      </c>
      <c r="DD194" s="18">
        <f>IF($X194="","",BK194/$X$10)</f>
        <v>0</v>
      </c>
      <c r="DE194" s="18">
        <f>IF($X194="","",BL194/$X$10)</f>
        <v>0</v>
      </c>
      <c r="DF194" s="18">
        <f>IF($X194="","",BM194/$X$10)</f>
        <v>0</v>
      </c>
      <c r="DG194" s="18">
        <f t="shared" si="18"/>
        <v>0</v>
      </c>
      <c r="DH194" s="18">
        <f>IF($X194="","",BO194/$X$10)</f>
        <v>0</v>
      </c>
      <c r="DI194" s="18">
        <f>IF($X194="","",BP194/$X$10)</f>
        <v>0</v>
      </c>
      <c r="DJ194" s="18">
        <f>IF($X194="","",BQ194/$X$10)</f>
        <v>0</v>
      </c>
      <c r="DK194" s="18">
        <f>IF($X194="","",BR194/$X$10)</f>
        <v>0</v>
      </c>
      <c r="DL194" s="18">
        <f>IF($X194="","",BS194/$X$10)</f>
        <v>0</v>
      </c>
      <c r="DM194" s="18">
        <f>IF($X194="","",BT194/$X$10)</f>
        <v>0</v>
      </c>
      <c r="DN194" s="18">
        <f t="shared" si="19"/>
        <v>0</v>
      </c>
      <c r="DO194" s="16">
        <f>IF($X194="","",SUM(Tabla152[[#This Row],[PODRIDO]],Tabla152[[#This Row],[HONGO]],Tabla152[[#This Row],[PICADO DE AVE CON PUDRICIÓN]],Tabla152[[#This Row],[FUMAGINA]])/$X$10)</f>
        <v>0</v>
      </c>
      <c r="DP194" s="16">
        <f>IF($X194="","",SUM(Tabla152[[#This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4.7619047619047616E-2</v>
      </c>
      <c r="DQ194" s="16">
        <f>IF($X194="","",SUM(Tabla152[[#This Row],[BLANDO]:[COLAPSADO]])/$X$10)</f>
        <v>0</v>
      </c>
      <c r="DR194" s="16">
        <f>IF($X194="","",SUM(Tabla152[[#This Row],[DESHIDRATADO LEVE]:[DESHIDRATADO INMADURO]])/$X$10)</f>
        <v>0</v>
      </c>
      <c r="DS194" s="18">
        <f t="shared" si="15"/>
        <v>0</v>
      </c>
      <c r="DT194" s="16">
        <f>IF($X194="","",SUM(Tabla152[[#This Row],[PRESENCIA DE LARVA]],Tabla152[[#This Row],[CHANCHITO BLANCO]])/$X$10)</f>
        <v>0</v>
      </c>
      <c r="DU194" s="18">
        <f>IF($X194="","",SUM(Tabla152[[#This Row],[ROJO GRADO 2 A MÁS]],Tabla152[[#This Row],[IMMADURO VERDE]],Tabla152[[#This Row],[DESORDEN POR MADURACIÓN]],Tabla152[[#This Row],[ARO PEDICELAR VERDE EXTREMO]])/$X$10)</f>
        <v>0</v>
      </c>
      <c r="DV194" s="16">
        <f>IF($X194="","",SUM(Tabla152[[#This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94" s="16">
        <f t="shared" si="16"/>
        <v>0</v>
      </c>
      <c r="DX194" s="16">
        <f>IF($X194="","",AJ194/$X$10)</f>
        <v>0</v>
      </c>
      <c r="DY194" s="16">
        <f>IF($X194="","",SUM(Tabla152[[#This Row],[PRESENCIA DE COROLA]],Tabla152[[#This Row],[PRESENCIA DE RESTO FLORAL VERDE]],Tabla152[[#This Row],[PRESENCIA DE PEDÚNCULO]])/$X$10)</f>
        <v>0</v>
      </c>
      <c r="DZ194" s="16">
        <f>IF($X194="","",SUM(Tabla152[[#This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95" spans="1:130" x14ac:dyDescent="0.3">
      <c r="A195" s="9">
        <f>IF(W195="","",IF(ROW()=10,1,IF(W195=W194,A194,MAX($A$9:A194)+1)))</f>
        <v>61</v>
      </c>
      <c r="B195" s="9">
        <f>WEEKNUM(Tabla152[[#This Row],[FECHA DE COSECHA]],21)</f>
        <v>36</v>
      </c>
      <c r="C195" s="9"/>
      <c r="D195" s="17">
        <v>46268</v>
      </c>
      <c r="E195" s="17">
        <v>46268</v>
      </c>
      <c r="F195" s="9">
        <v>1</v>
      </c>
      <c r="G195" s="9" t="s">
        <v>77</v>
      </c>
      <c r="H195" s="9" t="s">
        <v>144</v>
      </c>
      <c r="I195" s="9" t="s">
        <v>188</v>
      </c>
      <c r="J195" s="9" t="s">
        <v>135</v>
      </c>
      <c r="K195" s="9" t="s">
        <v>146</v>
      </c>
      <c r="L195" s="9" t="s">
        <v>131</v>
      </c>
      <c r="M195" s="9" t="s">
        <v>239</v>
      </c>
      <c r="N195" s="9" t="s">
        <v>136</v>
      </c>
      <c r="O195" s="9" t="s">
        <v>137</v>
      </c>
      <c r="P195" s="9" t="s">
        <v>243</v>
      </c>
      <c r="Q195" s="9"/>
      <c r="R195" s="9">
        <v>7</v>
      </c>
      <c r="S195" s="9">
        <v>78114711</v>
      </c>
      <c r="T195" t="s">
        <v>233</v>
      </c>
      <c r="U195" s="9" t="s">
        <v>147</v>
      </c>
      <c r="V195" s="9"/>
      <c r="W195" s="19" t="s">
        <v>208</v>
      </c>
      <c r="X195" s="9">
        <v>62</v>
      </c>
      <c r="Y195" s="9">
        <v>3</v>
      </c>
      <c r="Z195" s="9">
        <v>15</v>
      </c>
      <c r="AA195" s="9" t="str">
        <f>IF(Tabla152[[#This Row],[NOTA]]=15,"CUMPLE","NO CUMPLE")</f>
        <v>CUMPLE</v>
      </c>
      <c r="AB195" s="9" t="str">
        <f>IF(COUNTIF($A$10:A195,A195)=1,IF(COUNTIFS($A:$A,A195,$AA:$AA,"NO CUMPLE")&gt;0,"NO CUMPLE","CUMPLE"),"")</f>
        <v/>
      </c>
      <c r="AC195" s="9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18"/>
      <c r="BX195" s="18">
        <f>IF($X195="","",AE195/$X$10)</f>
        <v>0</v>
      </c>
      <c r="BY195" s="18">
        <f>IF($X195="","",AF195/$X$10)</f>
        <v>0</v>
      </c>
      <c r="BZ195" s="18">
        <f>IF($X195="","",AG195/$X$10)</f>
        <v>0</v>
      </c>
      <c r="CA195" s="18">
        <f>IF($X195="","",AH195/$X$10)</f>
        <v>0</v>
      </c>
      <c r="CB195" s="18">
        <f t="shared" si="17"/>
        <v>0</v>
      </c>
      <c r="CC195" s="18">
        <f>IF($X195="","",AJ195/$X$10)</f>
        <v>0</v>
      </c>
      <c r="CD195" s="18">
        <f>IF($X195="","",AK195/$X$10)</f>
        <v>0</v>
      </c>
      <c r="CE195" s="18">
        <f>IF($X195="","",AL195/$X$10)</f>
        <v>0</v>
      </c>
      <c r="CF195" s="18">
        <f>IF($X195="","",AM195/$X$10)</f>
        <v>0</v>
      </c>
      <c r="CG195" s="18">
        <f>IF($X195="","",AN195/$X$10)</f>
        <v>0</v>
      </c>
      <c r="CH195" s="18">
        <f>IF($X195="","",AO195/$X$10)</f>
        <v>0</v>
      </c>
      <c r="CI195" s="18">
        <f>IF($X195="","",AP195/$X$10)</f>
        <v>0</v>
      </c>
      <c r="CJ195" s="18">
        <f>IF($X195="","",AQ195/$X$10)</f>
        <v>0</v>
      </c>
      <c r="CK195" s="18">
        <f>IF($X195="","",AR195/$X$10)</f>
        <v>0</v>
      </c>
      <c r="CL195" s="18">
        <f>IF($X195="","",AS195/$X$10)</f>
        <v>0</v>
      </c>
      <c r="CM195" s="18">
        <f>IF($X195="","",AT195/$X$10)</f>
        <v>0</v>
      </c>
      <c r="CN195" s="18">
        <f>IF($X195="","",AU195/$X$10)</f>
        <v>0</v>
      </c>
      <c r="CO195" s="18">
        <f>IF($X195="","",AV195/$X$10)</f>
        <v>0</v>
      </c>
      <c r="CP195" s="18">
        <f>IF($X195="","",AW195/$X$10)</f>
        <v>0</v>
      </c>
      <c r="CQ195" s="18">
        <f>IF($X195="","",AX195/$X$10)</f>
        <v>0</v>
      </c>
      <c r="CR195" s="18">
        <f>IF($X195="","",AY195/$X$10)</f>
        <v>0</v>
      </c>
      <c r="CS195" s="18">
        <f>IF($X195="","",AZ195/$X$10)</f>
        <v>0</v>
      </c>
      <c r="CT195" s="18">
        <f>IF($X195="","",BA195/$X$10)</f>
        <v>0</v>
      </c>
      <c r="CU195" s="18">
        <f>IF($X195="","",BB195/$X$10)</f>
        <v>0</v>
      </c>
      <c r="CV195" s="18">
        <f>IF($X195="","",BC195/$X$10)</f>
        <v>0</v>
      </c>
      <c r="CW195" s="18">
        <f>IF($X195="","",BD195/$X$10)</f>
        <v>0</v>
      </c>
      <c r="CX195" s="18">
        <f>IF($X195="","",BE195/$X$10)</f>
        <v>0</v>
      </c>
      <c r="CY195" s="18">
        <f>IF($X195="","",BF195/$X$10)</f>
        <v>0</v>
      </c>
      <c r="CZ195" s="18">
        <f>IF($X195="","",BG195/$X$10)</f>
        <v>0</v>
      </c>
      <c r="DA195" s="18">
        <f>IF($X195="","",BH195/$X$10)</f>
        <v>0</v>
      </c>
      <c r="DB195" s="18">
        <f>IF($X195="","",BI195/$X$10)</f>
        <v>0</v>
      </c>
      <c r="DC195" s="18">
        <f>IF($X195="","",BJ195/$X$10)</f>
        <v>0</v>
      </c>
      <c r="DD195" s="18">
        <f>IF($X195="","",BK195/$X$10)</f>
        <v>0</v>
      </c>
      <c r="DE195" s="18">
        <f>IF($X195="","",BL195/$X$10)</f>
        <v>0</v>
      </c>
      <c r="DF195" s="18">
        <f>IF($X195="","",BM195/$X$10)</f>
        <v>0</v>
      </c>
      <c r="DG195" s="18">
        <f t="shared" si="18"/>
        <v>0</v>
      </c>
      <c r="DH195" s="18">
        <f>IF($X195="","",BO195/$X$10)</f>
        <v>0</v>
      </c>
      <c r="DI195" s="18">
        <f>IF($X195="","",BP195/$X$10)</f>
        <v>0</v>
      </c>
      <c r="DJ195" s="18">
        <f>IF($X195="","",BQ195/$X$10)</f>
        <v>0</v>
      </c>
      <c r="DK195" s="18">
        <f>IF($X195="","",BR195/$X$10)</f>
        <v>0</v>
      </c>
      <c r="DL195" s="18">
        <f>IF($X195="","",BS195/$X$10)</f>
        <v>0</v>
      </c>
      <c r="DM195" s="18">
        <f>IF($X195="","",BT195/$X$10)</f>
        <v>0</v>
      </c>
      <c r="DN195" s="18">
        <f t="shared" si="19"/>
        <v>0</v>
      </c>
      <c r="DO195" s="16">
        <f>IF($X195="","",SUM(Tabla152[[#This Row],[PODRIDO]],Tabla152[[#This Row],[HONGO]],Tabla152[[#This Row],[PICADO DE AVE CON PUDRICIÓN]],Tabla152[[#This Row],[FUMAGINA]])/$X$10)</f>
        <v>0</v>
      </c>
      <c r="DP195" s="16">
        <f>IF($X195="","",SUM(Tabla152[[#This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95" s="16">
        <f>IF($X195="","",SUM(Tabla152[[#This Row],[BLANDO]:[COLAPSADO]])/$X$10)</f>
        <v>0</v>
      </c>
      <c r="DR195" s="16">
        <f>IF($X195="","",SUM(Tabla152[[#This Row],[DESHIDRATADO LEVE]:[DESHIDRATADO INMADURO]])/$X$10)</f>
        <v>0</v>
      </c>
      <c r="DS195" s="18">
        <f t="shared" si="15"/>
        <v>0</v>
      </c>
      <c r="DT195" s="16">
        <f>IF($X195="","",SUM(Tabla152[[#This Row],[PRESENCIA DE LARVA]],Tabla152[[#This Row],[CHANCHITO BLANCO]])/$X$10)</f>
        <v>0</v>
      </c>
      <c r="DU195" s="18">
        <f>IF($X195="","",SUM(Tabla152[[#This Row],[ROJO GRADO 2 A MÁS]],Tabla152[[#This Row],[IMMADURO VERDE]],Tabla152[[#This Row],[DESORDEN POR MADURACIÓN]],Tabla152[[#This Row],[ARO PEDICELAR VERDE EXTREMO]])/$X$10)</f>
        <v>0</v>
      </c>
      <c r="DV195" s="16">
        <f>IF($X195="","",SUM(Tabla152[[#This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95" s="16">
        <f t="shared" si="16"/>
        <v>0</v>
      </c>
      <c r="DX195" s="16">
        <f>IF($X195="","",AJ195/$X$10)</f>
        <v>0</v>
      </c>
      <c r="DY195" s="16">
        <f>IF($X195="","",SUM(Tabla152[[#This Row],[PRESENCIA DE COROLA]],Tabla152[[#This Row],[PRESENCIA DE RESTO FLORAL VERDE]],Tabla152[[#This Row],[PRESENCIA DE PEDÚNCULO]])/$X$10)</f>
        <v>0</v>
      </c>
      <c r="DZ195" s="16">
        <f>IF($X195="","",SUM(Tabla152[[#This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96" spans="1:130" x14ac:dyDescent="0.3">
      <c r="A196" s="9">
        <f>IF(W196="","",IF(ROW()=10,1,IF(W196=W195,A195,MAX($A$9:A195)+1)))</f>
        <v>62</v>
      </c>
      <c r="B196" s="9">
        <f>WEEKNUM(Tabla152[[#This Row],[FECHA DE COSECHA]],21)</f>
        <v>36</v>
      </c>
      <c r="C196" s="9"/>
      <c r="D196" s="17">
        <v>46268</v>
      </c>
      <c r="E196" s="17">
        <v>46268</v>
      </c>
      <c r="F196" s="9">
        <v>1</v>
      </c>
      <c r="G196" s="9" t="s">
        <v>77</v>
      </c>
      <c r="H196" s="9" t="s">
        <v>144</v>
      </c>
      <c r="I196" s="9" t="s">
        <v>188</v>
      </c>
      <c r="J196" s="9" t="s">
        <v>135</v>
      </c>
      <c r="K196" s="9" t="s">
        <v>146</v>
      </c>
      <c r="L196" s="9" t="s">
        <v>131</v>
      </c>
      <c r="M196" s="9" t="s">
        <v>239</v>
      </c>
      <c r="N196" s="9" t="s">
        <v>136</v>
      </c>
      <c r="O196" s="9" t="s">
        <v>137</v>
      </c>
      <c r="P196" s="9" t="s">
        <v>243</v>
      </c>
      <c r="Q196" s="9"/>
      <c r="R196" s="9">
        <v>7</v>
      </c>
      <c r="S196" s="9">
        <v>78114711</v>
      </c>
      <c r="T196" t="s">
        <v>233</v>
      </c>
      <c r="U196" s="9" t="s">
        <v>147</v>
      </c>
      <c r="V196" s="9"/>
      <c r="W196" s="19" t="s">
        <v>148</v>
      </c>
      <c r="X196" s="9">
        <v>62</v>
      </c>
      <c r="Y196" s="9">
        <v>1</v>
      </c>
      <c r="Z196" s="9">
        <v>5</v>
      </c>
      <c r="AA196" s="9" t="str">
        <f>IF(Tabla152[[#This Row],[NOTA]]=15,"CUMPLE","NO CUMPLE")</f>
        <v>NO CUMPLE</v>
      </c>
      <c r="AB196" s="9" t="str">
        <f>IF(COUNTIF($A$10:A196,A196)=1,IF(COUNTIFS($A:$A,A196,$AA:$AA,"NO CUMPLE")&gt;0,"NO CUMPLE","CUMPLE"),"")</f>
        <v>NO CUMPLE</v>
      </c>
      <c r="AC196" s="9" t="s">
        <v>140</v>
      </c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7"/>
      <c r="AR196" s="7"/>
      <c r="AS196" s="7"/>
      <c r="AT196" s="7"/>
      <c r="AU196" s="7"/>
      <c r="AV196" s="7"/>
      <c r="AW196" s="7">
        <v>1</v>
      </c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18"/>
      <c r="BX196" s="18">
        <f>IF($X196="","",AE196/$X$10)</f>
        <v>0</v>
      </c>
      <c r="BY196" s="18">
        <f>IF($X196="","",AF196/$X$10)</f>
        <v>0</v>
      </c>
      <c r="BZ196" s="18">
        <f>IF($X196="","",AG196/$X$10)</f>
        <v>0</v>
      </c>
      <c r="CA196" s="18">
        <f>IF($X196="","",AH196/$X$10)</f>
        <v>0</v>
      </c>
      <c r="CB196" s="18">
        <f t="shared" si="17"/>
        <v>0</v>
      </c>
      <c r="CC196" s="18">
        <f>IF($X196="","",AJ196/$X$10)</f>
        <v>0</v>
      </c>
      <c r="CD196" s="18">
        <f>IF($X196="","",AK196/$X$10)</f>
        <v>0</v>
      </c>
      <c r="CE196" s="18">
        <f>IF($X196="","",AL196/$X$10)</f>
        <v>0</v>
      </c>
      <c r="CF196" s="18">
        <f>IF($X196="","",AM196/$X$10)</f>
        <v>0</v>
      </c>
      <c r="CG196" s="18">
        <f>IF($X196="","",AN196/$X$10)</f>
        <v>0</v>
      </c>
      <c r="CH196" s="18">
        <f>IF($X196="","",AO196/$X$10)</f>
        <v>0</v>
      </c>
      <c r="CI196" s="18">
        <f>IF($X196="","",AP196/$X$10)</f>
        <v>0</v>
      </c>
      <c r="CJ196" s="18">
        <f>IF($X196="","",AQ196/$X$10)</f>
        <v>0</v>
      </c>
      <c r="CK196" s="18">
        <f>IF($X196="","",AR196/$X$10)</f>
        <v>0</v>
      </c>
      <c r="CL196" s="18">
        <f>IF($X196="","",AS196/$X$10)</f>
        <v>0</v>
      </c>
      <c r="CM196" s="18">
        <f>IF($X196="","",AT196/$X$10)</f>
        <v>0</v>
      </c>
      <c r="CN196" s="18">
        <f>IF($X196="","",AU196/$X$10)</f>
        <v>0</v>
      </c>
      <c r="CO196" s="18">
        <f>IF($X196="","",AV196/$X$10)</f>
        <v>0</v>
      </c>
      <c r="CP196" s="18">
        <f>IF($X196="","",AW196/$X$10)</f>
        <v>1.5873015873015872E-2</v>
      </c>
      <c r="CQ196" s="18">
        <f>IF($X196="","",AX196/$X$10)</f>
        <v>0</v>
      </c>
      <c r="CR196" s="18">
        <f>IF($X196="","",AY196/$X$10)</f>
        <v>0</v>
      </c>
      <c r="CS196" s="18">
        <f>IF($X196="","",AZ196/$X$10)</f>
        <v>0</v>
      </c>
      <c r="CT196" s="18">
        <f>IF($X196="","",BA196/$X$10)</f>
        <v>0</v>
      </c>
      <c r="CU196" s="18">
        <f>IF($X196="","",BB196/$X$10)</f>
        <v>0</v>
      </c>
      <c r="CV196" s="18">
        <f>IF($X196="","",BC196/$X$10)</f>
        <v>0</v>
      </c>
      <c r="CW196" s="18">
        <f>IF($X196="","",BD196/$X$10)</f>
        <v>0</v>
      </c>
      <c r="CX196" s="18">
        <f>IF($X196="","",BE196/$X$10)</f>
        <v>0</v>
      </c>
      <c r="CY196" s="18">
        <f>IF($X196="","",BF196/$X$10)</f>
        <v>0</v>
      </c>
      <c r="CZ196" s="18">
        <f>IF($X196="","",BG196/$X$10)</f>
        <v>0</v>
      </c>
      <c r="DA196" s="18">
        <f>IF($X196="","",BH196/$X$10)</f>
        <v>0</v>
      </c>
      <c r="DB196" s="18">
        <f>IF($X196="","",BI196/$X$10)</f>
        <v>0</v>
      </c>
      <c r="DC196" s="18">
        <f>IF($X196="","",BJ196/$X$10)</f>
        <v>0</v>
      </c>
      <c r="DD196" s="18">
        <f>IF($X196="","",BK196/$X$10)</f>
        <v>0</v>
      </c>
      <c r="DE196" s="18">
        <f>IF($X196="","",BL196/$X$10)</f>
        <v>0</v>
      </c>
      <c r="DF196" s="18">
        <f>IF($X196="","",BM196/$X$10)</f>
        <v>0</v>
      </c>
      <c r="DG196" s="18">
        <f t="shared" si="18"/>
        <v>0</v>
      </c>
      <c r="DH196" s="18">
        <f>IF($X196="","",BO196/$X$10)</f>
        <v>0</v>
      </c>
      <c r="DI196" s="18">
        <f>IF($X196="","",BP196/$X$10)</f>
        <v>0</v>
      </c>
      <c r="DJ196" s="18">
        <f>IF($X196="","",BQ196/$X$10)</f>
        <v>0</v>
      </c>
      <c r="DK196" s="18">
        <f>IF($X196="","",BR196/$X$10)</f>
        <v>0</v>
      </c>
      <c r="DL196" s="18">
        <f>IF($X196="","",BS196/$X$10)</f>
        <v>0</v>
      </c>
      <c r="DM196" s="18">
        <f>IF($X196="","",BT196/$X$10)</f>
        <v>0</v>
      </c>
      <c r="DN196" s="18">
        <f t="shared" si="19"/>
        <v>0</v>
      </c>
      <c r="DO196" s="16">
        <f>IF($X196="","",SUM(Tabla152[[#This Row],[PODRIDO]],Tabla152[[#This Row],[HONGO]],Tabla152[[#This Row],[PICADO DE AVE CON PUDRICIÓN]],Tabla152[[#This Row],[FUMAGINA]])/$X$10)</f>
        <v>0</v>
      </c>
      <c r="DP196" s="16">
        <f>IF($X196="","",SUM(Tabla152[[#This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1.5873015873015872E-2</v>
      </c>
      <c r="DQ196" s="16">
        <f>IF($X196="","",SUM(Tabla152[[#This Row],[BLANDO]:[COLAPSADO]])/$X$10)</f>
        <v>0</v>
      </c>
      <c r="DR196" s="16">
        <f>IF($X196="","",SUM(Tabla152[[#This Row],[DESHIDRATADO LEVE]:[DESHIDRATADO INMADURO]])/$X$10)</f>
        <v>0</v>
      </c>
      <c r="DS196" s="18">
        <f t="shared" si="15"/>
        <v>0</v>
      </c>
      <c r="DT196" s="16">
        <f>IF($X196="","",SUM(Tabla152[[#This Row],[PRESENCIA DE LARVA]],Tabla152[[#This Row],[CHANCHITO BLANCO]])/$X$10)</f>
        <v>0</v>
      </c>
      <c r="DU196" s="18">
        <f>IF($X196="","",SUM(Tabla152[[#This Row],[ROJO GRADO 2 A MÁS]],Tabla152[[#This Row],[IMMADURO VERDE]],Tabla152[[#This Row],[DESORDEN POR MADURACIÓN]],Tabla152[[#This Row],[ARO PEDICELAR VERDE EXTREMO]])/$X$10)</f>
        <v>0</v>
      </c>
      <c r="DV196" s="16">
        <f>IF($X196="","",SUM(Tabla152[[#This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96" s="16">
        <f t="shared" si="16"/>
        <v>0</v>
      </c>
      <c r="DX196" s="16">
        <f>IF($X196="","",AJ196/$X$10)</f>
        <v>0</v>
      </c>
      <c r="DY196" s="16">
        <f>IF($X196="","",SUM(Tabla152[[#This Row],[PRESENCIA DE COROLA]],Tabla152[[#This Row],[PRESENCIA DE RESTO FLORAL VERDE]],Tabla152[[#This Row],[PRESENCIA DE PEDÚNCULO]])/$X$10)</f>
        <v>0</v>
      </c>
      <c r="DZ196" s="16">
        <f>IF($X196="","",SUM(Tabla152[[#This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97" spans="1:130" x14ac:dyDescent="0.3">
      <c r="A197" s="9">
        <f>IF(W197="","",IF(ROW()=10,1,IF(W197=W196,A196,MAX($A$9:A196)+1)))</f>
        <v>62</v>
      </c>
      <c r="B197" s="9">
        <f>WEEKNUM(Tabla152[[#This Row],[FECHA DE COSECHA]],21)</f>
        <v>36</v>
      </c>
      <c r="C197" s="9"/>
      <c r="D197" s="17">
        <v>46268</v>
      </c>
      <c r="E197" s="17">
        <v>46268</v>
      </c>
      <c r="F197" s="9">
        <v>1</v>
      </c>
      <c r="G197" s="9" t="s">
        <v>77</v>
      </c>
      <c r="H197" s="9" t="s">
        <v>144</v>
      </c>
      <c r="I197" s="9" t="s">
        <v>188</v>
      </c>
      <c r="J197" s="9" t="s">
        <v>135</v>
      </c>
      <c r="K197" s="9" t="s">
        <v>146</v>
      </c>
      <c r="L197" s="9" t="s">
        <v>131</v>
      </c>
      <c r="M197" s="9" t="s">
        <v>239</v>
      </c>
      <c r="N197" s="9" t="s">
        <v>136</v>
      </c>
      <c r="O197" s="9" t="s">
        <v>137</v>
      </c>
      <c r="P197" s="9" t="s">
        <v>243</v>
      </c>
      <c r="Q197" s="9"/>
      <c r="R197" s="9">
        <v>7</v>
      </c>
      <c r="S197" s="9">
        <v>78114711</v>
      </c>
      <c r="T197" t="s">
        <v>233</v>
      </c>
      <c r="U197" s="9" t="s">
        <v>147</v>
      </c>
      <c r="V197" s="9"/>
      <c r="W197" s="19" t="s">
        <v>148</v>
      </c>
      <c r="X197" s="9">
        <v>62</v>
      </c>
      <c r="Y197" s="9">
        <v>2</v>
      </c>
      <c r="Z197" s="9">
        <v>15</v>
      </c>
      <c r="AA197" s="9" t="str">
        <f>IF(Tabla152[[#This Row],[NOTA]]=15,"CUMPLE","NO CUMPLE")</f>
        <v>CUMPLE</v>
      </c>
      <c r="AB197" s="9" t="str">
        <f>IF(COUNTIF($A$10:A197,A197)=1,IF(COUNTIFS($A:$A,A197,$AA:$AA,"NO CUMPLE")&gt;0,"NO CUMPLE","CUMPLE"),"")</f>
        <v/>
      </c>
      <c r="AC197" s="9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18"/>
      <c r="BX197" s="18">
        <f>IF($X197="","",AE197/$X$10)</f>
        <v>0</v>
      </c>
      <c r="BY197" s="18">
        <f>IF($X197="","",AF197/$X$10)</f>
        <v>0</v>
      </c>
      <c r="BZ197" s="18">
        <f>IF($X197="","",AG197/$X$10)</f>
        <v>0</v>
      </c>
      <c r="CA197" s="18">
        <f>IF($X197="","",AH197/$X$10)</f>
        <v>0</v>
      </c>
      <c r="CB197" s="18">
        <f t="shared" si="17"/>
        <v>0</v>
      </c>
      <c r="CC197" s="18">
        <f>IF($X197="","",AJ197/$X$10)</f>
        <v>0</v>
      </c>
      <c r="CD197" s="18">
        <f>IF($X197="","",AK197/$X$10)</f>
        <v>0</v>
      </c>
      <c r="CE197" s="18">
        <f>IF($X197="","",AL197/$X$10)</f>
        <v>0</v>
      </c>
      <c r="CF197" s="18">
        <f>IF($X197="","",AM197/$X$10)</f>
        <v>0</v>
      </c>
      <c r="CG197" s="18">
        <f>IF($X197="","",AN197/$X$10)</f>
        <v>0</v>
      </c>
      <c r="CH197" s="18">
        <f>IF($X197="","",AO197/$X$10)</f>
        <v>0</v>
      </c>
      <c r="CI197" s="18">
        <f>IF($X197="","",AP197/$X$10)</f>
        <v>0</v>
      </c>
      <c r="CJ197" s="18">
        <f>IF($X197="","",AQ197/$X$10)</f>
        <v>0</v>
      </c>
      <c r="CK197" s="18">
        <f>IF($X197="","",AR197/$X$10)</f>
        <v>0</v>
      </c>
      <c r="CL197" s="18">
        <f>IF($X197="","",AS197/$X$10)</f>
        <v>0</v>
      </c>
      <c r="CM197" s="18">
        <f>IF($X197="","",AT197/$X$10)</f>
        <v>0</v>
      </c>
      <c r="CN197" s="18">
        <f>IF($X197="","",AU197/$X$10)</f>
        <v>0</v>
      </c>
      <c r="CO197" s="18">
        <f>IF($X197="","",AV197/$X$10)</f>
        <v>0</v>
      </c>
      <c r="CP197" s="18">
        <f>IF($X197="","",AW197/$X$10)</f>
        <v>0</v>
      </c>
      <c r="CQ197" s="18">
        <f>IF($X197="","",AX197/$X$10)</f>
        <v>0</v>
      </c>
      <c r="CR197" s="18">
        <f>IF($X197="","",AY197/$X$10)</f>
        <v>0</v>
      </c>
      <c r="CS197" s="18">
        <f>IF($X197="","",AZ197/$X$10)</f>
        <v>0</v>
      </c>
      <c r="CT197" s="18">
        <f>IF($X197="","",BA197/$X$10)</f>
        <v>0</v>
      </c>
      <c r="CU197" s="18">
        <f>IF($X197="","",BB197/$X$10)</f>
        <v>0</v>
      </c>
      <c r="CV197" s="18">
        <f>IF($X197="","",BC197/$X$10)</f>
        <v>0</v>
      </c>
      <c r="CW197" s="18">
        <f>IF($X197="","",BD197/$X$10)</f>
        <v>0</v>
      </c>
      <c r="CX197" s="18">
        <f>IF($X197="","",BE197/$X$10)</f>
        <v>0</v>
      </c>
      <c r="CY197" s="18">
        <f>IF($X197="","",BF197/$X$10)</f>
        <v>0</v>
      </c>
      <c r="CZ197" s="18">
        <f>IF($X197="","",BG197/$X$10)</f>
        <v>0</v>
      </c>
      <c r="DA197" s="18">
        <f>IF($X197="","",BH197/$X$10)</f>
        <v>0</v>
      </c>
      <c r="DB197" s="18">
        <f>IF($X197="","",BI197/$X$10)</f>
        <v>0</v>
      </c>
      <c r="DC197" s="18">
        <f>IF($X197="","",BJ197/$X$10)</f>
        <v>0</v>
      </c>
      <c r="DD197" s="18">
        <f>IF($X197="","",BK197/$X$10)</f>
        <v>0</v>
      </c>
      <c r="DE197" s="18">
        <f>IF($X197="","",BL197/$X$10)</f>
        <v>0</v>
      </c>
      <c r="DF197" s="18">
        <f>IF($X197="","",BM197/$X$10)</f>
        <v>0</v>
      </c>
      <c r="DG197" s="18">
        <f t="shared" si="18"/>
        <v>0</v>
      </c>
      <c r="DH197" s="18">
        <f>IF($X197="","",BO197/$X$10)</f>
        <v>0</v>
      </c>
      <c r="DI197" s="18">
        <f>IF($X197="","",BP197/$X$10)</f>
        <v>0</v>
      </c>
      <c r="DJ197" s="18">
        <f>IF($X197="","",BQ197/$X$10)</f>
        <v>0</v>
      </c>
      <c r="DK197" s="18">
        <f>IF($X197="","",BR197/$X$10)</f>
        <v>0</v>
      </c>
      <c r="DL197" s="18">
        <f>IF($X197="","",BS197/$X$10)</f>
        <v>0</v>
      </c>
      <c r="DM197" s="18">
        <f>IF($X197="","",BT197/$X$10)</f>
        <v>0</v>
      </c>
      <c r="DN197" s="18">
        <f t="shared" si="19"/>
        <v>0</v>
      </c>
      <c r="DO197" s="16">
        <f>IF($X197="","",SUM(Tabla152[[#This Row],[PODRIDO]],Tabla152[[#This Row],[HONGO]],Tabla152[[#This Row],[PICADO DE AVE CON PUDRICIÓN]],Tabla152[[#This Row],[FUMAGINA]])/$X$10)</f>
        <v>0</v>
      </c>
      <c r="DP197" s="16">
        <f>IF($X197="","",SUM(Tabla152[[#This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97" s="16">
        <f>IF($X197="","",SUM(Tabla152[[#This Row],[BLANDO]:[COLAPSADO]])/$X$10)</f>
        <v>0</v>
      </c>
      <c r="DR197" s="16">
        <f>IF($X197="","",SUM(Tabla152[[#This Row],[DESHIDRATADO LEVE]:[DESHIDRATADO INMADURO]])/$X$10)</f>
        <v>0</v>
      </c>
      <c r="DS197" s="18">
        <f t="shared" si="15"/>
        <v>0</v>
      </c>
      <c r="DT197" s="16">
        <f>IF($X197="","",SUM(Tabla152[[#This Row],[PRESENCIA DE LARVA]],Tabla152[[#This Row],[CHANCHITO BLANCO]])/$X$10)</f>
        <v>0</v>
      </c>
      <c r="DU197" s="18">
        <f>IF($X197="","",SUM(Tabla152[[#This Row],[ROJO GRADO 2 A MÁS]],Tabla152[[#This Row],[IMMADURO VERDE]],Tabla152[[#This Row],[DESORDEN POR MADURACIÓN]],Tabla152[[#This Row],[ARO PEDICELAR VERDE EXTREMO]])/$X$10)</f>
        <v>0</v>
      </c>
      <c r="DV197" s="16">
        <f>IF($X197="","",SUM(Tabla152[[#This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97" s="16">
        <f t="shared" si="16"/>
        <v>0</v>
      </c>
      <c r="DX197" s="16">
        <f>IF($X197="","",AJ197/$X$10)</f>
        <v>0</v>
      </c>
      <c r="DY197" s="16">
        <f>IF($X197="","",SUM(Tabla152[[#This Row],[PRESENCIA DE COROLA]],Tabla152[[#This Row],[PRESENCIA DE RESTO FLORAL VERDE]],Tabla152[[#This Row],[PRESENCIA DE PEDÚNCULO]])/$X$10)</f>
        <v>0</v>
      </c>
      <c r="DZ197" s="16">
        <f>IF($X197="","",SUM(Tabla152[[#This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98" spans="1:130" x14ac:dyDescent="0.3">
      <c r="A198" s="9">
        <f>IF(W198="","",IF(ROW()=10,1,IF(W198=W197,A197,MAX($A$9:A197)+1)))</f>
        <v>62</v>
      </c>
      <c r="B198" s="9">
        <f>WEEKNUM(Tabla152[[#This Row],[FECHA DE COSECHA]],21)</f>
        <v>36</v>
      </c>
      <c r="C198" s="9"/>
      <c r="D198" s="17">
        <v>46268</v>
      </c>
      <c r="E198" s="17">
        <v>46268</v>
      </c>
      <c r="F198" s="9">
        <v>1</v>
      </c>
      <c r="G198" s="9" t="s">
        <v>77</v>
      </c>
      <c r="H198" s="9" t="s">
        <v>144</v>
      </c>
      <c r="I198" s="9" t="s">
        <v>188</v>
      </c>
      <c r="J198" s="9" t="s">
        <v>135</v>
      </c>
      <c r="K198" s="9" t="s">
        <v>146</v>
      </c>
      <c r="L198" s="9" t="s">
        <v>131</v>
      </c>
      <c r="M198" s="9" t="s">
        <v>239</v>
      </c>
      <c r="N198" s="9" t="s">
        <v>136</v>
      </c>
      <c r="O198" s="9" t="s">
        <v>137</v>
      </c>
      <c r="P198" s="9" t="s">
        <v>243</v>
      </c>
      <c r="Q198" s="9"/>
      <c r="R198" s="9">
        <v>7</v>
      </c>
      <c r="S198" s="9">
        <v>78114711</v>
      </c>
      <c r="T198" t="s">
        <v>233</v>
      </c>
      <c r="U198" s="9" t="s">
        <v>147</v>
      </c>
      <c r="V198" s="9"/>
      <c r="W198" s="19" t="s">
        <v>148</v>
      </c>
      <c r="X198" s="9">
        <v>62</v>
      </c>
      <c r="Y198" s="9">
        <v>3</v>
      </c>
      <c r="Z198" s="9">
        <v>15</v>
      </c>
      <c r="AA198" s="9" t="str">
        <f>IF(Tabla152[[#This Row],[NOTA]]=15,"CUMPLE","NO CUMPLE")</f>
        <v>CUMPLE</v>
      </c>
      <c r="AB198" s="9" t="str">
        <f>IF(COUNTIF($A$10:A198,A198)=1,IF(COUNTIFS($A:$A,A198,$AA:$AA,"NO CUMPLE")&gt;0,"NO CUMPLE","CUMPLE"),"")</f>
        <v/>
      </c>
      <c r="AC198" s="9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18"/>
      <c r="BX198" s="18">
        <f>IF($X198="","",AE198/$X$10)</f>
        <v>0</v>
      </c>
      <c r="BY198" s="18">
        <f>IF($X198="","",AF198/$X$10)</f>
        <v>0</v>
      </c>
      <c r="BZ198" s="18">
        <f>IF($X198="","",AG198/$X$10)</f>
        <v>0</v>
      </c>
      <c r="CA198" s="18">
        <f>IF($X198="","",AH198/$X$10)</f>
        <v>0</v>
      </c>
      <c r="CB198" s="18">
        <f t="shared" si="17"/>
        <v>0</v>
      </c>
      <c r="CC198" s="18">
        <f>IF($X198="","",AJ198/$X$10)</f>
        <v>0</v>
      </c>
      <c r="CD198" s="18">
        <f>IF($X198="","",AK198/$X$10)</f>
        <v>0</v>
      </c>
      <c r="CE198" s="18">
        <f>IF($X198="","",AL198/$X$10)</f>
        <v>0</v>
      </c>
      <c r="CF198" s="18">
        <f>IF($X198="","",AM198/$X$10)</f>
        <v>0</v>
      </c>
      <c r="CG198" s="18">
        <f>IF($X198="","",AN198/$X$10)</f>
        <v>0</v>
      </c>
      <c r="CH198" s="18">
        <f>IF($X198="","",AO198/$X$10)</f>
        <v>0</v>
      </c>
      <c r="CI198" s="18">
        <f>IF($X198="","",AP198/$X$10)</f>
        <v>0</v>
      </c>
      <c r="CJ198" s="18">
        <f>IF($X198="","",AQ198/$X$10)</f>
        <v>0</v>
      </c>
      <c r="CK198" s="18">
        <f>IF($X198="","",AR198/$X$10)</f>
        <v>0</v>
      </c>
      <c r="CL198" s="18">
        <f>IF($X198="","",AS198/$X$10)</f>
        <v>0</v>
      </c>
      <c r="CM198" s="18">
        <f>IF($X198="","",AT198/$X$10)</f>
        <v>0</v>
      </c>
      <c r="CN198" s="18">
        <f>IF($X198="","",AU198/$X$10)</f>
        <v>0</v>
      </c>
      <c r="CO198" s="18">
        <f>IF($X198="","",AV198/$X$10)</f>
        <v>0</v>
      </c>
      <c r="CP198" s="18">
        <f>IF($X198="","",AW198/$X$10)</f>
        <v>0</v>
      </c>
      <c r="CQ198" s="18">
        <f>IF($X198="","",AX198/$X$10)</f>
        <v>0</v>
      </c>
      <c r="CR198" s="18">
        <f>IF($X198="","",AY198/$X$10)</f>
        <v>0</v>
      </c>
      <c r="CS198" s="18">
        <f>IF($X198="","",AZ198/$X$10)</f>
        <v>0</v>
      </c>
      <c r="CT198" s="18">
        <f>IF($X198="","",BA198/$X$10)</f>
        <v>0</v>
      </c>
      <c r="CU198" s="18">
        <f>IF($X198="","",BB198/$X$10)</f>
        <v>0</v>
      </c>
      <c r="CV198" s="18">
        <f>IF($X198="","",BC198/$X$10)</f>
        <v>0</v>
      </c>
      <c r="CW198" s="18">
        <f>IF($X198="","",BD198/$X$10)</f>
        <v>0</v>
      </c>
      <c r="CX198" s="18">
        <f>IF($X198="","",BE198/$X$10)</f>
        <v>0</v>
      </c>
      <c r="CY198" s="18">
        <f>IF($X198="","",BF198/$X$10)</f>
        <v>0</v>
      </c>
      <c r="CZ198" s="18">
        <f>IF($X198="","",BG198/$X$10)</f>
        <v>0</v>
      </c>
      <c r="DA198" s="18">
        <f>IF($X198="","",BH198/$X$10)</f>
        <v>0</v>
      </c>
      <c r="DB198" s="18">
        <f>IF($X198="","",BI198/$X$10)</f>
        <v>0</v>
      </c>
      <c r="DC198" s="18">
        <f>IF($X198="","",BJ198/$X$10)</f>
        <v>0</v>
      </c>
      <c r="DD198" s="18">
        <f>IF($X198="","",BK198/$X$10)</f>
        <v>0</v>
      </c>
      <c r="DE198" s="18">
        <f>IF($X198="","",BL198/$X$10)</f>
        <v>0</v>
      </c>
      <c r="DF198" s="18">
        <f>IF($X198="","",BM198/$X$10)</f>
        <v>0</v>
      </c>
      <c r="DG198" s="18">
        <f t="shared" si="18"/>
        <v>0</v>
      </c>
      <c r="DH198" s="18">
        <f>IF($X198="","",BO198/$X$10)</f>
        <v>0</v>
      </c>
      <c r="DI198" s="18">
        <f>IF($X198="","",BP198/$X$10)</f>
        <v>0</v>
      </c>
      <c r="DJ198" s="18">
        <f>IF($X198="","",BQ198/$X$10)</f>
        <v>0</v>
      </c>
      <c r="DK198" s="18">
        <f>IF($X198="","",BR198/$X$10)</f>
        <v>0</v>
      </c>
      <c r="DL198" s="18">
        <f>IF($X198="","",BS198/$X$10)</f>
        <v>0</v>
      </c>
      <c r="DM198" s="18">
        <f>IF($X198="","",BT198/$X$10)</f>
        <v>0</v>
      </c>
      <c r="DN198" s="18">
        <f t="shared" si="19"/>
        <v>0</v>
      </c>
      <c r="DO198" s="16">
        <f>IF($X198="","",SUM(Tabla152[[#This Row],[PODRIDO]],Tabla152[[#This Row],[HONGO]],Tabla152[[#This Row],[PICADO DE AVE CON PUDRICIÓN]],Tabla152[[#This Row],[FUMAGINA]])/$X$10)</f>
        <v>0</v>
      </c>
      <c r="DP198" s="16">
        <f>IF($X198="","",SUM(Tabla152[[#This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98" s="16">
        <f>IF($X198="","",SUM(Tabla152[[#This Row],[BLANDO]:[COLAPSADO]])/$X$10)</f>
        <v>0</v>
      </c>
      <c r="DR198" s="16">
        <f>IF($X198="","",SUM(Tabla152[[#This Row],[DESHIDRATADO LEVE]:[DESHIDRATADO INMADURO]])/$X$10)</f>
        <v>0</v>
      </c>
      <c r="DS198" s="18">
        <f t="shared" si="15"/>
        <v>0</v>
      </c>
      <c r="DT198" s="16">
        <f>IF($X198="","",SUM(Tabla152[[#This Row],[PRESENCIA DE LARVA]],Tabla152[[#This Row],[CHANCHITO BLANCO]])/$X$10)</f>
        <v>0</v>
      </c>
      <c r="DU198" s="18">
        <f>IF($X198="","",SUM(Tabla152[[#This Row],[ROJO GRADO 2 A MÁS]],Tabla152[[#This Row],[IMMADURO VERDE]],Tabla152[[#This Row],[DESORDEN POR MADURACIÓN]],Tabla152[[#This Row],[ARO PEDICELAR VERDE EXTREMO]])/$X$10)</f>
        <v>0</v>
      </c>
      <c r="DV198" s="16">
        <f>IF($X198="","",SUM(Tabla152[[#This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98" s="16">
        <f t="shared" si="16"/>
        <v>0</v>
      </c>
      <c r="DX198" s="16">
        <f>IF($X198="","",AJ198/$X$10)</f>
        <v>0</v>
      </c>
      <c r="DY198" s="16">
        <f>IF($X198="","",SUM(Tabla152[[#This Row],[PRESENCIA DE COROLA]],Tabla152[[#This Row],[PRESENCIA DE RESTO FLORAL VERDE]],Tabla152[[#This Row],[PRESENCIA DE PEDÚNCULO]])/$X$10)</f>
        <v>0</v>
      </c>
      <c r="DZ198" s="16">
        <f>IF($X198="","",SUM(Tabla152[[#This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199" spans="1:130" x14ac:dyDescent="0.3">
      <c r="A199" s="9">
        <f>IF(W199="","",IF(ROW()=10,1,IF(W199=W198,A198,MAX($A$9:A198)+1)))</f>
        <v>63</v>
      </c>
      <c r="B199" s="9">
        <f>WEEKNUM(Tabla152[[#This Row],[FECHA DE COSECHA]],21)</f>
        <v>36</v>
      </c>
      <c r="C199" s="9"/>
      <c r="D199" s="17">
        <v>46268</v>
      </c>
      <c r="E199" s="17">
        <v>46268</v>
      </c>
      <c r="F199" s="9">
        <v>1</v>
      </c>
      <c r="G199" s="9" t="s">
        <v>77</v>
      </c>
      <c r="H199" s="9" t="s">
        <v>144</v>
      </c>
      <c r="I199" s="9" t="s">
        <v>188</v>
      </c>
      <c r="J199" s="9" t="s">
        <v>135</v>
      </c>
      <c r="K199" s="9" t="s">
        <v>146</v>
      </c>
      <c r="L199" s="9" t="s">
        <v>131</v>
      </c>
      <c r="M199" s="9" t="s">
        <v>239</v>
      </c>
      <c r="N199" s="9" t="s">
        <v>136</v>
      </c>
      <c r="O199" s="9" t="s">
        <v>137</v>
      </c>
      <c r="P199" s="9" t="s">
        <v>243</v>
      </c>
      <c r="Q199" s="9"/>
      <c r="R199" s="9">
        <v>7</v>
      </c>
      <c r="S199" s="9">
        <v>78114711</v>
      </c>
      <c r="T199" t="s">
        <v>233</v>
      </c>
      <c r="U199" s="9" t="s">
        <v>147</v>
      </c>
      <c r="V199" s="9"/>
      <c r="W199" s="19" t="s">
        <v>209</v>
      </c>
      <c r="X199" s="9">
        <v>62</v>
      </c>
      <c r="Y199" s="9">
        <v>1</v>
      </c>
      <c r="Z199" s="9">
        <v>15</v>
      </c>
      <c r="AA199" s="9" t="str">
        <f>IF(Tabla152[[#This Row],[NOTA]]=15,"CUMPLE","NO CUMPLE")</f>
        <v>CUMPLE</v>
      </c>
      <c r="AB199" s="9" t="str">
        <f>IF(COUNTIF($A$10:A199,A199)=1,IF(COUNTIFS($A:$A,A199,$AA:$AA,"NO CUMPLE")&gt;0,"NO CUMPLE","CUMPLE"),"")</f>
        <v>CUMPLE</v>
      </c>
      <c r="AC199" s="9" t="s">
        <v>140</v>
      </c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18"/>
      <c r="BX199" s="18">
        <f>IF($X199="","",AE199/$X$10)</f>
        <v>0</v>
      </c>
      <c r="BY199" s="18">
        <f>IF($X199="","",AF199/$X$10)</f>
        <v>0</v>
      </c>
      <c r="BZ199" s="18">
        <f>IF($X199="","",AG199/$X$10)</f>
        <v>0</v>
      </c>
      <c r="CA199" s="18">
        <f>IF($X199="","",AH199/$X$10)</f>
        <v>0</v>
      </c>
      <c r="CB199" s="18">
        <f t="shared" si="17"/>
        <v>0</v>
      </c>
      <c r="CC199" s="18">
        <f>IF($X199="","",AJ199/$X$10)</f>
        <v>0</v>
      </c>
      <c r="CD199" s="18">
        <f>IF($X199="","",AK199/$X$10)</f>
        <v>0</v>
      </c>
      <c r="CE199" s="18">
        <f>IF($X199="","",AL199/$X$10)</f>
        <v>0</v>
      </c>
      <c r="CF199" s="18">
        <f>IF($X199="","",AM199/$X$10)</f>
        <v>0</v>
      </c>
      <c r="CG199" s="18">
        <f>IF($X199="","",AN199/$X$10)</f>
        <v>0</v>
      </c>
      <c r="CH199" s="18">
        <f>IF($X199="","",AO199/$X$10)</f>
        <v>0</v>
      </c>
      <c r="CI199" s="18">
        <f>IF($X199="","",AP199/$X$10)</f>
        <v>0</v>
      </c>
      <c r="CJ199" s="18">
        <f>IF($X199="","",AQ199/$X$10)</f>
        <v>0</v>
      </c>
      <c r="CK199" s="18">
        <f>IF($X199="","",AR199/$X$10)</f>
        <v>0</v>
      </c>
      <c r="CL199" s="18">
        <f>IF($X199="","",AS199/$X$10)</f>
        <v>0</v>
      </c>
      <c r="CM199" s="18">
        <f>IF($X199="","",AT199/$X$10)</f>
        <v>0</v>
      </c>
      <c r="CN199" s="18">
        <f>IF($X199="","",AU199/$X$10)</f>
        <v>0</v>
      </c>
      <c r="CO199" s="18">
        <f>IF($X199="","",AV199/$X$10)</f>
        <v>0</v>
      </c>
      <c r="CP199" s="18">
        <f>IF($X199="","",AW199/$X$10)</f>
        <v>0</v>
      </c>
      <c r="CQ199" s="18">
        <f>IF($X199="","",AX199/$X$10)</f>
        <v>0</v>
      </c>
      <c r="CR199" s="18">
        <f>IF($X199="","",AY199/$X$10)</f>
        <v>0</v>
      </c>
      <c r="CS199" s="18">
        <f>IF($X199="","",AZ199/$X$10)</f>
        <v>0</v>
      </c>
      <c r="CT199" s="18">
        <f>IF($X199="","",BA199/$X$10)</f>
        <v>0</v>
      </c>
      <c r="CU199" s="18">
        <f>IF($X199="","",BB199/$X$10)</f>
        <v>0</v>
      </c>
      <c r="CV199" s="18">
        <f>IF($X199="","",BC199/$X$10)</f>
        <v>0</v>
      </c>
      <c r="CW199" s="18">
        <f>IF($X199="","",BD199/$X$10)</f>
        <v>0</v>
      </c>
      <c r="CX199" s="18">
        <f>IF($X199="","",BE199/$X$10)</f>
        <v>0</v>
      </c>
      <c r="CY199" s="18">
        <f>IF($X199="","",BF199/$X$10)</f>
        <v>0</v>
      </c>
      <c r="CZ199" s="18">
        <f>IF($X199="","",BG199/$X$10)</f>
        <v>0</v>
      </c>
      <c r="DA199" s="18">
        <f>IF($X199="","",BH199/$X$10)</f>
        <v>0</v>
      </c>
      <c r="DB199" s="18">
        <f>IF($X199="","",BI199/$X$10)</f>
        <v>0</v>
      </c>
      <c r="DC199" s="18">
        <f>IF($X199="","",BJ199/$X$10)</f>
        <v>0</v>
      </c>
      <c r="DD199" s="18">
        <f>IF($X199="","",BK199/$X$10)</f>
        <v>0</v>
      </c>
      <c r="DE199" s="18">
        <f>IF($X199="","",BL199/$X$10)</f>
        <v>0</v>
      </c>
      <c r="DF199" s="18">
        <f>IF($X199="","",BM199/$X$10)</f>
        <v>0</v>
      </c>
      <c r="DG199" s="18">
        <f t="shared" si="18"/>
        <v>0</v>
      </c>
      <c r="DH199" s="18">
        <f>IF($X199="","",BO199/$X$10)</f>
        <v>0</v>
      </c>
      <c r="DI199" s="18">
        <f>IF($X199="","",BP199/$X$10)</f>
        <v>0</v>
      </c>
      <c r="DJ199" s="18">
        <f>IF($X199="","",BQ199/$X$10)</f>
        <v>0</v>
      </c>
      <c r="DK199" s="18">
        <f>IF($X199="","",BR199/$X$10)</f>
        <v>0</v>
      </c>
      <c r="DL199" s="18">
        <f>IF($X199="","",BS199/$X$10)</f>
        <v>0</v>
      </c>
      <c r="DM199" s="18">
        <f>IF($X199="","",BT199/$X$10)</f>
        <v>0</v>
      </c>
      <c r="DN199" s="18">
        <f t="shared" si="19"/>
        <v>0</v>
      </c>
      <c r="DO199" s="16">
        <f>IF($X199="","",SUM(Tabla152[[#This Row],[PODRIDO]],Tabla152[[#This Row],[HONGO]],Tabla152[[#This Row],[PICADO DE AVE CON PUDRICIÓN]],Tabla152[[#This Row],[FUMAGINA]])/$X$10)</f>
        <v>0</v>
      </c>
      <c r="DP199" s="16">
        <f>IF($X199="","",SUM(Tabla152[[#This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199" s="16">
        <f>IF($X199="","",SUM(Tabla152[[#This Row],[BLANDO]:[COLAPSADO]])/$X$10)</f>
        <v>0</v>
      </c>
      <c r="DR199" s="16">
        <f>IF($X199="","",SUM(Tabla152[[#This Row],[DESHIDRATADO LEVE]:[DESHIDRATADO INMADURO]])/$X$10)</f>
        <v>0</v>
      </c>
      <c r="DS199" s="18">
        <f t="shared" si="15"/>
        <v>0</v>
      </c>
      <c r="DT199" s="16">
        <f>IF($X199="","",SUM(Tabla152[[#This Row],[PRESENCIA DE LARVA]],Tabla152[[#This Row],[CHANCHITO BLANCO]])/$X$10)</f>
        <v>0</v>
      </c>
      <c r="DU199" s="18">
        <f>IF($X199="","",SUM(Tabla152[[#This Row],[ROJO GRADO 2 A MÁS]],Tabla152[[#This Row],[IMMADURO VERDE]],Tabla152[[#This Row],[DESORDEN POR MADURACIÓN]],Tabla152[[#This Row],[ARO PEDICELAR VERDE EXTREMO]])/$X$10)</f>
        <v>0</v>
      </c>
      <c r="DV199" s="16">
        <f>IF($X199="","",SUM(Tabla152[[#This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199" s="16">
        <f t="shared" si="16"/>
        <v>0</v>
      </c>
      <c r="DX199" s="16">
        <f>IF($X199="","",AJ199/$X$10)</f>
        <v>0</v>
      </c>
      <c r="DY199" s="16">
        <f>IF($X199="","",SUM(Tabla152[[#This Row],[PRESENCIA DE COROLA]],Tabla152[[#This Row],[PRESENCIA DE RESTO FLORAL VERDE]],Tabla152[[#This Row],[PRESENCIA DE PEDÚNCULO]])/$X$10)</f>
        <v>0</v>
      </c>
      <c r="DZ199" s="16">
        <f>IF($X199="","",SUM(Tabla152[[#This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00" spans="1:130" x14ac:dyDescent="0.3">
      <c r="A200" s="9">
        <f>IF(W200="","",IF(ROW()=10,1,IF(W200=W199,A199,MAX($A$9:A199)+1)))</f>
        <v>63</v>
      </c>
      <c r="B200" s="9">
        <f>WEEKNUM(Tabla152[[#This Row],[FECHA DE COSECHA]],21)</f>
        <v>36</v>
      </c>
      <c r="C200" s="9"/>
      <c r="D200" s="17">
        <v>46268</v>
      </c>
      <c r="E200" s="17">
        <v>46268</v>
      </c>
      <c r="F200" s="9">
        <v>1</v>
      </c>
      <c r="G200" s="9" t="s">
        <v>77</v>
      </c>
      <c r="H200" s="9" t="s">
        <v>144</v>
      </c>
      <c r="I200" s="9" t="s">
        <v>188</v>
      </c>
      <c r="J200" s="9" t="s">
        <v>135</v>
      </c>
      <c r="K200" s="9" t="s">
        <v>146</v>
      </c>
      <c r="L200" s="9" t="s">
        <v>131</v>
      </c>
      <c r="M200" s="9" t="s">
        <v>239</v>
      </c>
      <c r="N200" s="9" t="s">
        <v>136</v>
      </c>
      <c r="O200" s="9" t="s">
        <v>137</v>
      </c>
      <c r="P200" s="9" t="s">
        <v>243</v>
      </c>
      <c r="Q200" s="9"/>
      <c r="R200" s="9">
        <v>7</v>
      </c>
      <c r="S200" s="9">
        <v>78114711</v>
      </c>
      <c r="T200" t="s">
        <v>233</v>
      </c>
      <c r="U200" s="9" t="s">
        <v>147</v>
      </c>
      <c r="V200" s="9"/>
      <c r="W200" s="19" t="s">
        <v>209</v>
      </c>
      <c r="X200" s="9">
        <v>62</v>
      </c>
      <c r="Y200" s="9">
        <v>2</v>
      </c>
      <c r="Z200" s="9">
        <v>15</v>
      </c>
      <c r="AA200" s="9" t="str">
        <f>IF(Tabla152[[#This Row],[NOTA]]=15,"CUMPLE","NO CUMPLE")</f>
        <v>CUMPLE</v>
      </c>
      <c r="AB200" s="9" t="str">
        <f>IF(COUNTIF($A$10:A200,A200)=1,IF(COUNTIFS($A:$A,A200,$AA:$AA,"NO CUMPLE")&gt;0,"NO CUMPLE","CUMPLE"),"")</f>
        <v/>
      </c>
      <c r="AC200" s="9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18"/>
      <c r="BX200" s="18">
        <f>IF($X200="","",AE200/$X$10)</f>
        <v>0</v>
      </c>
      <c r="BY200" s="18">
        <f>IF($X200="","",AF200/$X$10)</f>
        <v>0</v>
      </c>
      <c r="BZ200" s="18">
        <f>IF($X200="","",AG200/$X$10)</f>
        <v>0</v>
      </c>
      <c r="CA200" s="18">
        <f>IF($X200="","",AH200/$X$10)</f>
        <v>0</v>
      </c>
      <c r="CB200" s="18">
        <f t="shared" si="17"/>
        <v>0</v>
      </c>
      <c r="CC200" s="18">
        <f>IF($X200="","",AJ200/$X$10)</f>
        <v>0</v>
      </c>
      <c r="CD200" s="18">
        <f>IF($X200="","",AK200/$X$10)</f>
        <v>0</v>
      </c>
      <c r="CE200" s="18">
        <f>IF($X200="","",AL200/$X$10)</f>
        <v>0</v>
      </c>
      <c r="CF200" s="18">
        <f>IF($X200="","",AM200/$X$10)</f>
        <v>0</v>
      </c>
      <c r="CG200" s="18">
        <f>IF($X200="","",AN200/$X$10)</f>
        <v>0</v>
      </c>
      <c r="CH200" s="18">
        <f>IF($X200="","",AO200/$X$10)</f>
        <v>0</v>
      </c>
      <c r="CI200" s="18">
        <f>IF($X200="","",AP200/$X$10)</f>
        <v>0</v>
      </c>
      <c r="CJ200" s="18">
        <f>IF($X200="","",AQ200/$X$10)</f>
        <v>0</v>
      </c>
      <c r="CK200" s="18">
        <f>IF($X200="","",AR200/$X$10)</f>
        <v>0</v>
      </c>
      <c r="CL200" s="18">
        <f>IF($X200="","",AS200/$X$10)</f>
        <v>0</v>
      </c>
      <c r="CM200" s="18">
        <f>IF($X200="","",AT200/$X$10)</f>
        <v>0</v>
      </c>
      <c r="CN200" s="18">
        <f>IF($X200="","",AU200/$X$10)</f>
        <v>0</v>
      </c>
      <c r="CO200" s="18">
        <f>IF($X200="","",AV200/$X$10)</f>
        <v>0</v>
      </c>
      <c r="CP200" s="18">
        <f>IF($X200="","",AW200/$X$10)</f>
        <v>0</v>
      </c>
      <c r="CQ200" s="18">
        <f>IF($X200="","",AX200/$X$10)</f>
        <v>0</v>
      </c>
      <c r="CR200" s="18">
        <f>IF($X200="","",AY200/$X$10)</f>
        <v>0</v>
      </c>
      <c r="CS200" s="18">
        <f>IF($X200="","",AZ200/$X$10)</f>
        <v>0</v>
      </c>
      <c r="CT200" s="18">
        <f>IF($X200="","",BA200/$X$10)</f>
        <v>0</v>
      </c>
      <c r="CU200" s="18">
        <f>IF($X200="","",BB200/$X$10)</f>
        <v>0</v>
      </c>
      <c r="CV200" s="18">
        <f>IF($X200="","",BC200/$X$10)</f>
        <v>0</v>
      </c>
      <c r="CW200" s="18">
        <f>IF($X200="","",BD200/$X$10)</f>
        <v>0</v>
      </c>
      <c r="CX200" s="18">
        <f>IF($X200="","",BE200/$X$10)</f>
        <v>0</v>
      </c>
      <c r="CY200" s="18">
        <f>IF($X200="","",BF200/$X$10)</f>
        <v>0</v>
      </c>
      <c r="CZ200" s="18">
        <f>IF($X200="","",BG200/$X$10)</f>
        <v>0</v>
      </c>
      <c r="DA200" s="18">
        <f>IF($X200="","",BH200/$X$10)</f>
        <v>0</v>
      </c>
      <c r="DB200" s="18">
        <f>IF($X200="","",BI200/$X$10)</f>
        <v>0</v>
      </c>
      <c r="DC200" s="18">
        <f>IF($X200="","",BJ200/$X$10)</f>
        <v>0</v>
      </c>
      <c r="DD200" s="18">
        <f>IF($X200="","",BK200/$X$10)</f>
        <v>0</v>
      </c>
      <c r="DE200" s="18">
        <f>IF($X200="","",BL200/$X$10)</f>
        <v>0</v>
      </c>
      <c r="DF200" s="18">
        <f>IF($X200="","",BM200/$X$10)</f>
        <v>0</v>
      </c>
      <c r="DG200" s="18">
        <f t="shared" si="18"/>
        <v>0</v>
      </c>
      <c r="DH200" s="18">
        <f>IF($X200="","",BO200/$X$10)</f>
        <v>0</v>
      </c>
      <c r="DI200" s="18">
        <f>IF($X200="","",BP200/$X$10)</f>
        <v>0</v>
      </c>
      <c r="DJ200" s="18">
        <f>IF($X200="","",BQ200/$X$10)</f>
        <v>0</v>
      </c>
      <c r="DK200" s="18">
        <f>IF($X200="","",BR200/$X$10)</f>
        <v>0</v>
      </c>
      <c r="DL200" s="18">
        <f>IF($X200="","",BS200/$X$10)</f>
        <v>0</v>
      </c>
      <c r="DM200" s="18">
        <f>IF($X200="","",BT200/$X$10)</f>
        <v>0</v>
      </c>
      <c r="DN200" s="18">
        <f t="shared" si="19"/>
        <v>0</v>
      </c>
      <c r="DO200" s="16">
        <f>IF($X200="","",SUM(Tabla152[[#This Row],[PODRIDO]],Tabla152[[#This Row],[HONGO]],Tabla152[[#This Row],[PICADO DE AVE CON PUDRICIÓN]],Tabla152[[#This Row],[FUMAGINA]])/$X$10)</f>
        <v>0</v>
      </c>
      <c r="DP200" s="16">
        <f>IF($X200="","",SUM(Tabla152[[#This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00" s="16">
        <f>IF($X200="","",SUM(Tabla152[[#This Row],[BLANDO]:[COLAPSADO]])/$X$10)</f>
        <v>0</v>
      </c>
      <c r="DR200" s="16">
        <f>IF($X200="","",SUM(Tabla152[[#This Row],[DESHIDRATADO LEVE]:[DESHIDRATADO INMADURO]])/$X$10)</f>
        <v>0</v>
      </c>
      <c r="DS200" s="18">
        <f t="shared" si="15"/>
        <v>0</v>
      </c>
      <c r="DT200" s="16">
        <f>IF($X200="","",SUM(Tabla152[[#This Row],[PRESENCIA DE LARVA]],Tabla152[[#This Row],[CHANCHITO BLANCO]])/$X$10)</f>
        <v>0</v>
      </c>
      <c r="DU200" s="18">
        <f>IF($X200="","",SUM(Tabla152[[#This Row],[ROJO GRADO 2 A MÁS]],Tabla152[[#This Row],[IMMADURO VERDE]],Tabla152[[#This Row],[DESORDEN POR MADURACIÓN]],Tabla152[[#This Row],[ARO PEDICELAR VERDE EXTREMO]])/$X$10)</f>
        <v>0</v>
      </c>
      <c r="DV200" s="16">
        <f>IF($X200="","",SUM(Tabla152[[#This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00" s="16">
        <f t="shared" si="16"/>
        <v>0</v>
      </c>
      <c r="DX200" s="16">
        <f>IF($X200="","",AJ200/$X$10)</f>
        <v>0</v>
      </c>
      <c r="DY200" s="16">
        <f>IF($X200="","",SUM(Tabla152[[#This Row],[PRESENCIA DE COROLA]],Tabla152[[#This Row],[PRESENCIA DE RESTO FLORAL VERDE]],Tabla152[[#This Row],[PRESENCIA DE PEDÚNCULO]])/$X$10)</f>
        <v>0</v>
      </c>
      <c r="DZ200" s="16">
        <f>IF($X200="","",SUM(Tabla152[[#This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01" spans="1:130" x14ac:dyDescent="0.3">
      <c r="A201" s="9">
        <f>IF(W201="","",IF(ROW()=10,1,IF(W201=W200,A200,MAX($A$9:A200)+1)))</f>
        <v>63</v>
      </c>
      <c r="B201" s="9">
        <f>WEEKNUM(Tabla152[[#This Row],[FECHA DE COSECHA]],21)</f>
        <v>36</v>
      </c>
      <c r="C201" s="9"/>
      <c r="D201" s="17">
        <v>46268</v>
      </c>
      <c r="E201" s="17">
        <v>46268</v>
      </c>
      <c r="F201" s="9">
        <v>1</v>
      </c>
      <c r="G201" s="9" t="s">
        <v>77</v>
      </c>
      <c r="H201" s="9" t="s">
        <v>144</v>
      </c>
      <c r="I201" s="9" t="s">
        <v>188</v>
      </c>
      <c r="J201" s="9" t="s">
        <v>135</v>
      </c>
      <c r="K201" s="9" t="s">
        <v>146</v>
      </c>
      <c r="L201" s="9" t="s">
        <v>131</v>
      </c>
      <c r="M201" s="9" t="s">
        <v>239</v>
      </c>
      <c r="N201" s="9" t="s">
        <v>136</v>
      </c>
      <c r="O201" s="9" t="s">
        <v>137</v>
      </c>
      <c r="P201" s="9" t="s">
        <v>243</v>
      </c>
      <c r="Q201" s="9"/>
      <c r="R201" s="9">
        <v>7</v>
      </c>
      <c r="S201" s="9">
        <v>78114711</v>
      </c>
      <c r="T201" t="s">
        <v>233</v>
      </c>
      <c r="U201" s="9" t="s">
        <v>147</v>
      </c>
      <c r="V201" s="9"/>
      <c r="W201" s="19" t="s">
        <v>209</v>
      </c>
      <c r="X201" s="9">
        <v>62</v>
      </c>
      <c r="Y201" s="9">
        <v>3</v>
      </c>
      <c r="Z201" s="9">
        <v>15</v>
      </c>
      <c r="AA201" s="9" t="str">
        <f>IF(Tabla152[[#This Row],[NOTA]]=15,"CUMPLE","NO CUMPLE")</f>
        <v>CUMPLE</v>
      </c>
      <c r="AB201" s="9" t="str">
        <f>IF(COUNTIF($A$10:A201,A201)=1,IF(COUNTIFS($A:$A,A201,$AA:$AA,"NO CUMPLE")&gt;0,"NO CUMPLE","CUMPLE"),"")</f>
        <v/>
      </c>
      <c r="AC201" s="9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18"/>
      <c r="BX201" s="18">
        <f>IF($X201="","",AE201/$X$10)</f>
        <v>0</v>
      </c>
      <c r="BY201" s="18">
        <f>IF($X201="","",AF201/$X$10)</f>
        <v>0</v>
      </c>
      <c r="BZ201" s="18">
        <f>IF($X201="","",AG201/$X$10)</f>
        <v>0</v>
      </c>
      <c r="CA201" s="18">
        <f>IF($X201="","",AH201/$X$10)</f>
        <v>0</v>
      </c>
      <c r="CB201" s="18">
        <f t="shared" si="17"/>
        <v>0</v>
      </c>
      <c r="CC201" s="18">
        <f>IF($X201="","",AJ201/$X$10)</f>
        <v>0</v>
      </c>
      <c r="CD201" s="18">
        <f>IF($X201="","",AK201/$X$10)</f>
        <v>0</v>
      </c>
      <c r="CE201" s="18">
        <f>IF($X201="","",AL201/$X$10)</f>
        <v>0</v>
      </c>
      <c r="CF201" s="18">
        <f>IF($X201="","",AM201/$X$10)</f>
        <v>0</v>
      </c>
      <c r="CG201" s="18">
        <f>IF($X201="","",AN201/$X$10)</f>
        <v>0</v>
      </c>
      <c r="CH201" s="18">
        <f>IF($X201="","",AO201/$X$10)</f>
        <v>0</v>
      </c>
      <c r="CI201" s="18">
        <f>IF($X201="","",AP201/$X$10)</f>
        <v>0</v>
      </c>
      <c r="CJ201" s="18">
        <f>IF($X201="","",AQ201/$X$10)</f>
        <v>0</v>
      </c>
      <c r="CK201" s="18">
        <f>IF($X201="","",AR201/$X$10)</f>
        <v>0</v>
      </c>
      <c r="CL201" s="18">
        <f>IF($X201="","",AS201/$X$10)</f>
        <v>0</v>
      </c>
      <c r="CM201" s="18">
        <f>IF($X201="","",AT201/$X$10)</f>
        <v>0</v>
      </c>
      <c r="CN201" s="18">
        <f>IF($X201="","",AU201/$X$10)</f>
        <v>0</v>
      </c>
      <c r="CO201" s="18">
        <f>IF($X201="","",AV201/$X$10)</f>
        <v>0</v>
      </c>
      <c r="CP201" s="18">
        <f>IF($X201="","",AW201/$X$10)</f>
        <v>0</v>
      </c>
      <c r="CQ201" s="18">
        <f>IF($X201="","",AX201/$X$10)</f>
        <v>0</v>
      </c>
      <c r="CR201" s="18">
        <f>IF($X201="","",AY201/$X$10)</f>
        <v>0</v>
      </c>
      <c r="CS201" s="18">
        <f>IF($X201="","",AZ201/$X$10)</f>
        <v>0</v>
      </c>
      <c r="CT201" s="18">
        <f>IF($X201="","",BA201/$X$10)</f>
        <v>0</v>
      </c>
      <c r="CU201" s="18">
        <f>IF($X201="","",BB201/$X$10)</f>
        <v>0</v>
      </c>
      <c r="CV201" s="18">
        <f>IF($X201="","",BC201/$X$10)</f>
        <v>0</v>
      </c>
      <c r="CW201" s="18">
        <f>IF($X201="","",BD201/$X$10)</f>
        <v>0</v>
      </c>
      <c r="CX201" s="18">
        <f>IF($X201="","",BE201/$X$10)</f>
        <v>0</v>
      </c>
      <c r="CY201" s="18">
        <f>IF($X201="","",BF201/$X$10)</f>
        <v>0</v>
      </c>
      <c r="CZ201" s="18">
        <f>IF($X201="","",BG201/$X$10)</f>
        <v>0</v>
      </c>
      <c r="DA201" s="18">
        <f>IF($X201="","",BH201/$X$10)</f>
        <v>0</v>
      </c>
      <c r="DB201" s="18">
        <f>IF($X201="","",BI201/$X$10)</f>
        <v>0</v>
      </c>
      <c r="DC201" s="18">
        <f>IF($X201="","",BJ201/$X$10)</f>
        <v>0</v>
      </c>
      <c r="DD201" s="18">
        <f>IF($X201="","",BK201/$X$10)</f>
        <v>0</v>
      </c>
      <c r="DE201" s="18">
        <f>IF($X201="","",BL201/$X$10)</f>
        <v>0</v>
      </c>
      <c r="DF201" s="18">
        <f>IF($X201="","",BM201/$X$10)</f>
        <v>0</v>
      </c>
      <c r="DG201" s="18">
        <f t="shared" si="18"/>
        <v>0</v>
      </c>
      <c r="DH201" s="18">
        <f>IF($X201="","",BO201/$X$10)</f>
        <v>0</v>
      </c>
      <c r="DI201" s="18">
        <f>IF($X201="","",BP201/$X$10)</f>
        <v>0</v>
      </c>
      <c r="DJ201" s="18">
        <f>IF($X201="","",BQ201/$X$10)</f>
        <v>0</v>
      </c>
      <c r="DK201" s="18">
        <f>IF($X201="","",BR201/$X$10)</f>
        <v>0</v>
      </c>
      <c r="DL201" s="18">
        <f>IF($X201="","",BS201/$X$10)</f>
        <v>0</v>
      </c>
      <c r="DM201" s="18">
        <f>IF($X201="","",BT201/$X$10)</f>
        <v>0</v>
      </c>
      <c r="DN201" s="18">
        <f t="shared" ref="DN201:DN232" si="20">IF($X201="","",BU201/$X$10)</f>
        <v>0</v>
      </c>
      <c r="DO201" s="16">
        <f>IF($X201="","",SUM(Tabla152[[#This Row],[PODRIDO]],Tabla152[[#This Row],[HONGO]],Tabla152[[#This Row],[PICADO DE AVE CON PUDRICIÓN]],Tabla152[[#This Row],[FUMAGINA]])/$X$10)</f>
        <v>0</v>
      </c>
      <c r="DP201" s="16">
        <f>IF($X201="","",SUM(Tabla152[[#This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01" s="16">
        <f>IF($X201="","",SUM(Tabla152[[#This Row],[BLANDO]:[COLAPSADO]])/$X$10)</f>
        <v>0</v>
      </c>
      <c r="DR201" s="16">
        <f>IF($X201="","",SUM(Tabla152[[#This Row],[DESHIDRATADO LEVE]:[DESHIDRATADO INMADURO]])/$X$10)</f>
        <v>0</v>
      </c>
      <c r="DS201" s="18">
        <f t="shared" si="15"/>
        <v>0</v>
      </c>
      <c r="DT201" s="16">
        <f>IF($X201="","",SUM(Tabla152[[#This Row],[PRESENCIA DE LARVA]],Tabla152[[#This Row],[CHANCHITO BLANCO]])/$X$10)</f>
        <v>0</v>
      </c>
      <c r="DU201" s="18">
        <f>IF($X201="","",SUM(Tabla152[[#This Row],[ROJO GRADO 2 A MÁS]],Tabla152[[#This Row],[IMMADURO VERDE]],Tabla152[[#This Row],[DESORDEN POR MADURACIÓN]],Tabla152[[#This Row],[ARO PEDICELAR VERDE EXTREMO]])/$X$10)</f>
        <v>0</v>
      </c>
      <c r="DV201" s="16">
        <f>IF($X201="","",SUM(Tabla152[[#This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01" s="16">
        <f t="shared" si="16"/>
        <v>0</v>
      </c>
      <c r="DX201" s="16">
        <f>IF($X201="","",AJ201/$X$10)</f>
        <v>0</v>
      </c>
      <c r="DY201" s="16">
        <f>IF($X201="","",SUM(Tabla152[[#This Row],[PRESENCIA DE COROLA]],Tabla152[[#This Row],[PRESENCIA DE RESTO FLORAL VERDE]],Tabla152[[#This Row],[PRESENCIA DE PEDÚNCULO]])/$X$10)</f>
        <v>0</v>
      </c>
      <c r="DZ201" s="16">
        <f>IF($X201="","",SUM(Tabla152[[#This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02" spans="1:130" x14ac:dyDescent="0.3">
      <c r="A202" s="9">
        <f>IF(W202="","",IF(ROW()=10,1,IF(W202=W201,A201,MAX($A$9:A201)+1)))</f>
        <v>64</v>
      </c>
      <c r="B202" s="9">
        <f>WEEKNUM(Tabla152[[#This Row],[FECHA DE COSECHA]],21)</f>
        <v>36</v>
      </c>
      <c r="C202" s="9"/>
      <c r="D202" s="17">
        <v>46268</v>
      </c>
      <c r="E202" s="17">
        <v>46268</v>
      </c>
      <c r="F202" s="9">
        <v>1</v>
      </c>
      <c r="G202" s="9" t="s">
        <v>77</v>
      </c>
      <c r="H202" s="9" t="s">
        <v>144</v>
      </c>
      <c r="I202" s="9" t="s">
        <v>188</v>
      </c>
      <c r="J202" s="9" t="s">
        <v>135</v>
      </c>
      <c r="K202" s="9" t="s">
        <v>146</v>
      </c>
      <c r="L202" s="9" t="s">
        <v>131</v>
      </c>
      <c r="M202" s="9" t="s">
        <v>239</v>
      </c>
      <c r="N202" s="9" t="s">
        <v>136</v>
      </c>
      <c r="O202" s="9" t="s">
        <v>137</v>
      </c>
      <c r="P202" s="9" t="s">
        <v>243</v>
      </c>
      <c r="Q202" s="9"/>
      <c r="R202" s="9">
        <v>7</v>
      </c>
      <c r="S202" s="9">
        <v>78114711</v>
      </c>
      <c r="T202" t="s">
        <v>233</v>
      </c>
      <c r="U202" s="9" t="s">
        <v>147</v>
      </c>
      <c r="V202" s="9"/>
      <c r="W202" s="19" t="s">
        <v>210</v>
      </c>
      <c r="X202" s="9">
        <v>62</v>
      </c>
      <c r="Y202" s="9">
        <v>1</v>
      </c>
      <c r="Z202" s="9">
        <v>15</v>
      </c>
      <c r="AA202" s="9" t="str">
        <f>IF(Tabla152[[#This Row],[NOTA]]=15,"CUMPLE","NO CUMPLE")</f>
        <v>CUMPLE</v>
      </c>
      <c r="AB202" s="9" t="str">
        <f>IF(COUNTIF($A$10:A202,A202)=1,IF(COUNTIFS($A:$A,A202,$AA:$AA,"NO CUMPLE")&gt;0,"NO CUMPLE","CUMPLE"),"")</f>
        <v>CUMPLE</v>
      </c>
      <c r="AC202" s="9" t="s">
        <v>140</v>
      </c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18"/>
      <c r="BX202" s="18">
        <f>IF($X202="","",AE202/$X$10)</f>
        <v>0</v>
      </c>
      <c r="BY202" s="18">
        <f>IF($X202="","",AF202/$X$10)</f>
        <v>0</v>
      </c>
      <c r="BZ202" s="18">
        <f>IF($X202="","",AG202/$X$10)</f>
        <v>0</v>
      </c>
      <c r="CA202" s="18">
        <f>IF($X202="","",AH202/$X$10)</f>
        <v>0</v>
      </c>
      <c r="CB202" s="18">
        <f t="shared" si="17"/>
        <v>0</v>
      </c>
      <c r="CC202" s="18">
        <f>IF($X202="","",AJ202/$X$10)</f>
        <v>0</v>
      </c>
      <c r="CD202" s="18">
        <f>IF($X202="","",AK202/$X$10)</f>
        <v>0</v>
      </c>
      <c r="CE202" s="18">
        <f>IF($X202="","",AL202/$X$10)</f>
        <v>0</v>
      </c>
      <c r="CF202" s="18">
        <f>IF($X202="","",AM202/$X$10)</f>
        <v>0</v>
      </c>
      <c r="CG202" s="18">
        <f>IF($X202="","",AN202/$X$10)</f>
        <v>0</v>
      </c>
      <c r="CH202" s="18">
        <f>IF($X202="","",AO202/$X$10)</f>
        <v>0</v>
      </c>
      <c r="CI202" s="18">
        <f>IF($X202="","",AP202/$X$10)</f>
        <v>0</v>
      </c>
      <c r="CJ202" s="18">
        <f>IF($X202="","",AQ202/$X$10)</f>
        <v>0</v>
      </c>
      <c r="CK202" s="18">
        <f>IF($X202="","",AR202/$X$10)</f>
        <v>0</v>
      </c>
      <c r="CL202" s="18">
        <f>IF($X202="","",AS202/$X$10)</f>
        <v>0</v>
      </c>
      <c r="CM202" s="18">
        <f>IF($X202="","",AT202/$X$10)</f>
        <v>0</v>
      </c>
      <c r="CN202" s="18">
        <f>IF($X202="","",AU202/$X$10)</f>
        <v>0</v>
      </c>
      <c r="CO202" s="18">
        <f>IF($X202="","",AV202/$X$10)</f>
        <v>0</v>
      </c>
      <c r="CP202" s="18">
        <f>IF($X202="","",AW202/$X$10)</f>
        <v>0</v>
      </c>
      <c r="CQ202" s="18">
        <f>IF($X202="","",AX202/$X$10)</f>
        <v>0</v>
      </c>
      <c r="CR202" s="18">
        <f>IF($X202="","",AY202/$X$10)</f>
        <v>0</v>
      </c>
      <c r="CS202" s="18">
        <f>IF($X202="","",AZ202/$X$10)</f>
        <v>0</v>
      </c>
      <c r="CT202" s="18">
        <f>IF($X202="","",BA202/$X$10)</f>
        <v>0</v>
      </c>
      <c r="CU202" s="18">
        <f>IF($X202="","",BB202/$X$10)</f>
        <v>0</v>
      </c>
      <c r="CV202" s="18">
        <f>IF($X202="","",BC202/$X$10)</f>
        <v>0</v>
      </c>
      <c r="CW202" s="18">
        <f>IF($X202="","",BD202/$X$10)</f>
        <v>0</v>
      </c>
      <c r="CX202" s="18">
        <f>IF($X202="","",BE202/$X$10)</f>
        <v>0</v>
      </c>
      <c r="CY202" s="18">
        <f>IF($X202="","",BF202/$X$10)</f>
        <v>0</v>
      </c>
      <c r="CZ202" s="18">
        <f>IF($X202="","",BG202/$X$10)</f>
        <v>0</v>
      </c>
      <c r="DA202" s="18">
        <f>IF($X202="","",BH202/$X$10)</f>
        <v>0</v>
      </c>
      <c r="DB202" s="18">
        <f>IF($X202="","",BI202/$X$10)</f>
        <v>0</v>
      </c>
      <c r="DC202" s="18">
        <f>IF($X202="","",BJ202/$X$10)</f>
        <v>0</v>
      </c>
      <c r="DD202" s="18">
        <f>IF($X202="","",BK202/$X$10)</f>
        <v>0</v>
      </c>
      <c r="DE202" s="18">
        <f>IF($X202="","",BL202/$X$10)</f>
        <v>0</v>
      </c>
      <c r="DF202" s="18">
        <f>IF($X202="","",BM202/$X$10)</f>
        <v>0</v>
      </c>
      <c r="DG202" s="18">
        <f t="shared" si="18"/>
        <v>0</v>
      </c>
      <c r="DH202" s="18">
        <f>IF($X202="","",BO202/$X$10)</f>
        <v>0</v>
      </c>
      <c r="DI202" s="18">
        <f>IF($X202="","",BP202/$X$10)</f>
        <v>0</v>
      </c>
      <c r="DJ202" s="18">
        <f>IF($X202="","",BQ202/$X$10)</f>
        <v>0</v>
      </c>
      <c r="DK202" s="18">
        <f>IF($X202="","",BR202/$X$10)</f>
        <v>0</v>
      </c>
      <c r="DL202" s="18">
        <f>IF($X202="","",BS202/$X$10)</f>
        <v>0</v>
      </c>
      <c r="DM202" s="18">
        <f>IF($X202="","",BT202/$X$10)</f>
        <v>0</v>
      </c>
      <c r="DN202" s="18">
        <f t="shared" si="20"/>
        <v>0</v>
      </c>
      <c r="DO202" s="16">
        <f>IF($X202="","",SUM(Tabla152[[#This Row],[PODRIDO]],Tabla152[[#This Row],[HONGO]],Tabla152[[#This Row],[PICADO DE AVE CON PUDRICIÓN]],Tabla152[[#This Row],[FUMAGINA]])/$X$10)</f>
        <v>0</v>
      </c>
      <c r="DP202" s="16">
        <f>IF($X202="","",SUM(Tabla152[[#This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02" s="16">
        <f>IF($X202="","",SUM(Tabla152[[#This Row],[BLANDO]:[COLAPSADO]])/$X$10)</f>
        <v>0</v>
      </c>
      <c r="DR202" s="16">
        <f>IF($X202="","",SUM(Tabla152[[#This Row],[DESHIDRATADO LEVE]:[DESHIDRATADO INMADURO]])/$X$10)</f>
        <v>0</v>
      </c>
      <c r="DS202" s="18">
        <f t="shared" ref="DS202:DS265" si="21">IF($X202="","",BC202/$X$10)</f>
        <v>0</v>
      </c>
      <c r="DT202" s="16">
        <f>IF($X202="","",SUM(Tabla152[[#This Row],[PRESENCIA DE LARVA]],Tabla152[[#This Row],[CHANCHITO BLANCO]])/$X$10)</f>
        <v>0</v>
      </c>
      <c r="DU202" s="18">
        <f>IF($X202="","",SUM(Tabla152[[#This Row],[ROJO GRADO 2 A MÁS]],Tabla152[[#This Row],[IMMADURO VERDE]],Tabla152[[#This Row],[DESORDEN POR MADURACIÓN]],Tabla152[[#This Row],[ARO PEDICELAR VERDE EXTREMO]])/$X$10)</f>
        <v>0</v>
      </c>
      <c r="DV202" s="16">
        <f>IF($X202="","",SUM(Tabla152[[#This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02" s="16">
        <f t="shared" ref="DW202:DW265" si="22">IF($X202="","",BU202/$X$10)</f>
        <v>0</v>
      </c>
      <c r="DX202" s="16">
        <f>IF($X202="","",AJ202/$X$10)</f>
        <v>0</v>
      </c>
      <c r="DY202" s="16">
        <f>IF($X202="","",SUM(Tabla152[[#This Row],[PRESENCIA DE COROLA]],Tabla152[[#This Row],[PRESENCIA DE RESTO FLORAL VERDE]],Tabla152[[#This Row],[PRESENCIA DE PEDÚNCULO]])/$X$10)</f>
        <v>0</v>
      </c>
      <c r="DZ202" s="16">
        <f>IF($X202="","",SUM(Tabla152[[#This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03" spans="1:130" x14ac:dyDescent="0.3">
      <c r="A203" s="9">
        <f>IF(W203="","",IF(ROW()=10,1,IF(W203=W202,A202,MAX($A$9:A202)+1)))</f>
        <v>64</v>
      </c>
      <c r="B203" s="9">
        <f>WEEKNUM(Tabla152[[#This Row],[FECHA DE COSECHA]],21)</f>
        <v>36</v>
      </c>
      <c r="C203" s="9"/>
      <c r="D203" s="17">
        <v>46268</v>
      </c>
      <c r="E203" s="17">
        <v>46268</v>
      </c>
      <c r="F203" s="9">
        <v>1</v>
      </c>
      <c r="G203" s="9" t="s">
        <v>77</v>
      </c>
      <c r="H203" s="9" t="s">
        <v>144</v>
      </c>
      <c r="I203" s="9" t="s">
        <v>188</v>
      </c>
      <c r="J203" s="9" t="s">
        <v>135</v>
      </c>
      <c r="K203" s="9" t="s">
        <v>146</v>
      </c>
      <c r="L203" s="9" t="s">
        <v>131</v>
      </c>
      <c r="M203" s="9" t="s">
        <v>239</v>
      </c>
      <c r="N203" s="9" t="s">
        <v>136</v>
      </c>
      <c r="O203" s="9" t="s">
        <v>137</v>
      </c>
      <c r="P203" s="9" t="s">
        <v>243</v>
      </c>
      <c r="Q203" s="9"/>
      <c r="R203" s="9">
        <v>7</v>
      </c>
      <c r="S203" s="9">
        <v>78114711</v>
      </c>
      <c r="T203" t="s">
        <v>233</v>
      </c>
      <c r="U203" s="9" t="s">
        <v>147</v>
      </c>
      <c r="V203" s="9"/>
      <c r="W203" s="19" t="s">
        <v>210</v>
      </c>
      <c r="X203" s="9">
        <v>62</v>
      </c>
      <c r="Y203" s="9">
        <v>2</v>
      </c>
      <c r="Z203" s="9">
        <v>15</v>
      </c>
      <c r="AA203" s="9" t="str">
        <f>IF(Tabla152[[#This Row],[NOTA]]=15,"CUMPLE","NO CUMPLE")</f>
        <v>CUMPLE</v>
      </c>
      <c r="AB203" s="9" t="str">
        <f>IF(COUNTIF($A$10:A203,A203)=1,IF(COUNTIFS($A:$A,A203,$AA:$AA,"NO CUMPLE")&gt;0,"NO CUMPLE","CUMPLE"),"")</f>
        <v/>
      </c>
      <c r="AC203" s="9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18"/>
      <c r="BX203" s="18">
        <f>IF($X203="","",AE203/$X$10)</f>
        <v>0</v>
      </c>
      <c r="BY203" s="18">
        <f>IF($X203="","",AF203/$X$10)</f>
        <v>0</v>
      </c>
      <c r="BZ203" s="18">
        <f>IF($X203="","",AG203/$X$10)</f>
        <v>0</v>
      </c>
      <c r="CA203" s="18">
        <f>IF($X203="","",AH203/$X$10)</f>
        <v>0</v>
      </c>
      <c r="CB203" s="18">
        <f t="shared" ref="CB203:CB266" si="23">IF($X203="","",AI203/$X$10)</f>
        <v>0</v>
      </c>
      <c r="CC203" s="18">
        <f>IF($X203="","",AJ203/$X$10)</f>
        <v>0</v>
      </c>
      <c r="CD203" s="18">
        <f>IF($X203="","",AK203/$X$10)</f>
        <v>0</v>
      </c>
      <c r="CE203" s="18">
        <f>IF($X203="","",AL203/$X$10)</f>
        <v>0</v>
      </c>
      <c r="CF203" s="18">
        <f>IF($X203="","",AM203/$X$10)</f>
        <v>0</v>
      </c>
      <c r="CG203" s="18">
        <f>IF($X203="","",AN203/$X$10)</f>
        <v>0</v>
      </c>
      <c r="CH203" s="18">
        <f>IF($X203="","",AO203/$X$10)</f>
        <v>0</v>
      </c>
      <c r="CI203" s="18">
        <f>IF($X203="","",AP203/$X$10)</f>
        <v>0</v>
      </c>
      <c r="CJ203" s="18">
        <f>IF($X203="","",AQ203/$X$10)</f>
        <v>0</v>
      </c>
      <c r="CK203" s="18">
        <f>IF($X203="","",AR203/$X$10)</f>
        <v>0</v>
      </c>
      <c r="CL203" s="18">
        <f>IF($X203="","",AS203/$X$10)</f>
        <v>0</v>
      </c>
      <c r="CM203" s="18">
        <f>IF($X203="","",AT203/$X$10)</f>
        <v>0</v>
      </c>
      <c r="CN203" s="18">
        <f>IF($X203="","",AU203/$X$10)</f>
        <v>0</v>
      </c>
      <c r="CO203" s="18">
        <f>IF($X203="","",AV203/$X$10)</f>
        <v>0</v>
      </c>
      <c r="CP203" s="18">
        <f>IF($X203="","",AW203/$X$10)</f>
        <v>0</v>
      </c>
      <c r="CQ203" s="18">
        <f>IF($X203="","",AX203/$X$10)</f>
        <v>0</v>
      </c>
      <c r="CR203" s="18">
        <f>IF($X203="","",AY203/$X$10)</f>
        <v>0</v>
      </c>
      <c r="CS203" s="18">
        <f>IF($X203="","",AZ203/$X$10)</f>
        <v>0</v>
      </c>
      <c r="CT203" s="18">
        <f>IF($X203="","",BA203/$X$10)</f>
        <v>0</v>
      </c>
      <c r="CU203" s="18">
        <f>IF($X203="","",BB203/$X$10)</f>
        <v>0</v>
      </c>
      <c r="CV203" s="18">
        <f>IF($X203="","",BC203/$X$10)</f>
        <v>0</v>
      </c>
      <c r="CW203" s="18">
        <f>IF($X203="","",BD203/$X$10)</f>
        <v>0</v>
      </c>
      <c r="CX203" s="18">
        <f>IF($X203="","",BE203/$X$10)</f>
        <v>0</v>
      </c>
      <c r="CY203" s="18">
        <f>IF($X203="","",BF203/$X$10)</f>
        <v>0</v>
      </c>
      <c r="CZ203" s="18">
        <f>IF($X203="","",BG203/$X$10)</f>
        <v>0</v>
      </c>
      <c r="DA203" s="18">
        <f>IF($X203="","",BH203/$X$10)</f>
        <v>0</v>
      </c>
      <c r="DB203" s="18">
        <f>IF($X203="","",BI203/$X$10)</f>
        <v>0</v>
      </c>
      <c r="DC203" s="18">
        <f>IF($X203="","",BJ203/$X$10)</f>
        <v>0</v>
      </c>
      <c r="DD203" s="18">
        <f>IF($X203="","",BK203/$X$10)</f>
        <v>0</v>
      </c>
      <c r="DE203" s="18">
        <f>IF($X203="","",BL203/$X$10)</f>
        <v>0</v>
      </c>
      <c r="DF203" s="18">
        <f>IF($X203="","",BM203/$X$10)</f>
        <v>0</v>
      </c>
      <c r="DG203" s="18">
        <f t="shared" ref="DG203:DG266" si="24">IF($X203="","",BN203/$X$10)</f>
        <v>0</v>
      </c>
      <c r="DH203" s="18">
        <f>IF($X203="","",BO203/$X$10)</f>
        <v>0</v>
      </c>
      <c r="DI203" s="18">
        <f>IF($X203="","",BP203/$X$10)</f>
        <v>0</v>
      </c>
      <c r="DJ203" s="18">
        <f>IF($X203="","",BQ203/$X$10)</f>
        <v>0</v>
      </c>
      <c r="DK203" s="18">
        <f>IF($X203="","",BR203/$X$10)</f>
        <v>0</v>
      </c>
      <c r="DL203" s="18">
        <f>IF($X203="","",BS203/$X$10)</f>
        <v>0</v>
      </c>
      <c r="DM203" s="18">
        <f>IF($X203="","",BT203/$X$10)</f>
        <v>0</v>
      </c>
      <c r="DN203" s="18">
        <f t="shared" si="20"/>
        <v>0</v>
      </c>
      <c r="DO203" s="16">
        <f>IF($X203="","",SUM(Tabla152[[#This Row],[PODRIDO]],Tabla152[[#This Row],[HONGO]],Tabla152[[#This Row],[PICADO DE AVE CON PUDRICIÓN]],Tabla152[[#This Row],[FUMAGINA]])/$X$10)</f>
        <v>0</v>
      </c>
      <c r="DP203" s="16">
        <f>IF($X203="","",SUM(Tabla152[[#This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03" s="16">
        <f>IF($X203="","",SUM(Tabla152[[#This Row],[BLANDO]:[COLAPSADO]])/$X$10)</f>
        <v>0</v>
      </c>
      <c r="DR203" s="16">
        <f>IF($X203="","",SUM(Tabla152[[#This Row],[DESHIDRATADO LEVE]:[DESHIDRATADO INMADURO]])/$X$10)</f>
        <v>0</v>
      </c>
      <c r="DS203" s="18">
        <f t="shared" si="21"/>
        <v>0</v>
      </c>
      <c r="DT203" s="16">
        <f>IF($X203="","",SUM(Tabla152[[#This Row],[PRESENCIA DE LARVA]],Tabla152[[#This Row],[CHANCHITO BLANCO]])/$X$10)</f>
        <v>0</v>
      </c>
      <c r="DU203" s="18">
        <f>IF($X203="","",SUM(Tabla152[[#This Row],[ROJO GRADO 2 A MÁS]],Tabla152[[#This Row],[IMMADURO VERDE]],Tabla152[[#This Row],[DESORDEN POR MADURACIÓN]],Tabla152[[#This Row],[ARO PEDICELAR VERDE EXTREMO]])/$X$10)</f>
        <v>0</v>
      </c>
      <c r="DV203" s="16">
        <f>IF($X203="","",SUM(Tabla152[[#This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03" s="16">
        <f t="shared" si="22"/>
        <v>0</v>
      </c>
      <c r="DX203" s="16">
        <f>IF($X203="","",AJ203/$X$10)</f>
        <v>0</v>
      </c>
      <c r="DY203" s="16">
        <f>IF($X203="","",SUM(Tabla152[[#This Row],[PRESENCIA DE COROLA]],Tabla152[[#This Row],[PRESENCIA DE RESTO FLORAL VERDE]],Tabla152[[#This Row],[PRESENCIA DE PEDÚNCULO]])/$X$10)</f>
        <v>0</v>
      </c>
      <c r="DZ203" s="16">
        <f>IF($X203="","",SUM(Tabla152[[#This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04" spans="1:130" x14ac:dyDescent="0.3">
      <c r="A204" s="9">
        <f>IF(W204="","",IF(ROW()=10,1,IF(W204=W203,A203,MAX($A$9:A203)+1)))</f>
        <v>64</v>
      </c>
      <c r="B204" s="9">
        <f>WEEKNUM(Tabla152[[#This Row],[FECHA DE COSECHA]],21)</f>
        <v>36</v>
      </c>
      <c r="C204" s="9"/>
      <c r="D204" s="17">
        <v>46268</v>
      </c>
      <c r="E204" s="17">
        <v>46268</v>
      </c>
      <c r="F204" s="9">
        <v>1</v>
      </c>
      <c r="G204" s="9" t="s">
        <v>77</v>
      </c>
      <c r="H204" s="9" t="s">
        <v>144</v>
      </c>
      <c r="I204" s="9" t="s">
        <v>188</v>
      </c>
      <c r="J204" s="9" t="s">
        <v>135</v>
      </c>
      <c r="K204" s="9" t="s">
        <v>146</v>
      </c>
      <c r="L204" s="9" t="s">
        <v>131</v>
      </c>
      <c r="M204" s="9" t="s">
        <v>239</v>
      </c>
      <c r="N204" s="9" t="s">
        <v>136</v>
      </c>
      <c r="O204" s="9" t="s">
        <v>137</v>
      </c>
      <c r="P204" s="9" t="s">
        <v>243</v>
      </c>
      <c r="Q204" s="9"/>
      <c r="R204" s="9">
        <v>7</v>
      </c>
      <c r="S204" s="9">
        <v>78114711</v>
      </c>
      <c r="T204" t="s">
        <v>233</v>
      </c>
      <c r="U204" s="9" t="s">
        <v>147</v>
      </c>
      <c r="V204" s="9"/>
      <c r="W204" s="19" t="s">
        <v>210</v>
      </c>
      <c r="X204" s="9">
        <v>62</v>
      </c>
      <c r="Y204" s="9">
        <v>3</v>
      </c>
      <c r="Z204" s="9">
        <v>15</v>
      </c>
      <c r="AA204" s="9" t="str">
        <f>IF(Tabla152[[#This Row],[NOTA]]=15,"CUMPLE","NO CUMPLE")</f>
        <v>CUMPLE</v>
      </c>
      <c r="AB204" s="9" t="str">
        <f>IF(COUNTIF($A$10:A204,A204)=1,IF(COUNTIFS($A:$A,A204,$AA:$AA,"NO CUMPLE")&gt;0,"NO CUMPLE","CUMPLE"),"")</f>
        <v/>
      </c>
      <c r="AC204" s="9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18"/>
      <c r="BX204" s="18">
        <f>IF($X204="","",AE204/$X$10)</f>
        <v>0</v>
      </c>
      <c r="BY204" s="18">
        <f>IF($X204="","",AF204/$X$10)</f>
        <v>0</v>
      </c>
      <c r="BZ204" s="18">
        <f>IF($X204="","",AG204/$X$10)</f>
        <v>0</v>
      </c>
      <c r="CA204" s="18">
        <f>IF($X204="","",AH204/$X$10)</f>
        <v>0</v>
      </c>
      <c r="CB204" s="18">
        <f t="shared" si="23"/>
        <v>0</v>
      </c>
      <c r="CC204" s="18">
        <f>IF($X204="","",AJ204/$X$10)</f>
        <v>0</v>
      </c>
      <c r="CD204" s="18">
        <f>IF($X204="","",AK204/$X$10)</f>
        <v>0</v>
      </c>
      <c r="CE204" s="18">
        <f>IF($X204="","",AL204/$X$10)</f>
        <v>0</v>
      </c>
      <c r="CF204" s="18">
        <f>IF($X204="","",AM204/$X$10)</f>
        <v>0</v>
      </c>
      <c r="CG204" s="18">
        <f>IF($X204="","",AN204/$X$10)</f>
        <v>0</v>
      </c>
      <c r="CH204" s="18">
        <f>IF($X204="","",AO204/$X$10)</f>
        <v>0</v>
      </c>
      <c r="CI204" s="18">
        <f>IF($X204="","",AP204/$X$10)</f>
        <v>0</v>
      </c>
      <c r="CJ204" s="18">
        <f>IF($X204="","",AQ204/$X$10)</f>
        <v>0</v>
      </c>
      <c r="CK204" s="18">
        <f>IF($X204="","",AR204/$X$10)</f>
        <v>0</v>
      </c>
      <c r="CL204" s="18">
        <f>IF($X204="","",AS204/$X$10)</f>
        <v>0</v>
      </c>
      <c r="CM204" s="18">
        <f>IF($X204="","",AT204/$X$10)</f>
        <v>0</v>
      </c>
      <c r="CN204" s="18">
        <f>IF($X204="","",AU204/$X$10)</f>
        <v>0</v>
      </c>
      <c r="CO204" s="18">
        <f>IF($X204="","",AV204/$X$10)</f>
        <v>0</v>
      </c>
      <c r="CP204" s="18">
        <f>IF($X204="","",AW204/$X$10)</f>
        <v>0</v>
      </c>
      <c r="CQ204" s="18">
        <f>IF($X204="","",AX204/$X$10)</f>
        <v>0</v>
      </c>
      <c r="CR204" s="18">
        <f>IF($X204="","",AY204/$X$10)</f>
        <v>0</v>
      </c>
      <c r="CS204" s="18">
        <f>IF($X204="","",AZ204/$X$10)</f>
        <v>0</v>
      </c>
      <c r="CT204" s="18">
        <f>IF($X204="","",BA204/$X$10)</f>
        <v>0</v>
      </c>
      <c r="CU204" s="18">
        <f>IF($X204="","",BB204/$X$10)</f>
        <v>0</v>
      </c>
      <c r="CV204" s="18">
        <f>IF($X204="","",BC204/$X$10)</f>
        <v>0</v>
      </c>
      <c r="CW204" s="18">
        <f>IF($X204="","",BD204/$X$10)</f>
        <v>0</v>
      </c>
      <c r="CX204" s="18">
        <f>IF($X204="","",BE204/$X$10)</f>
        <v>0</v>
      </c>
      <c r="CY204" s="18">
        <f>IF($X204="","",BF204/$X$10)</f>
        <v>0</v>
      </c>
      <c r="CZ204" s="18">
        <f>IF($X204="","",BG204/$X$10)</f>
        <v>0</v>
      </c>
      <c r="DA204" s="18">
        <f>IF($X204="","",BH204/$X$10)</f>
        <v>0</v>
      </c>
      <c r="DB204" s="18">
        <f>IF($X204="","",BI204/$X$10)</f>
        <v>0</v>
      </c>
      <c r="DC204" s="18">
        <f>IF($X204="","",BJ204/$X$10)</f>
        <v>0</v>
      </c>
      <c r="DD204" s="18">
        <f>IF($X204="","",BK204/$X$10)</f>
        <v>0</v>
      </c>
      <c r="DE204" s="18">
        <f>IF($X204="","",BL204/$X$10)</f>
        <v>0</v>
      </c>
      <c r="DF204" s="18">
        <f>IF($X204="","",BM204/$X$10)</f>
        <v>0</v>
      </c>
      <c r="DG204" s="18">
        <f t="shared" si="24"/>
        <v>0</v>
      </c>
      <c r="DH204" s="18">
        <f>IF($X204="","",BO204/$X$10)</f>
        <v>0</v>
      </c>
      <c r="DI204" s="18">
        <f>IF($X204="","",BP204/$X$10)</f>
        <v>0</v>
      </c>
      <c r="DJ204" s="18">
        <f>IF($X204="","",BQ204/$X$10)</f>
        <v>0</v>
      </c>
      <c r="DK204" s="18">
        <f>IF($X204="","",BR204/$X$10)</f>
        <v>0</v>
      </c>
      <c r="DL204" s="18">
        <f>IF($X204="","",BS204/$X$10)</f>
        <v>0</v>
      </c>
      <c r="DM204" s="18">
        <f>IF($X204="","",BT204/$X$10)</f>
        <v>0</v>
      </c>
      <c r="DN204" s="18">
        <f t="shared" si="20"/>
        <v>0</v>
      </c>
      <c r="DO204" s="16">
        <f>IF($X204="","",SUM(Tabla152[[#This Row],[PODRIDO]],Tabla152[[#This Row],[HONGO]],Tabla152[[#This Row],[PICADO DE AVE CON PUDRICIÓN]],Tabla152[[#This Row],[FUMAGINA]])/$X$10)</f>
        <v>0</v>
      </c>
      <c r="DP204" s="16">
        <f>IF($X204="","",SUM(Tabla152[[#This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04" s="16">
        <f>IF($X204="","",SUM(Tabla152[[#This Row],[BLANDO]:[COLAPSADO]])/$X$10)</f>
        <v>0</v>
      </c>
      <c r="DR204" s="16">
        <f>IF($X204="","",SUM(Tabla152[[#This Row],[DESHIDRATADO LEVE]:[DESHIDRATADO INMADURO]])/$X$10)</f>
        <v>0</v>
      </c>
      <c r="DS204" s="18">
        <f t="shared" si="21"/>
        <v>0</v>
      </c>
      <c r="DT204" s="16">
        <f>IF($X204="","",SUM(Tabla152[[#This Row],[PRESENCIA DE LARVA]],Tabla152[[#This Row],[CHANCHITO BLANCO]])/$X$10)</f>
        <v>0</v>
      </c>
      <c r="DU204" s="18">
        <f>IF($X204="","",SUM(Tabla152[[#This Row],[ROJO GRADO 2 A MÁS]],Tabla152[[#This Row],[IMMADURO VERDE]],Tabla152[[#This Row],[DESORDEN POR MADURACIÓN]],Tabla152[[#This Row],[ARO PEDICELAR VERDE EXTREMO]])/$X$10)</f>
        <v>0</v>
      </c>
      <c r="DV204" s="16">
        <f>IF($X204="","",SUM(Tabla152[[#This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04" s="16">
        <f t="shared" si="22"/>
        <v>0</v>
      </c>
      <c r="DX204" s="16">
        <f>IF($X204="","",AJ204/$X$10)</f>
        <v>0</v>
      </c>
      <c r="DY204" s="16">
        <f>IF($X204="","",SUM(Tabla152[[#This Row],[PRESENCIA DE COROLA]],Tabla152[[#This Row],[PRESENCIA DE RESTO FLORAL VERDE]],Tabla152[[#This Row],[PRESENCIA DE PEDÚNCULO]])/$X$10)</f>
        <v>0</v>
      </c>
      <c r="DZ204" s="16">
        <f>IF($X204="","",SUM(Tabla152[[#This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05" spans="1:130" x14ac:dyDescent="0.3">
      <c r="A205" s="9">
        <f>IF(W205="","",IF(ROW()=10,1,IF(W205=W204,A204,MAX($A$9:A204)+1)))</f>
        <v>65</v>
      </c>
      <c r="B205" s="9">
        <f>WEEKNUM(Tabla152[[#This Row],[FECHA DE COSECHA]],21)</f>
        <v>36</v>
      </c>
      <c r="C205" s="9"/>
      <c r="D205" s="17">
        <v>46268</v>
      </c>
      <c r="E205" s="17">
        <v>46268</v>
      </c>
      <c r="F205" s="9">
        <v>1</v>
      </c>
      <c r="G205" s="9" t="s">
        <v>77</v>
      </c>
      <c r="H205" s="9" t="s">
        <v>144</v>
      </c>
      <c r="I205" s="9" t="s">
        <v>188</v>
      </c>
      <c r="J205" s="9" t="s">
        <v>135</v>
      </c>
      <c r="K205" s="9" t="s">
        <v>146</v>
      </c>
      <c r="L205" s="9" t="s">
        <v>131</v>
      </c>
      <c r="M205" s="9" t="s">
        <v>239</v>
      </c>
      <c r="N205" s="9" t="s">
        <v>136</v>
      </c>
      <c r="O205" s="9" t="s">
        <v>137</v>
      </c>
      <c r="P205" s="9" t="s">
        <v>243</v>
      </c>
      <c r="Q205" s="9"/>
      <c r="R205" s="9">
        <v>7</v>
      </c>
      <c r="S205" s="9">
        <v>78114711</v>
      </c>
      <c r="T205" t="s">
        <v>233</v>
      </c>
      <c r="U205" s="9" t="s">
        <v>147</v>
      </c>
      <c r="V205" s="9"/>
      <c r="W205" s="19" t="s">
        <v>211</v>
      </c>
      <c r="X205" s="9">
        <v>62</v>
      </c>
      <c r="Y205" s="9">
        <v>1</v>
      </c>
      <c r="Z205" s="9">
        <v>15</v>
      </c>
      <c r="AA205" s="9" t="str">
        <f>IF(Tabla152[[#This Row],[NOTA]]=15,"CUMPLE","NO CUMPLE")</f>
        <v>CUMPLE</v>
      </c>
      <c r="AB205" s="9" t="str">
        <f>IF(COUNTIF($A$10:A205,A205)=1,IF(COUNTIFS($A:$A,A205,$AA:$AA,"NO CUMPLE")&gt;0,"NO CUMPLE","CUMPLE"),"")</f>
        <v>CUMPLE</v>
      </c>
      <c r="AC205" s="9" t="s">
        <v>140</v>
      </c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18"/>
      <c r="BX205" s="18">
        <f>IF($X205="","",AE205/$X$10)</f>
        <v>0</v>
      </c>
      <c r="BY205" s="18">
        <f>IF($X205="","",AF205/$X$10)</f>
        <v>0</v>
      </c>
      <c r="BZ205" s="18">
        <f>IF($X205="","",AG205/$X$10)</f>
        <v>0</v>
      </c>
      <c r="CA205" s="18">
        <f>IF($X205="","",AH205/$X$10)</f>
        <v>0</v>
      </c>
      <c r="CB205" s="18">
        <f t="shared" si="23"/>
        <v>0</v>
      </c>
      <c r="CC205" s="18">
        <f>IF($X205="","",AJ205/$X$10)</f>
        <v>0</v>
      </c>
      <c r="CD205" s="18">
        <f>IF($X205="","",AK205/$X$10)</f>
        <v>0</v>
      </c>
      <c r="CE205" s="18">
        <f>IF($X205="","",AL205/$X$10)</f>
        <v>0</v>
      </c>
      <c r="CF205" s="18">
        <f>IF($X205="","",AM205/$X$10)</f>
        <v>0</v>
      </c>
      <c r="CG205" s="18">
        <f>IF($X205="","",AN205/$X$10)</f>
        <v>0</v>
      </c>
      <c r="CH205" s="18">
        <f>IF($X205="","",AO205/$X$10)</f>
        <v>0</v>
      </c>
      <c r="CI205" s="18">
        <f>IF($X205="","",AP205/$X$10)</f>
        <v>0</v>
      </c>
      <c r="CJ205" s="18">
        <f>IF($X205="","",AQ205/$X$10)</f>
        <v>0</v>
      </c>
      <c r="CK205" s="18">
        <f>IF($X205="","",AR205/$X$10)</f>
        <v>0</v>
      </c>
      <c r="CL205" s="18">
        <f>IF($X205="","",AS205/$X$10)</f>
        <v>0</v>
      </c>
      <c r="CM205" s="18">
        <f>IF($X205="","",AT205/$X$10)</f>
        <v>0</v>
      </c>
      <c r="CN205" s="18">
        <f>IF($X205="","",AU205/$X$10)</f>
        <v>0</v>
      </c>
      <c r="CO205" s="18">
        <f>IF($X205="","",AV205/$X$10)</f>
        <v>0</v>
      </c>
      <c r="CP205" s="18">
        <f>IF($X205="","",AW205/$X$10)</f>
        <v>0</v>
      </c>
      <c r="CQ205" s="18">
        <f>IF($X205="","",AX205/$X$10)</f>
        <v>0</v>
      </c>
      <c r="CR205" s="18">
        <f>IF($X205="","",AY205/$X$10)</f>
        <v>0</v>
      </c>
      <c r="CS205" s="18">
        <f>IF($X205="","",AZ205/$X$10)</f>
        <v>0</v>
      </c>
      <c r="CT205" s="18">
        <f>IF($X205="","",BA205/$X$10)</f>
        <v>0</v>
      </c>
      <c r="CU205" s="18">
        <f>IF($X205="","",BB205/$X$10)</f>
        <v>0</v>
      </c>
      <c r="CV205" s="18">
        <f>IF($X205="","",BC205/$X$10)</f>
        <v>0</v>
      </c>
      <c r="CW205" s="18">
        <f>IF($X205="","",BD205/$X$10)</f>
        <v>0</v>
      </c>
      <c r="CX205" s="18">
        <f>IF($X205="","",BE205/$X$10)</f>
        <v>0</v>
      </c>
      <c r="CY205" s="18">
        <f>IF($X205="","",BF205/$X$10)</f>
        <v>0</v>
      </c>
      <c r="CZ205" s="18">
        <f>IF($X205="","",BG205/$X$10)</f>
        <v>0</v>
      </c>
      <c r="DA205" s="18">
        <f>IF($X205="","",BH205/$X$10)</f>
        <v>0</v>
      </c>
      <c r="DB205" s="18">
        <f>IF($X205="","",BI205/$X$10)</f>
        <v>0</v>
      </c>
      <c r="DC205" s="18">
        <f>IF($X205="","",BJ205/$X$10)</f>
        <v>0</v>
      </c>
      <c r="DD205" s="18">
        <f>IF($X205="","",BK205/$X$10)</f>
        <v>0</v>
      </c>
      <c r="DE205" s="18">
        <f>IF($X205="","",BL205/$X$10)</f>
        <v>0</v>
      </c>
      <c r="DF205" s="18">
        <f>IF($X205="","",BM205/$X$10)</f>
        <v>0</v>
      </c>
      <c r="DG205" s="18">
        <f t="shared" si="24"/>
        <v>0</v>
      </c>
      <c r="DH205" s="18">
        <f>IF($X205="","",BO205/$X$10)</f>
        <v>0</v>
      </c>
      <c r="DI205" s="18">
        <f>IF($X205="","",BP205/$X$10)</f>
        <v>0</v>
      </c>
      <c r="DJ205" s="18">
        <f>IF($X205="","",BQ205/$X$10)</f>
        <v>0</v>
      </c>
      <c r="DK205" s="18">
        <f>IF($X205="","",BR205/$X$10)</f>
        <v>0</v>
      </c>
      <c r="DL205" s="18">
        <f>IF($X205="","",BS205/$X$10)</f>
        <v>0</v>
      </c>
      <c r="DM205" s="18">
        <f>IF($X205="","",BT205/$X$10)</f>
        <v>0</v>
      </c>
      <c r="DN205" s="18">
        <f t="shared" si="20"/>
        <v>0</v>
      </c>
      <c r="DO205" s="16">
        <f>IF($X205="","",SUM(Tabla152[[#This Row],[PODRIDO]],Tabla152[[#This Row],[HONGO]],Tabla152[[#This Row],[PICADO DE AVE CON PUDRICIÓN]],Tabla152[[#This Row],[FUMAGINA]])/$X$10)</f>
        <v>0</v>
      </c>
      <c r="DP205" s="16">
        <f>IF($X205="","",SUM(Tabla152[[#This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05" s="16">
        <f>IF($X205="","",SUM(Tabla152[[#This Row],[BLANDO]:[COLAPSADO]])/$X$10)</f>
        <v>0</v>
      </c>
      <c r="DR205" s="16">
        <f>IF($X205="","",SUM(Tabla152[[#This Row],[DESHIDRATADO LEVE]:[DESHIDRATADO INMADURO]])/$X$10)</f>
        <v>0</v>
      </c>
      <c r="DS205" s="18">
        <f t="shared" si="21"/>
        <v>0</v>
      </c>
      <c r="DT205" s="16">
        <f>IF($X205="","",SUM(Tabla152[[#This Row],[PRESENCIA DE LARVA]],Tabla152[[#This Row],[CHANCHITO BLANCO]])/$X$10)</f>
        <v>0</v>
      </c>
      <c r="DU205" s="18">
        <f>IF($X205="","",SUM(Tabla152[[#This Row],[ROJO GRADO 2 A MÁS]],Tabla152[[#This Row],[IMMADURO VERDE]],Tabla152[[#This Row],[DESORDEN POR MADURACIÓN]],Tabla152[[#This Row],[ARO PEDICELAR VERDE EXTREMO]])/$X$10)</f>
        <v>0</v>
      </c>
      <c r="DV205" s="16">
        <f>IF($X205="","",SUM(Tabla152[[#This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05" s="16">
        <f t="shared" si="22"/>
        <v>0</v>
      </c>
      <c r="DX205" s="16">
        <f>IF($X205="","",AJ205/$X$10)</f>
        <v>0</v>
      </c>
      <c r="DY205" s="16">
        <f>IF($X205="","",SUM(Tabla152[[#This Row],[PRESENCIA DE COROLA]],Tabla152[[#This Row],[PRESENCIA DE RESTO FLORAL VERDE]],Tabla152[[#This Row],[PRESENCIA DE PEDÚNCULO]])/$X$10)</f>
        <v>0</v>
      </c>
      <c r="DZ205" s="16">
        <f>IF($X205="","",SUM(Tabla152[[#This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06" spans="1:130" x14ac:dyDescent="0.3">
      <c r="A206" s="9">
        <f>IF(W206="","",IF(ROW()=10,1,IF(W206=W205,A205,MAX($A$9:A205)+1)))</f>
        <v>65</v>
      </c>
      <c r="B206" s="9">
        <f>WEEKNUM(Tabla152[[#This Row],[FECHA DE COSECHA]],21)</f>
        <v>36</v>
      </c>
      <c r="C206" s="9"/>
      <c r="D206" s="17">
        <v>46268</v>
      </c>
      <c r="E206" s="17">
        <v>46268</v>
      </c>
      <c r="F206" s="9">
        <v>1</v>
      </c>
      <c r="G206" s="9" t="s">
        <v>77</v>
      </c>
      <c r="H206" s="9" t="s">
        <v>144</v>
      </c>
      <c r="I206" s="9" t="s">
        <v>188</v>
      </c>
      <c r="J206" s="9" t="s">
        <v>135</v>
      </c>
      <c r="K206" s="9" t="s">
        <v>146</v>
      </c>
      <c r="L206" s="9" t="s">
        <v>131</v>
      </c>
      <c r="M206" s="9" t="s">
        <v>239</v>
      </c>
      <c r="N206" s="9" t="s">
        <v>136</v>
      </c>
      <c r="O206" s="9" t="s">
        <v>137</v>
      </c>
      <c r="P206" s="9" t="s">
        <v>243</v>
      </c>
      <c r="Q206" s="9"/>
      <c r="R206" s="9">
        <v>7</v>
      </c>
      <c r="S206" s="9">
        <v>78114711</v>
      </c>
      <c r="T206" t="s">
        <v>233</v>
      </c>
      <c r="U206" s="9" t="s">
        <v>147</v>
      </c>
      <c r="V206" s="9"/>
      <c r="W206" s="19" t="s">
        <v>211</v>
      </c>
      <c r="X206" s="9">
        <v>62</v>
      </c>
      <c r="Y206" s="9">
        <v>2</v>
      </c>
      <c r="Z206" s="9">
        <v>15</v>
      </c>
      <c r="AA206" s="9" t="str">
        <f>IF(Tabla152[[#This Row],[NOTA]]=15,"CUMPLE","NO CUMPLE")</f>
        <v>CUMPLE</v>
      </c>
      <c r="AB206" s="9" t="str">
        <f>IF(COUNTIF($A$10:A206,A206)=1,IF(COUNTIFS($A:$A,A206,$AA:$AA,"NO CUMPLE")&gt;0,"NO CUMPLE","CUMPLE"),"")</f>
        <v/>
      </c>
      <c r="AC206" s="9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18"/>
      <c r="BX206" s="18">
        <f>IF($X206="","",AE206/$X$10)</f>
        <v>0</v>
      </c>
      <c r="BY206" s="18">
        <f>IF($X206="","",AF206/$X$10)</f>
        <v>0</v>
      </c>
      <c r="BZ206" s="18">
        <f>IF($X206="","",AG206/$X$10)</f>
        <v>0</v>
      </c>
      <c r="CA206" s="18">
        <f>IF($X206="","",AH206/$X$10)</f>
        <v>0</v>
      </c>
      <c r="CB206" s="18">
        <f t="shared" si="23"/>
        <v>0</v>
      </c>
      <c r="CC206" s="18">
        <f>IF($X206="","",AJ206/$X$10)</f>
        <v>0</v>
      </c>
      <c r="CD206" s="18">
        <f>IF($X206="","",AK206/$X$10)</f>
        <v>0</v>
      </c>
      <c r="CE206" s="18">
        <f>IF($X206="","",AL206/$X$10)</f>
        <v>0</v>
      </c>
      <c r="CF206" s="18">
        <f>IF($X206="","",AM206/$X$10)</f>
        <v>0</v>
      </c>
      <c r="CG206" s="18">
        <f>IF($X206="","",AN206/$X$10)</f>
        <v>0</v>
      </c>
      <c r="CH206" s="18">
        <f>IF($X206="","",AO206/$X$10)</f>
        <v>0</v>
      </c>
      <c r="CI206" s="18">
        <f>IF($X206="","",AP206/$X$10)</f>
        <v>0</v>
      </c>
      <c r="CJ206" s="18">
        <f>IF($X206="","",AQ206/$X$10)</f>
        <v>0</v>
      </c>
      <c r="CK206" s="18">
        <f>IF($X206="","",AR206/$X$10)</f>
        <v>0</v>
      </c>
      <c r="CL206" s="18">
        <f>IF($X206="","",AS206/$X$10)</f>
        <v>0</v>
      </c>
      <c r="CM206" s="18">
        <f>IF($X206="","",AT206/$X$10)</f>
        <v>0</v>
      </c>
      <c r="CN206" s="18">
        <f>IF($X206="","",AU206/$X$10)</f>
        <v>0</v>
      </c>
      <c r="CO206" s="18">
        <f>IF($X206="","",AV206/$X$10)</f>
        <v>0</v>
      </c>
      <c r="CP206" s="18">
        <f>IF($X206="","",AW206/$X$10)</f>
        <v>0</v>
      </c>
      <c r="CQ206" s="18">
        <f>IF($X206="","",AX206/$X$10)</f>
        <v>0</v>
      </c>
      <c r="CR206" s="18">
        <f>IF($X206="","",AY206/$X$10)</f>
        <v>0</v>
      </c>
      <c r="CS206" s="18">
        <f>IF($X206="","",AZ206/$X$10)</f>
        <v>0</v>
      </c>
      <c r="CT206" s="18">
        <f>IF($X206="","",BA206/$X$10)</f>
        <v>0</v>
      </c>
      <c r="CU206" s="18">
        <f>IF($X206="","",BB206/$X$10)</f>
        <v>0</v>
      </c>
      <c r="CV206" s="18">
        <f>IF($X206="","",BC206/$X$10)</f>
        <v>0</v>
      </c>
      <c r="CW206" s="18">
        <f>IF($X206="","",BD206/$X$10)</f>
        <v>0</v>
      </c>
      <c r="CX206" s="18">
        <f>IF($X206="","",BE206/$X$10)</f>
        <v>0</v>
      </c>
      <c r="CY206" s="18">
        <f>IF($X206="","",BF206/$X$10)</f>
        <v>0</v>
      </c>
      <c r="CZ206" s="18">
        <f>IF($X206="","",BG206/$X$10)</f>
        <v>0</v>
      </c>
      <c r="DA206" s="18">
        <f>IF($X206="","",BH206/$X$10)</f>
        <v>0</v>
      </c>
      <c r="DB206" s="18">
        <f>IF($X206="","",BI206/$X$10)</f>
        <v>0</v>
      </c>
      <c r="DC206" s="18">
        <f>IF($X206="","",BJ206/$X$10)</f>
        <v>0</v>
      </c>
      <c r="DD206" s="18">
        <f>IF($X206="","",BK206/$X$10)</f>
        <v>0</v>
      </c>
      <c r="DE206" s="18">
        <f>IF($X206="","",BL206/$X$10)</f>
        <v>0</v>
      </c>
      <c r="DF206" s="18">
        <f>IF($X206="","",BM206/$X$10)</f>
        <v>0</v>
      </c>
      <c r="DG206" s="18">
        <f t="shared" si="24"/>
        <v>0</v>
      </c>
      <c r="DH206" s="18">
        <f>IF($X206="","",BO206/$X$10)</f>
        <v>0</v>
      </c>
      <c r="DI206" s="18">
        <f>IF($X206="","",BP206/$X$10)</f>
        <v>0</v>
      </c>
      <c r="DJ206" s="18">
        <f>IF($X206="","",BQ206/$X$10)</f>
        <v>0</v>
      </c>
      <c r="DK206" s="18">
        <f>IF($X206="","",BR206/$X$10)</f>
        <v>0</v>
      </c>
      <c r="DL206" s="18">
        <f>IF($X206="","",BS206/$X$10)</f>
        <v>0</v>
      </c>
      <c r="DM206" s="18">
        <f>IF($X206="","",BT206/$X$10)</f>
        <v>0</v>
      </c>
      <c r="DN206" s="18">
        <f t="shared" si="20"/>
        <v>0</v>
      </c>
      <c r="DO206" s="16">
        <f>IF($X206="","",SUM(Tabla152[[#This Row],[PODRIDO]],Tabla152[[#This Row],[HONGO]],Tabla152[[#This Row],[PICADO DE AVE CON PUDRICIÓN]],Tabla152[[#This Row],[FUMAGINA]])/$X$10)</f>
        <v>0</v>
      </c>
      <c r="DP206" s="16">
        <f>IF($X206="","",SUM(Tabla152[[#This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06" s="16">
        <f>IF($X206="","",SUM(Tabla152[[#This Row],[BLANDO]:[COLAPSADO]])/$X$10)</f>
        <v>0</v>
      </c>
      <c r="DR206" s="16">
        <f>IF($X206="","",SUM(Tabla152[[#This Row],[DESHIDRATADO LEVE]:[DESHIDRATADO INMADURO]])/$X$10)</f>
        <v>0</v>
      </c>
      <c r="DS206" s="18">
        <f t="shared" si="21"/>
        <v>0</v>
      </c>
      <c r="DT206" s="16">
        <f>IF($X206="","",SUM(Tabla152[[#This Row],[PRESENCIA DE LARVA]],Tabla152[[#This Row],[CHANCHITO BLANCO]])/$X$10)</f>
        <v>0</v>
      </c>
      <c r="DU206" s="18">
        <f>IF($X206="","",SUM(Tabla152[[#This Row],[ROJO GRADO 2 A MÁS]],Tabla152[[#This Row],[IMMADURO VERDE]],Tabla152[[#This Row],[DESORDEN POR MADURACIÓN]],Tabla152[[#This Row],[ARO PEDICELAR VERDE EXTREMO]])/$X$10)</f>
        <v>0</v>
      </c>
      <c r="DV206" s="16">
        <f>IF($X206="","",SUM(Tabla152[[#This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06" s="16">
        <f t="shared" si="22"/>
        <v>0</v>
      </c>
      <c r="DX206" s="16">
        <f>IF($X206="","",AJ206/$X$10)</f>
        <v>0</v>
      </c>
      <c r="DY206" s="16">
        <f>IF($X206="","",SUM(Tabla152[[#This Row],[PRESENCIA DE COROLA]],Tabla152[[#This Row],[PRESENCIA DE RESTO FLORAL VERDE]],Tabla152[[#This Row],[PRESENCIA DE PEDÚNCULO]])/$X$10)</f>
        <v>0</v>
      </c>
      <c r="DZ206" s="16">
        <f>IF($X206="","",SUM(Tabla152[[#This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07" spans="1:130" x14ac:dyDescent="0.3">
      <c r="A207" s="9">
        <f>IF(W207="","",IF(ROW()=10,1,IF(W207=W206,A206,MAX($A$9:A206)+1)))</f>
        <v>65</v>
      </c>
      <c r="B207" s="9">
        <f>WEEKNUM(Tabla152[[#This Row],[FECHA DE COSECHA]],21)</f>
        <v>36</v>
      </c>
      <c r="C207" s="9"/>
      <c r="D207" s="17">
        <v>46268</v>
      </c>
      <c r="E207" s="17">
        <v>46268</v>
      </c>
      <c r="F207" s="9">
        <v>1</v>
      </c>
      <c r="G207" s="9" t="s">
        <v>77</v>
      </c>
      <c r="H207" s="9" t="s">
        <v>144</v>
      </c>
      <c r="I207" s="9" t="s">
        <v>188</v>
      </c>
      <c r="J207" s="9" t="s">
        <v>135</v>
      </c>
      <c r="K207" s="9" t="s">
        <v>146</v>
      </c>
      <c r="L207" s="9" t="s">
        <v>131</v>
      </c>
      <c r="M207" s="9" t="s">
        <v>239</v>
      </c>
      <c r="N207" s="9" t="s">
        <v>136</v>
      </c>
      <c r="O207" s="9" t="s">
        <v>137</v>
      </c>
      <c r="P207" s="9" t="s">
        <v>243</v>
      </c>
      <c r="Q207" s="9"/>
      <c r="R207" s="9">
        <v>7</v>
      </c>
      <c r="S207" s="9">
        <v>78114711</v>
      </c>
      <c r="T207" t="s">
        <v>233</v>
      </c>
      <c r="U207" s="9" t="s">
        <v>147</v>
      </c>
      <c r="V207" s="9"/>
      <c r="W207" s="19" t="s">
        <v>211</v>
      </c>
      <c r="X207" s="9">
        <v>62</v>
      </c>
      <c r="Y207" s="9">
        <v>3</v>
      </c>
      <c r="Z207" s="9">
        <v>15</v>
      </c>
      <c r="AA207" s="9" t="str">
        <f>IF(Tabla152[[#This Row],[NOTA]]=15,"CUMPLE","NO CUMPLE")</f>
        <v>CUMPLE</v>
      </c>
      <c r="AB207" s="9" t="str">
        <f>IF(COUNTIF($A$10:A207,A207)=1,IF(COUNTIFS($A:$A,A207,$AA:$AA,"NO CUMPLE")&gt;0,"NO CUMPLE","CUMPLE"),"")</f>
        <v/>
      </c>
      <c r="AC207" s="9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18"/>
      <c r="BX207" s="18">
        <f>IF($X207="","",AE207/$X$10)</f>
        <v>0</v>
      </c>
      <c r="BY207" s="18">
        <f>IF($X207="","",AF207/$X$10)</f>
        <v>0</v>
      </c>
      <c r="BZ207" s="18">
        <f>IF($X207="","",AG207/$X$10)</f>
        <v>0</v>
      </c>
      <c r="CA207" s="18">
        <f>IF($X207="","",AH207/$X$10)</f>
        <v>0</v>
      </c>
      <c r="CB207" s="18">
        <f t="shared" si="23"/>
        <v>0</v>
      </c>
      <c r="CC207" s="18">
        <f>IF($X207="","",AJ207/$X$10)</f>
        <v>0</v>
      </c>
      <c r="CD207" s="18">
        <f>IF($X207="","",AK207/$X$10)</f>
        <v>0</v>
      </c>
      <c r="CE207" s="18">
        <f>IF($X207="","",AL207/$X$10)</f>
        <v>0</v>
      </c>
      <c r="CF207" s="18">
        <f>IF($X207="","",AM207/$X$10)</f>
        <v>0</v>
      </c>
      <c r="CG207" s="18">
        <f>IF($X207="","",AN207/$X$10)</f>
        <v>0</v>
      </c>
      <c r="CH207" s="18">
        <f>IF($X207="","",AO207/$X$10)</f>
        <v>0</v>
      </c>
      <c r="CI207" s="18">
        <f>IF($X207="","",AP207/$X$10)</f>
        <v>0</v>
      </c>
      <c r="CJ207" s="18">
        <f>IF($X207="","",AQ207/$X$10)</f>
        <v>0</v>
      </c>
      <c r="CK207" s="18">
        <f>IF($X207="","",AR207/$X$10)</f>
        <v>0</v>
      </c>
      <c r="CL207" s="18">
        <f>IF($X207="","",AS207/$X$10)</f>
        <v>0</v>
      </c>
      <c r="CM207" s="18">
        <f>IF($X207="","",AT207/$X$10)</f>
        <v>0</v>
      </c>
      <c r="CN207" s="18">
        <f>IF($X207="","",AU207/$X$10)</f>
        <v>0</v>
      </c>
      <c r="CO207" s="18">
        <f>IF($X207="","",AV207/$X$10)</f>
        <v>0</v>
      </c>
      <c r="CP207" s="18">
        <f>IF($X207="","",AW207/$X$10)</f>
        <v>0</v>
      </c>
      <c r="CQ207" s="18">
        <f>IF($X207="","",AX207/$X$10)</f>
        <v>0</v>
      </c>
      <c r="CR207" s="18">
        <f>IF($X207="","",AY207/$X$10)</f>
        <v>0</v>
      </c>
      <c r="CS207" s="18">
        <f>IF($X207="","",AZ207/$X$10)</f>
        <v>0</v>
      </c>
      <c r="CT207" s="18">
        <f>IF($X207="","",BA207/$X$10)</f>
        <v>0</v>
      </c>
      <c r="CU207" s="18">
        <f>IF($X207="","",BB207/$X$10)</f>
        <v>0</v>
      </c>
      <c r="CV207" s="18">
        <f>IF($X207="","",BC207/$X$10)</f>
        <v>0</v>
      </c>
      <c r="CW207" s="18">
        <f>IF($X207="","",BD207/$X$10)</f>
        <v>0</v>
      </c>
      <c r="CX207" s="18">
        <f>IF($X207="","",BE207/$X$10)</f>
        <v>0</v>
      </c>
      <c r="CY207" s="18">
        <f>IF($X207="","",BF207/$X$10)</f>
        <v>0</v>
      </c>
      <c r="CZ207" s="18">
        <f>IF($X207="","",BG207/$X$10)</f>
        <v>0</v>
      </c>
      <c r="DA207" s="18">
        <f>IF($X207="","",BH207/$X$10)</f>
        <v>0</v>
      </c>
      <c r="DB207" s="18">
        <f>IF($X207="","",BI207/$X$10)</f>
        <v>0</v>
      </c>
      <c r="DC207" s="18">
        <f>IF($X207="","",BJ207/$X$10)</f>
        <v>0</v>
      </c>
      <c r="DD207" s="18">
        <f>IF($X207="","",BK207/$X$10)</f>
        <v>0</v>
      </c>
      <c r="DE207" s="18">
        <f>IF($X207="","",BL207/$X$10)</f>
        <v>0</v>
      </c>
      <c r="DF207" s="18">
        <f>IF($X207="","",BM207/$X$10)</f>
        <v>0</v>
      </c>
      <c r="DG207" s="18">
        <f t="shared" si="24"/>
        <v>0</v>
      </c>
      <c r="DH207" s="18">
        <f>IF($X207="","",BO207/$X$10)</f>
        <v>0</v>
      </c>
      <c r="DI207" s="18">
        <f>IF($X207="","",BP207/$X$10)</f>
        <v>0</v>
      </c>
      <c r="DJ207" s="18">
        <f>IF($X207="","",BQ207/$X$10)</f>
        <v>0</v>
      </c>
      <c r="DK207" s="18">
        <f>IF($X207="","",BR207/$X$10)</f>
        <v>0</v>
      </c>
      <c r="DL207" s="18">
        <f>IF($X207="","",BS207/$X$10)</f>
        <v>0</v>
      </c>
      <c r="DM207" s="18">
        <f>IF($X207="","",BT207/$X$10)</f>
        <v>0</v>
      </c>
      <c r="DN207" s="18">
        <f t="shared" si="20"/>
        <v>0</v>
      </c>
      <c r="DO207" s="16">
        <f>IF($X207="","",SUM(Tabla152[[#This Row],[PODRIDO]],Tabla152[[#This Row],[HONGO]],Tabla152[[#This Row],[PICADO DE AVE CON PUDRICIÓN]],Tabla152[[#This Row],[FUMAGINA]])/$X$10)</f>
        <v>0</v>
      </c>
      <c r="DP207" s="16">
        <f>IF($X207="","",SUM(Tabla152[[#This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07" s="16">
        <f>IF($X207="","",SUM(Tabla152[[#This Row],[BLANDO]:[COLAPSADO]])/$X$10)</f>
        <v>0</v>
      </c>
      <c r="DR207" s="16">
        <f>IF($X207="","",SUM(Tabla152[[#This Row],[DESHIDRATADO LEVE]:[DESHIDRATADO INMADURO]])/$X$10)</f>
        <v>0</v>
      </c>
      <c r="DS207" s="18">
        <f t="shared" si="21"/>
        <v>0</v>
      </c>
      <c r="DT207" s="16">
        <f>IF($X207="","",SUM(Tabla152[[#This Row],[PRESENCIA DE LARVA]],Tabla152[[#This Row],[CHANCHITO BLANCO]])/$X$10)</f>
        <v>0</v>
      </c>
      <c r="DU207" s="18">
        <f>IF($X207="","",SUM(Tabla152[[#This Row],[ROJO GRADO 2 A MÁS]],Tabla152[[#This Row],[IMMADURO VERDE]],Tabla152[[#This Row],[DESORDEN POR MADURACIÓN]],Tabla152[[#This Row],[ARO PEDICELAR VERDE EXTREMO]])/$X$10)</f>
        <v>0</v>
      </c>
      <c r="DV207" s="16">
        <f>IF($X207="","",SUM(Tabla152[[#This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07" s="16">
        <f t="shared" si="22"/>
        <v>0</v>
      </c>
      <c r="DX207" s="16">
        <f>IF($X207="","",AJ207/$X$10)</f>
        <v>0</v>
      </c>
      <c r="DY207" s="16">
        <f>IF($X207="","",SUM(Tabla152[[#This Row],[PRESENCIA DE COROLA]],Tabla152[[#This Row],[PRESENCIA DE RESTO FLORAL VERDE]],Tabla152[[#This Row],[PRESENCIA DE PEDÚNCULO]])/$X$10)</f>
        <v>0</v>
      </c>
      <c r="DZ207" s="16">
        <f>IF($X207="","",SUM(Tabla152[[#This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08" spans="1:130" x14ac:dyDescent="0.3">
      <c r="A208" s="9">
        <f>IF(W208="","",IF(ROW()=10,1,IF(W208=W207,A207,MAX($A$9:A207)+1)))</f>
        <v>66</v>
      </c>
      <c r="B208" s="9">
        <f>WEEKNUM(Tabla152[[#This Row],[FECHA DE COSECHA]],21)</f>
        <v>36</v>
      </c>
      <c r="C208" s="9"/>
      <c r="D208" s="17">
        <v>46268</v>
      </c>
      <c r="E208" s="17">
        <v>46268</v>
      </c>
      <c r="F208" s="9">
        <v>1</v>
      </c>
      <c r="G208" s="9" t="s">
        <v>77</v>
      </c>
      <c r="H208" s="9" t="s">
        <v>144</v>
      </c>
      <c r="I208" s="9" t="s">
        <v>188</v>
      </c>
      <c r="J208" s="9" t="s">
        <v>135</v>
      </c>
      <c r="K208" s="9" t="s">
        <v>146</v>
      </c>
      <c r="L208" s="9" t="s">
        <v>131</v>
      </c>
      <c r="M208" s="9" t="s">
        <v>239</v>
      </c>
      <c r="N208" s="9" t="s">
        <v>136</v>
      </c>
      <c r="O208" s="9" t="s">
        <v>137</v>
      </c>
      <c r="P208" s="9" t="s">
        <v>243</v>
      </c>
      <c r="Q208" s="9"/>
      <c r="R208" s="9">
        <v>7</v>
      </c>
      <c r="S208" s="9">
        <v>78114711</v>
      </c>
      <c r="T208" t="s">
        <v>233</v>
      </c>
      <c r="U208" s="9" t="s">
        <v>147</v>
      </c>
      <c r="V208" s="9"/>
      <c r="W208" s="19" t="s">
        <v>181</v>
      </c>
      <c r="X208" s="9">
        <v>62</v>
      </c>
      <c r="Y208" s="9">
        <v>1</v>
      </c>
      <c r="Z208" s="9">
        <v>15</v>
      </c>
      <c r="AA208" s="9" t="str">
        <f>IF(Tabla152[[#This Row],[NOTA]]=15,"CUMPLE","NO CUMPLE")</f>
        <v>CUMPLE</v>
      </c>
      <c r="AB208" s="9" t="str">
        <f>IF(COUNTIF($A$10:A208,A208)=1,IF(COUNTIFS($A:$A,A208,$AA:$AA,"NO CUMPLE")&gt;0,"NO CUMPLE","CUMPLE"),"")</f>
        <v>CUMPLE</v>
      </c>
      <c r="AC208" s="9" t="s">
        <v>140</v>
      </c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18"/>
      <c r="BX208" s="18">
        <f>IF($X208="","",AE208/$X$10)</f>
        <v>0</v>
      </c>
      <c r="BY208" s="18">
        <f>IF($X208="","",AF208/$X$10)</f>
        <v>0</v>
      </c>
      <c r="BZ208" s="18">
        <f>IF($X208="","",AG208/$X$10)</f>
        <v>0</v>
      </c>
      <c r="CA208" s="18">
        <f>IF($X208="","",AH208/$X$10)</f>
        <v>0</v>
      </c>
      <c r="CB208" s="18">
        <f t="shared" si="23"/>
        <v>0</v>
      </c>
      <c r="CC208" s="18">
        <f>IF($X208="","",AJ208/$X$10)</f>
        <v>0</v>
      </c>
      <c r="CD208" s="18">
        <f>IF($X208="","",AK208/$X$10)</f>
        <v>0</v>
      </c>
      <c r="CE208" s="18">
        <f>IF($X208="","",AL208/$X$10)</f>
        <v>0</v>
      </c>
      <c r="CF208" s="18">
        <f>IF($X208="","",AM208/$X$10)</f>
        <v>0</v>
      </c>
      <c r="CG208" s="18">
        <f>IF($X208="","",AN208/$X$10)</f>
        <v>0</v>
      </c>
      <c r="CH208" s="18">
        <f>IF($X208="","",AO208/$X$10)</f>
        <v>0</v>
      </c>
      <c r="CI208" s="18">
        <f>IF($X208="","",AP208/$X$10)</f>
        <v>0</v>
      </c>
      <c r="CJ208" s="18">
        <f>IF($X208="","",AQ208/$X$10)</f>
        <v>0</v>
      </c>
      <c r="CK208" s="18">
        <f>IF($X208="","",AR208/$X$10)</f>
        <v>0</v>
      </c>
      <c r="CL208" s="18">
        <f>IF($X208="","",AS208/$X$10)</f>
        <v>0</v>
      </c>
      <c r="CM208" s="18">
        <f>IF($X208="","",AT208/$X$10)</f>
        <v>0</v>
      </c>
      <c r="CN208" s="18">
        <f>IF($X208="","",AU208/$X$10)</f>
        <v>0</v>
      </c>
      <c r="CO208" s="18">
        <f>IF($X208="","",AV208/$X$10)</f>
        <v>0</v>
      </c>
      <c r="CP208" s="18">
        <f>IF($X208="","",AW208/$X$10)</f>
        <v>0</v>
      </c>
      <c r="CQ208" s="18">
        <f>IF($X208="","",AX208/$X$10)</f>
        <v>0</v>
      </c>
      <c r="CR208" s="18">
        <f>IF($X208="","",AY208/$X$10)</f>
        <v>0</v>
      </c>
      <c r="CS208" s="18">
        <f>IF($X208="","",AZ208/$X$10)</f>
        <v>0</v>
      </c>
      <c r="CT208" s="18">
        <f>IF($X208="","",BA208/$X$10)</f>
        <v>0</v>
      </c>
      <c r="CU208" s="18">
        <f>IF($X208="","",BB208/$X$10)</f>
        <v>0</v>
      </c>
      <c r="CV208" s="18">
        <f>IF($X208="","",BC208/$X$10)</f>
        <v>0</v>
      </c>
      <c r="CW208" s="18">
        <f>IF($X208="","",BD208/$X$10)</f>
        <v>0</v>
      </c>
      <c r="CX208" s="18">
        <f>IF($X208="","",BE208/$X$10)</f>
        <v>0</v>
      </c>
      <c r="CY208" s="18">
        <f>IF($X208="","",BF208/$X$10)</f>
        <v>0</v>
      </c>
      <c r="CZ208" s="18">
        <f>IF($X208="","",BG208/$X$10)</f>
        <v>0</v>
      </c>
      <c r="DA208" s="18">
        <f>IF($X208="","",BH208/$X$10)</f>
        <v>0</v>
      </c>
      <c r="DB208" s="18">
        <f>IF($X208="","",BI208/$X$10)</f>
        <v>0</v>
      </c>
      <c r="DC208" s="18">
        <f>IF($X208="","",BJ208/$X$10)</f>
        <v>0</v>
      </c>
      <c r="DD208" s="18">
        <f>IF($X208="","",BK208/$X$10)</f>
        <v>0</v>
      </c>
      <c r="DE208" s="18">
        <f>IF($X208="","",BL208/$X$10)</f>
        <v>0</v>
      </c>
      <c r="DF208" s="18">
        <f>IF($X208="","",BM208/$X$10)</f>
        <v>0</v>
      </c>
      <c r="DG208" s="18">
        <f t="shared" si="24"/>
        <v>0</v>
      </c>
      <c r="DH208" s="18">
        <f>IF($X208="","",BO208/$X$10)</f>
        <v>0</v>
      </c>
      <c r="DI208" s="18">
        <f>IF($X208="","",BP208/$X$10)</f>
        <v>0</v>
      </c>
      <c r="DJ208" s="18">
        <f>IF($X208="","",BQ208/$X$10)</f>
        <v>0</v>
      </c>
      <c r="DK208" s="18">
        <f>IF($X208="","",BR208/$X$10)</f>
        <v>0</v>
      </c>
      <c r="DL208" s="18">
        <f>IF($X208="","",BS208/$X$10)</f>
        <v>0</v>
      </c>
      <c r="DM208" s="18">
        <f>IF($X208="","",BT208/$X$10)</f>
        <v>0</v>
      </c>
      <c r="DN208" s="18">
        <f t="shared" si="20"/>
        <v>0</v>
      </c>
      <c r="DO208" s="16">
        <f>IF($X208="","",SUM(Tabla152[[#This Row],[PODRIDO]],Tabla152[[#This Row],[HONGO]],Tabla152[[#This Row],[PICADO DE AVE CON PUDRICIÓN]],Tabla152[[#This Row],[FUMAGINA]])/$X$10)</f>
        <v>0</v>
      </c>
      <c r="DP208" s="16">
        <f>IF($X208="","",SUM(Tabla152[[#This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08" s="16">
        <f>IF($X208="","",SUM(Tabla152[[#This Row],[BLANDO]:[COLAPSADO]])/$X$10)</f>
        <v>0</v>
      </c>
      <c r="DR208" s="16">
        <f>IF($X208="","",SUM(Tabla152[[#This Row],[DESHIDRATADO LEVE]:[DESHIDRATADO INMADURO]])/$X$10)</f>
        <v>0</v>
      </c>
      <c r="DS208" s="18">
        <f t="shared" si="21"/>
        <v>0</v>
      </c>
      <c r="DT208" s="16">
        <f>IF($X208="","",SUM(Tabla152[[#This Row],[PRESENCIA DE LARVA]],Tabla152[[#This Row],[CHANCHITO BLANCO]])/$X$10)</f>
        <v>0</v>
      </c>
      <c r="DU208" s="18">
        <f>IF($X208="","",SUM(Tabla152[[#This Row],[ROJO GRADO 2 A MÁS]],Tabla152[[#This Row],[IMMADURO VERDE]],Tabla152[[#This Row],[DESORDEN POR MADURACIÓN]],Tabla152[[#This Row],[ARO PEDICELAR VERDE EXTREMO]])/$X$10)</f>
        <v>0</v>
      </c>
      <c r="DV208" s="16">
        <f>IF($X208="","",SUM(Tabla152[[#This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08" s="16">
        <f t="shared" si="22"/>
        <v>0</v>
      </c>
      <c r="DX208" s="16">
        <f>IF($X208="","",AJ208/$X$10)</f>
        <v>0</v>
      </c>
      <c r="DY208" s="16">
        <f>IF($X208="","",SUM(Tabla152[[#This Row],[PRESENCIA DE COROLA]],Tabla152[[#This Row],[PRESENCIA DE RESTO FLORAL VERDE]],Tabla152[[#This Row],[PRESENCIA DE PEDÚNCULO]])/$X$10)</f>
        <v>0</v>
      </c>
      <c r="DZ208" s="16">
        <f>IF($X208="","",SUM(Tabla152[[#This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09" spans="1:130" x14ac:dyDescent="0.3">
      <c r="A209" s="9">
        <f>IF(W209="","",IF(ROW()=10,1,IF(W209=W208,A208,MAX($A$9:A208)+1)))</f>
        <v>66</v>
      </c>
      <c r="B209" s="9">
        <f>WEEKNUM(Tabla152[[#This Row],[FECHA DE COSECHA]],21)</f>
        <v>36</v>
      </c>
      <c r="C209" s="9"/>
      <c r="D209" s="17">
        <v>46268</v>
      </c>
      <c r="E209" s="17">
        <v>46268</v>
      </c>
      <c r="F209" s="9">
        <v>1</v>
      </c>
      <c r="G209" s="9" t="s">
        <v>77</v>
      </c>
      <c r="H209" s="9" t="s">
        <v>144</v>
      </c>
      <c r="I209" s="9" t="s">
        <v>188</v>
      </c>
      <c r="J209" s="9" t="s">
        <v>135</v>
      </c>
      <c r="K209" s="9" t="s">
        <v>146</v>
      </c>
      <c r="L209" s="9" t="s">
        <v>131</v>
      </c>
      <c r="M209" s="9" t="s">
        <v>239</v>
      </c>
      <c r="N209" s="9" t="s">
        <v>136</v>
      </c>
      <c r="O209" s="9" t="s">
        <v>137</v>
      </c>
      <c r="P209" s="9" t="s">
        <v>243</v>
      </c>
      <c r="Q209" s="9"/>
      <c r="R209" s="9">
        <v>7</v>
      </c>
      <c r="S209" s="9">
        <v>78114711</v>
      </c>
      <c r="T209" t="s">
        <v>233</v>
      </c>
      <c r="U209" s="9" t="s">
        <v>147</v>
      </c>
      <c r="V209" s="9"/>
      <c r="W209" s="19" t="s">
        <v>181</v>
      </c>
      <c r="X209" s="9">
        <v>62</v>
      </c>
      <c r="Y209" s="9">
        <v>2</v>
      </c>
      <c r="Z209" s="9">
        <v>15</v>
      </c>
      <c r="AA209" s="9" t="str">
        <f>IF(Tabla152[[#This Row],[NOTA]]=15,"CUMPLE","NO CUMPLE")</f>
        <v>CUMPLE</v>
      </c>
      <c r="AB209" s="9" t="str">
        <f>IF(COUNTIF($A$10:A209,A209)=1,IF(COUNTIFS($A:$A,A209,$AA:$AA,"NO CUMPLE")&gt;0,"NO CUMPLE","CUMPLE"),"")</f>
        <v/>
      </c>
      <c r="AC209" s="9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18"/>
      <c r="BX209" s="18">
        <f>IF($X209="","",AE209/$X$10)</f>
        <v>0</v>
      </c>
      <c r="BY209" s="18">
        <f>IF($X209="","",AF209/$X$10)</f>
        <v>0</v>
      </c>
      <c r="BZ209" s="18">
        <f>IF($X209="","",AG209/$X$10)</f>
        <v>0</v>
      </c>
      <c r="CA209" s="18">
        <f>IF($X209="","",AH209/$X$10)</f>
        <v>0</v>
      </c>
      <c r="CB209" s="18">
        <f t="shared" si="23"/>
        <v>0</v>
      </c>
      <c r="CC209" s="18">
        <f>IF($X209="","",AJ209/$X$10)</f>
        <v>0</v>
      </c>
      <c r="CD209" s="18">
        <f>IF($X209="","",AK209/$X$10)</f>
        <v>0</v>
      </c>
      <c r="CE209" s="18">
        <f>IF($X209="","",AL209/$X$10)</f>
        <v>0</v>
      </c>
      <c r="CF209" s="18">
        <f>IF($X209="","",AM209/$X$10)</f>
        <v>0</v>
      </c>
      <c r="CG209" s="18">
        <f>IF($X209="","",AN209/$X$10)</f>
        <v>0</v>
      </c>
      <c r="CH209" s="18">
        <f>IF($X209="","",AO209/$X$10)</f>
        <v>0</v>
      </c>
      <c r="CI209" s="18">
        <f>IF($X209="","",AP209/$X$10)</f>
        <v>0</v>
      </c>
      <c r="CJ209" s="18">
        <f>IF($X209="","",AQ209/$X$10)</f>
        <v>0</v>
      </c>
      <c r="CK209" s="18">
        <f>IF($X209="","",AR209/$X$10)</f>
        <v>0</v>
      </c>
      <c r="CL209" s="18">
        <f>IF($X209="","",AS209/$X$10)</f>
        <v>0</v>
      </c>
      <c r="CM209" s="18">
        <f>IF($X209="","",AT209/$X$10)</f>
        <v>0</v>
      </c>
      <c r="CN209" s="18">
        <f>IF($X209="","",AU209/$X$10)</f>
        <v>0</v>
      </c>
      <c r="CO209" s="18">
        <f>IF($X209="","",AV209/$X$10)</f>
        <v>0</v>
      </c>
      <c r="CP209" s="18">
        <f>IF($X209="","",AW209/$X$10)</f>
        <v>0</v>
      </c>
      <c r="CQ209" s="18">
        <f>IF($X209="","",AX209/$X$10)</f>
        <v>0</v>
      </c>
      <c r="CR209" s="18">
        <f>IF($X209="","",AY209/$X$10)</f>
        <v>0</v>
      </c>
      <c r="CS209" s="18">
        <f>IF($X209="","",AZ209/$X$10)</f>
        <v>0</v>
      </c>
      <c r="CT209" s="18">
        <f>IF($X209="","",BA209/$X$10)</f>
        <v>0</v>
      </c>
      <c r="CU209" s="18">
        <f>IF($X209="","",BB209/$X$10)</f>
        <v>0</v>
      </c>
      <c r="CV209" s="18">
        <f>IF($X209="","",BC209/$X$10)</f>
        <v>0</v>
      </c>
      <c r="CW209" s="18">
        <f>IF($X209="","",BD209/$X$10)</f>
        <v>0</v>
      </c>
      <c r="CX209" s="18">
        <f>IF($X209="","",BE209/$X$10)</f>
        <v>0</v>
      </c>
      <c r="CY209" s="18">
        <f>IF($X209="","",BF209/$X$10)</f>
        <v>0</v>
      </c>
      <c r="CZ209" s="18">
        <f>IF($X209="","",BG209/$X$10)</f>
        <v>0</v>
      </c>
      <c r="DA209" s="18">
        <f>IF($X209="","",BH209/$X$10)</f>
        <v>0</v>
      </c>
      <c r="DB209" s="18">
        <f>IF($X209="","",BI209/$X$10)</f>
        <v>0</v>
      </c>
      <c r="DC209" s="18">
        <f>IF($X209="","",BJ209/$X$10)</f>
        <v>0</v>
      </c>
      <c r="DD209" s="18">
        <f>IF($X209="","",BK209/$X$10)</f>
        <v>0</v>
      </c>
      <c r="DE209" s="18">
        <f>IF($X209="","",BL209/$X$10)</f>
        <v>0</v>
      </c>
      <c r="DF209" s="18">
        <f>IF($X209="","",BM209/$X$10)</f>
        <v>0</v>
      </c>
      <c r="DG209" s="18">
        <f t="shared" si="24"/>
        <v>0</v>
      </c>
      <c r="DH209" s="18">
        <f>IF($X209="","",BO209/$X$10)</f>
        <v>0</v>
      </c>
      <c r="DI209" s="18">
        <f>IF($X209="","",BP209/$X$10)</f>
        <v>0</v>
      </c>
      <c r="DJ209" s="18">
        <f>IF($X209="","",BQ209/$X$10)</f>
        <v>0</v>
      </c>
      <c r="DK209" s="18">
        <f>IF($X209="","",BR209/$X$10)</f>
        <v>0</v>
      </c>
      <c r="DL209" s="18">
        <f>IF($X209="","",BS209/$X$10)</f>
        <v>0</v>
      </c>
      <c r="DM209" s="18">
        <f>IF($X209="","",BT209/$X$10)</f>
        <v>0</v>
      </c>
      <c r="DN209" s="18">
        <f t="shared" si="20"/>
        <v>0</v>
      </c>
      <c r="DO209" s="16">
        <f>IF($X209="","",SUM(Tabla152[[#This Row],[PODRIDO]],Tabla152[[#This Row],[HONGO]],Tabla152[[#This Row],[PICADO DE AVE CON PUDRICIÓN]],Tabla152[[#This Row],[FUMAGINA]])/$X$10)</f>
        <v>0</v>
      </c>
      <c r="DP209" s="16">
        <f>IF($X209="","",SUM(Tabla152[[#This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09" s="16">
        <f>IF($X209="","",SUM(Tabla152[[#This Row],[BLANDO]:[COLAPSADO]])/$X$10)</f>
        <v>0</v>
      </c>
      <c r="DR209" s="16">
        <f>IF($X209="","",SUM(Tabla152[[#This Row],[DESHIDRATADO LEVE]:[DESHIDRATADO INMADURO]])/$X$10)</f>
        <v>0</v>
      </c>
      <c r="DS209" s="18">
        <f t="shared" si="21"/>
        <v>0</v>
      </c>
      <c r="DT209" s="16">
        <f>IF($X209="","",SUM(Tabla152[[#This Row],[PRESENCIA DE LARVA]],Tabla152[[#This Row],[CHANCHITO BLANCO]])/$X$10)</f>
        <v>0</v>
      </c>
      <c r="DU209" s="18">
        <f>IF($X209="","",SUM(Tabla152[[#This Row],[ROJO GRADO 2 A MÁS]],Tabla152[[#This Row],[IMMADURO VERDE]],Tabla152[[#This Row],[DESORDEN POR MADURACIÓN]],Tabla152[[#This Row],[ARO PEDICELAR VERDE EXTREMO]])/$X$10)</f>
        <v>0</v>
      </c>
      <c r="DV209" s="16">
        <f>IF($X209="","",SUM(Tabla152[[#This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09" s="16">
        <f t="shared" si="22"/>
        <v>0</v>
      </c>
      <c r="DX209" s="16">
        <f>IF($X209="","",AJ209/$X$10)</f>
        <v>0</v>
      </c>
      <c r="DY209" s="16">
        <f>IF($X209="","",SUM(Tabla152[[#This Row],[PRESENCIA DE COROLA]],Tabla152[[#This Row],[PRESENCIA DE RESTO FLORAL VERDE]],Tabla152[[#This Row],[PRESENCIA DE PEDÚNCULO]])/$X$10)</f>
        <v>0</v>
      </c>
      <c r="DZ209" s="16">
        <f>IF($X209="","",SUM(Tabla152[[#This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10" spans="1:130" x14ac:dyDescent="0.3">
      <c r="A210" s="9">
        <f>IF(W210="","",IF(ROW()=10,1,IF(W210=W209,A209,MAX($A$9:A209)+1)))</f>
        <v>66</v>
      </c>
      <c r="B210" s="9">
        <f>WEEKNUM(Tabla152[[#This Row],[FECHA DE COSECHA]],21)</f>
        <v>36</v>
      </c>
      <c r="C210" s="9"/>
      <c r="D210" s="17">
        <v>46268</v>
      </c>
      <c r="E210" s="17">
        <v>46268</v>
      </c>
      <c r="F210" s="9">
        <v>1</v>
      </c>
      <c r="G210" s="9" t="s">
        <v>77</v>
      </c>
      <c r="H210" s="9" t="s">
        <v>144</v>
      </c>
      <c r="I210" s="9" t="s">
        <v>188</v>
      </c>
      <c r="J210" s="9" t="s">
        <v>135</v>
      </c>
      <c r="K210" s="9" t="s">
        <v>146</v>
      </c>
      <c r="L210" s="9" t="s">
        <v>131</v>
      </c>
      <c r="M210" s="9" t="s">
        <v>239</v>
      </c>
      <c r="N210" s="9" t="s">
        <v>136</v>
      </c>
      <c r="O210" s="9" t="s">
        <v>137</v>
      </c>
      <c r="P210" s="9" t="s">
        <v>243</v>
      </c>
      <c r="Q210" s="9"/>
      <c r="R210" s="9">
        <v>7</v>
      </c>
      <c r="S210" s="9">
        <v>78114711</v>
      </c>
      <c r="T210" t="s">
        <v>233</v>
      </c>
      <c r="U210" s="9" t="s">
        <v>147</v>
      </c>
      <c r="V210" s="9"/>
      <c r="W210" s="19" t="s">
        <v>181</v>
      </c>
      <c r="X210" s="9">
        <v>62</v>
      </c>
      <c r="Y210" s="9">
        <v>3</v>
      </c>
      <c r="Z210" s="9">
        <v>15</v>
      </c>
      <c r="AA210" s="9" t="str">
        <f>IF(Tabla152[[#This Row],[NOTA]]=15,"CUMPLE","NO CUMPLE")</f>
        <v>CUMPLE</v>
      </c>
      <c r="AB210" s="9" t="str">
        <f>IF(COUNTIF($A$10:A210,A210)=1,IF(COUNTIFS($A:$A,A210,$AA:$AA,"NO CUMPLE")&gt;0,"NO CUMPLE","CUMPLE"),"")</f>
        <v/>
      </c>
      <c r="AC210" s="9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18"/>
      <c r="BX210" s="18">
        <f>IF($X210="","",AE210/$X$10)</f>
        <v>0</v>
      </c>
      <c r="BY210" s="18">
        <f>IF($X210="","",AF210/$X$10)</f>
        <v>0</v>
      </c>
      <c r="BZ210" s="18">
        <f>IF($X210="","",AG210/$X$10)</f>
        <v>0</v>
      </c>
      <c r="CA210" s="18">
        <f>IF($X210="","",AH210/$X$10)</f>
        <v>0</v>
      </c>
      <c r="CB210" s="18">
        <f t="shared" si="23"/>
        <v>0</v>
      </c>
      <c r="CC210" s="18">
        <f>IF($X210="","",AJ210/$X$10)</f>
        <v>0</v>
      </c>
      <c r="CD210" s="18">
        <f>IF($X210="","",AK210/$X$10)</f>
        <v>0</v>
      </c>
      <c r="CE210" s="18">
        <f>IF($X210="","",AL210/$X$10)</f>
        <v>0</v>
      </c>
      <c r="CF210" s="18">
        <f>IF($X210="","",AM210/$X$10)</f>
        <v>0</v>
      </c>
      <c r="CG210" s="18">
        <f>IF($X210="","",AN210/$X$10)</f>
        <v>0</v>
      </c>
      <c r="CH210" s="18">
        <f>IF($X210="","",AO210/$X$10)</f>
        <v>0</v>
      </c>
      <c r="CI210" s="18">
        <f>IF($X210="","",AP210/$X$10)</f>
        <v>0</v>
      </c>
      <c r="CJ210" s="18">
        <f>IF($X210="","",AQ210/$X$10)</f>
        <v>0</v>
      </c>
      <c r="CK210" s="18">
        <f>IF($X210="","",AR210/$X$10)</f>
        <v>0</v>
      </c>
      <c r="CL210" s="18">
        <f>IF($X210="","",AS210/$X$10)</f>
        <v>0</v>
      </c>
      <c r="CM210" s="18">
        <f>IF($X210="","",AT210/$X$10)</f>
        <v>0</v>
      </c>
      <c r="CN210" s="18">
        <f>IF($X210="","",AU210/$X$10)</f>
        <v>0</v>
      </c>
      <c r="CO210" s="18">
        <f>IF($X210="","",AV210/$X$10)</f>
        <v>0</v>
      </c>
      <c r="CP210" s="18">
        <f>IF($X210="","",AW210/$X$10)</f>
        <v>0</v>
      </c>
      <c r="CQ210" s="18">
        <f>IF($X210="","",AX210/$X$10)</f>
        <v>0</v>
      </c>
      <c r="CR210" s="18">
        <f>IF($X210="","",AY210/$X$10)</f>
        <v>0</v>
      </c>
      <c r="CS210" s="18">
        <f>IF($X210="","",AZ210/$X$10)</f>
        <v>0</v>
      </c>
      <c r="CT210" s="18">
        <f>IF($X210="","",BA210/$X$10)</f>
        <v>0</v>
      </c>
      <c r="CU210" s="18">
        <f>IF($X210="","",BB210/$X$10)</f>
        <v>0</v>
      </c>
      <c r="CV210" s="18">
        <f>IF($X210="","",BC210/$X$10)</f>
        <v>0</v>
      </c>
      <c r="CW210" s="18">
        <f>IF($X210="","",BD210/$X$10)</f>
        <v>0</v>
      </c>
      <c r="CX210" s="18">
        <f>IF($X210="","",BE210/$X$10)</f>
        <v>0</v>
      </c>
      <c r="CY210" s="18">
        <f>IF($X210="","",BF210/$X$10)</f>
        <v>0</v>
      </c>
      <c r="CZ210" s="18">
        <f>IF($X210="","",BG210/$X$10)</f>
        <v>0</v>
      </c>
      <c r="DA210" s="18">
        <f>IF($X210="","",BH210/$X$10)</f>
        <v>0</v>
      </c>
      <c r="DB210" s="18">
        <f>IF($X210="","",BI210/$X$10)</f>
        <v>0</v>
      </c>
      <c r="DC210" s="18">
        <f>IF($X210="","",BJ210/$X$10)</f>
        <v>0</v>
      </c>
      <c r="DD210" s="18">
        <f>IF($X210="","",BK210/$X$10)</f>
        <v>0</v>
      </c>
      <c r="DE210" s="18">
        <f>IF($X210="","",BL210/$X$10)</f>
        <v>0</v>
      </c>
      <c r="DF210" s="18">
        <f>IF($X210="","",BM210/$X$10)</f>
        <v>0</v>
      </c>
      <c r="DG210" s="18">
        <f t="shared" si="24"/>
        <v>0</v>
      </c>
      <c r="DH210" s="18">
        <f>IF($X210="","",BO210/$X$10)</f>
        <v>0</v>
      </c>
      <c r="DI210" s="18">
        <f>IF($X210="","",BP210/$X$10)</f>
        <v>0</v>
      </c>
      <c r="DJ210" s="18">
        <f>IF($X210="","",BQ210/$X$10)</f>
        <v>0</v>
      </c>
      <c r="DK210" s="18">
        <f>IF($X210="","",BR210/$X$10)</f>
        <v>0</v>
      </c>
      <c r="DL210" s="18">
        <f>IF($X210="","",BS210/$X$10)</f>
        <v>0</v>
      </c>
      <c r="DM210" s="18">
        <f>IF($X210="","",BT210/$X$10)</f>
        <v>0</v>
      </c>
      <c r="DN210" s="18">
        <f t="shared" si="20"/>
        <v>0</v>
      </c>
      <c r="DO210" s="16">
        <f>IF($X210="","",SUM(Tabla152[[#This Row],[PODRIDO]],Tabla152[[#This Row],[HONGO]],Tabla152[[#This Row],[PICADO DE AVE CON PUDRICIÓN]],Tabla152[[#This Row],[FUMAGINA]])/$X$10)</f>
        <v>0</v>
      </c>
      <c r="DP210" s="16">
        <f>IF($X210="","",SUM(Tabla152[[#This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10" s="16">
        <f>IF($X210="","",SUM(Tabla152[[#This Row],[BLANDO]:[COLAPSADO]])/$X$10)</f>
        <v>0</v>
      </c>
      <c r="DR210" s="16">
        <f>IF($X210="","",SUM(Tabla152[[#This Row],[DESHIDRATADO LEVE]:[DESHIDRATADO INMADURO]])/$X$10)</f>
        <v>0</v>
      </c>
      <c r="DS210" s="18">
        <f t="shared" si="21"/>
        <v>0</v>
      </c>
      <c r="DT210" s="16">
        <f>IF($X210="","",SUM(Tabla152[[#This Row],[PRESENCIA DE LARVA]],Tabla152[[#This Row],[CHANCHITO BLANCO]])/$X$10)</f>
        <v>0</v>
      </c>
      <c r="DU210" s="18">
        <f>IF($X210="","",SUM(Tabla152[[#This Row],[ROJO GRADO 2 A MÁS]],Tabla152[[#This Row],[IMMADURO VERDE]],Tabla152[[#This Row],[DESORDEN POR MADURACIÓN]],Tabla152[[#This Row],[ARO PEDICELAR VERDE EXTREMO]])/$X$10)</f>
        <v>0</v>
      </c>
      <c r="DV210" s="16">
        <f>IF($X210="","",SUM(Tabla152[[#This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10" s="16">
        <f t="shared" si="22"/>
        <v>0</v>
      </c>
      <c r="DX210" s="16">
        <f>IF($X210="","",AJ210/$X$10)</f>
        <v>0</v>
      </c>
      <c r="DY210" s="16">
        <f>IF($X210="","",SUM(Tabla152[[#This Row],[PRESENCIA DE COROLA]],Tabla152[[#This Row],[PRESENCIA DE RESTO FLORAL VERDE]],Tabla152[[#This Row],[PRESENCIA DE PEDÚNCULO]])/$X$10)</f>
        <v>0</v>
      </c>
      <c r="DZ210" s="16">
        <f>IF($X210="","",SUM(Tabla152[[#This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11" spans="1:130" x14ac:dyDescent="0.3">
      <c r="A211" s="9">
        <f>IF(W211="","",IF(ROW()=10,1,IF(W211=W210,A210,MAX($A$9:A210)+1)))</f>
        <v>67</v>
      </c>
      <c r="B211" s="9">
        <f>WEEKNUM(Tabla152[[#This Row],[FECHA DE COSECHA]],21)</f>
        <v>36</v>
      </c>
      <c r="C211" s="9"/>
      <c r="D211" s="17">
        <v>46268</v>
      </c>
      <c r="E211" s="17">
        <v>46268</v>
      </c>
      <c r="F211" s="9">
        <v>1</v>
      </c>
      <c r="G211" s="9" t="s">
        <v>77</v>
      </c>
      <c r="H211" s="9" t="s">
        <v>144</v>
      </c>
      <c r="I211" s="9" t="s">
        <v>134</v>
      </c>
      <c r="J211" s="9" t="s">
        <v>78</v>
      </c>
      <c r="K211" s="9" t="s">
        <v>153</v>
      </c>
      <c r="L211" s="9" t="s">
        <v>131</v>
      </c>
      <c r="M211" s="9" t="s">
        <v>239</v>
      </c>
      <c r="N211" s="9" t="s">
        <v>151</v>
      </c>
      <c r="O211" s="9" t="s">
        <v>244</v>
      </c>
      <c r="P211" s="9" t="s">
        <v>152</v>
      </c>
      <c r="Q211" s="9"/>
      <c r="R211" s="9">
        <v>8</v>
      </c>
      <c r="S211" s="9">
        <v>78114711</v>
      </c>
      <c r="T211" t="s">
        <v>233</v>
      </c>
      <c r="U211" s="9" t="s">
        <v>147</v>
      </c>
      <c r="V211" s="9"/>
      <c r="W211" s="19" t="s">
        <v>212</v>
      </c>
      <c r="X211" s="9">
        <v>61</v>
      </c>
      <c r="Y211" s="9">
        <v>1</v>
      </c>
      <c r="Z211" s="9">
        <v>15</v>
      </c>
      <c r="AA211" s="9" t="str">
        <f>IF(Tabla152[[#This Row],[NOTA]]=15,"CUMPLE","NO CUMPLE")</f>
        <v>CUMPLE</v>
      </c>
      <c r="AB211" s="9" t="str">
        <f>IF(COUNTIF($A$10:A211,A211)=1,IF(COUNTIFS($A:$A,A211,$AA:$AA,"NO CUMPLE")&gt;0,"NO CUMPLE","CUMPLE"),"")</f>
        <v>CUMPLE</v>
      </c>
      <c r="AC211" s="9" t="s">
        <v>140</v>
      </c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18"/>
      <c r="BX211" s="18">
        <f>IF($X211="","",AE211/$X$10)</f>
        <v>0</v>
      </c>
      <c r="BY211" s="18">
        <f>IF($X211="","",AF211/$X$10)</f>
        <v>0</v>
      </c>
      <c r="BZ211" s="18">
        <f>IF($X211="","",AG211/$X$10)</f>
        <v>0</v>
      </c>
      <c r="CA211" s="18">
        <f>IF($X211="","",AH211/$X$10)</f>
        <v>0</v>
      </c>
      <c r="CB211" s="18">
        <f t="shared" si="23"/>
        <v>0</v>
      </c>
      <c r="CC211" s="18">
        <f>IF($X211="","",AJ211/$X$10)</f>
        <v>0</v>
      </c>
      <c r="CD211" s="18">
        <f>IF($X211="","",AK211/$X$10)</f>
        <v>0</v>
      </c>
      <c r="CE211" s="18">
        <f>IF($X211="","",AL211/$X$10)</f>
        <v>0</v>
      </c>
      <c r="CF211" s="18">
        <f>IF($X211="","",AM211/$X$10)</f>
        <v>0</v>
      </c>
      <c r="CG211" s="18">
        <f>IF($X211="","",AN211/$X$10)</f>
        <v>0</v>
      </c>
      <c r="CH211" s="18">
        <f>IF($X211="","",AO211/$X$10)</f>
        <v>0</v>
      </c>
      <c r="CI211" s="18">
        <f>IF($X211="","",AP211/$X$10)</f>
        <v>0</v>
      </c>
      <c r="CJ211" s="18">
        <f>IF($X211="","",AQ211/$X$10)</f>
        <v>0</v>
      </c>
      <c r="CK211" s="18">
        <f>IF($X211="","",AR211/$X$10)</f>
        <v>0</v>
      </c>
      <c r="CL211" s="18">
        <f>IF($X211="","",AS211/$X$10)</f>
        <v>0</v>
      </c>
      <c r="CM211" s="18">
        <f>IF($X211="","",AT211/$X$10)</f>
        <v>0</v>
      </c>
      <c r="CN211" s="18">
        <f>IF($X211="","",AU211/$X$10)</f>
        <v>0</v>
      </c>
      <c r="CO211" s="18">
        <f>IF($X211="","",AV211/$X$10)</f>
        <v>0</v>
      </c>
      <c r="CP211" s="18">
        <f>IF($X211="","",AW211/$X$10)</f>
        <v>0</v>
      </c>
      <c r="CQ211" s="18">
        <f>IF($X211="","",AX211/$X$10)</f>
        <v>0</v>
      </c>
      <c r="CR211" s="18">
        <f>IF($X211="","",AY211/$X$10)</f>
        <v>0</v>
      </c>
      <c r="CS211" s="18">
        <f>IF($X211="","",AZ211/$X$10)</f>
        <v>0</v>
      </c>
      <c r="CT211" s="18">
        <f>IF($X211="","",BA211/$X$10)</f>
        <v>0</v>
      </c>
      <c r="CU211" s="18">
        <f>IF($X211="","",BB211/$X$10)</f>
        <v>0</v>
      </c>
      <c r="CV211" s="18">
        <f>IF($X211="","",BC211/$X$10)</f>
        <v>0</v>
      </c>
      <c r="CW211" s="18">
        <f>IF($X211="","",BD211/$X$10)</f>
        <v>0</v>
      </c>
      <c r="CX211" s="18">
        <f>IF($X211="","",BE211/$X$10)</f>
        <v>0</v>
      </c>
      <c r="CY211" s="18">
        <f>IF($X211="","",BF211/$X$10)</f>
        <v>0</v>
      </c>
      <c r="CZ211" s="18">
        <f>IF($X211="","",BG211/$X$10)</f>
        <v>0</v>
      </c>
      <c r="DA211" s="18">
        <f>IF($X211="","",BH211/$X$10)</f>
        <v>0</v>
      </c>
      <c r="DB211" s="18">
        <f>IF($X211="","",BI211/$X$10)</f>
        <v>0</v>
      </c>
      <c r="DC211" s="18">
        <f>IF($X211="","",BJ211/$X$10)</f>
        <v>0</v>
      </c>
      <c r="DD211" s="18">
        <f>IF($X211="","",BK211/$X$10)</f>
        <v>0</v>
      </c>
      <c r="DE211" s="18">
        <f>IF($X211="","",BL211/$X$10)</f>
        <v>0</v>
      </c>
      <c r="DF211" s="18">
        <f>IF($X211="","",BM211/$X$10)</f>
        <v>0</v>
      </c>
      <c r="DG211" s="18">
        <f t="shared" si="24"/>
        <v>0</v>
      </c>
      <c r="DH211" s="18">
        <f>IF($X211="","",BO211/$X$10)</f>
        <v>0</v>
      </c>
      <c r="DI211" s="18">
        <f>IF($X211="","",BP211/$X$10)</f>
        <v>0</v>
      </c>
      <c r="DJ211" s="18">
        <f>IF($X211="","",BQ211/$X$10)</f>
        <v>0</v>
      </c>
      <c r="DK211" s="18">
        <f>IF($X211="","",BR211/$X$10)</f>
        <v>0</v>
      </c>
      <c r="DL211" s="18">
        <f>IF($X211="","",BS211/$X$10)</f>
        <v>0</v>
      </c>
      <c r="DM211" s="18">
        <f>IF($X211="","",BT211/$X$10)</f>
        <v>0</v>
      </c>
      <c r="DN211" s="18">
        <f t="shared" si="20"/>
        <v>0</v>
      </c>
      <c r="DO211" s="16">
        <f>IF($X211="","",SUM(Tabla152[[#This Row],[PODRIDO]],Tabla152[[#This Row],[HONGO]],Tabla152[[#This Row],[PICADO DE AVE CON PUDRICIÓN]],Tabla152[[#This Row],[FUMAGINA]])/$X$10)</f>
        <v>0</v>
      </c>
      <c r="DP211" s="16">
        <f>IF($X211="","",SUM(Tabla152[[#This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11" s="16">
        <f>IF($X211="","",SUM(Tabla152[[#This Row],[BLANDO]:[COLAPSADO]])/$X$10)</f>
        <v>0</v>
      </c>
      <c r="DR211" s="16">
        <f>IF($X211="","",SUM(Tabla152[[#This Row],[DESHIDRATADO LEVE]:[DESHIDRATADO INMADURO]])/$X$10)</f>
        <v>0</v>
      </c>
      <c r="DS211" s="18">
        <f t="shared" si="21"/>
        <v>0</v>
      </c>
      <c r="DT211" s="16">
        <f>IF($X211="","",SUM(Tabla152[[#This Row],[PRESENCIA DE LARVA]],Tabla152[[#This Row],[CHANCHITO BLANCO]])/$X$10)</f>
        <v>0</v>
      </c>
      <c r="DU211" s="18">
        <f>IF($X211="","",SUM(Tabla152[[#This Row],[ROJO GRADO 2 A MÁS]],Tabla152[[#This Row],[IMMADURO VERDE]],Tabla152[[#This Row],[DESORDEN POR MADURACIÓN]],Tabla152[[#This Row],[ARO PEDICELAR VERDE EXTREMO]])/$X$10)</f>
        <v>0</v>
      </c>
      <c r="DV211" s="16">
        <f>IF($X211="","",SUM(Tabla152[[#This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11" s="16">
        <f t="shared" si="22"/>
        <v>0</v>
      </c>
      <c r="DX211" s="16">
        <f>IF($X211="","",AJ211/$X$10)</f>
        <v>0</v>
      </c>
      <c r="DY211" s="16">
        <f>IF($X211="","",SUM(Tabla152[[#This Row],[PRESENCIA DE COROLA]],Tabla152[[#This Row],[PRESENCIA DE RESTO FLORAL VERDE]],Tabla152[[#This Row],[PRESENCIA DE PEDÚNCULO]])/$X$10)</f>
        <v>0</v>
      </c>
      <c r="DZ211" s="16">
        <f>IF($X211="","",SUM(Tabla152[[#This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12" spans="1:130" x14ac:dyDescent="0.3">
      <c r="A212" s="9">
        <f>IF(W212="","",IF(ROW()=10,1,IF(W212=W211,A211,MAX($A$9:A211)+1)))</f>
        <v>67</v>
      </c>
      <c r="B212" s="9">
        <f>WEEKNUM(Tabla152[[#This Row],[FECHA DE COSECHA]],21)</f>
        <v>36</v>
      </c>
      <c r="C212" s="9"/>
      <c r="D212" s="17">
        <v>46268</v>
      </c>
      <c r="E212" s="17">
        <v>46268</v>
      </c>
      <c r="F212" s="9">
        <v>1</v>
      </c>
      <c r="G212" s="9" t="s">
        <v>77</v>
      </c>
      <c r="H212" s="9" t="s">
        <v>144</v>
      </c>
      <c r="I212" s="9" t="s">
        <v>134</v>
      </c>
      <c r="J212" s="9" t="s">
        <v>78</v>
      </c>
      <c r="K212" s="9" t="s">
        <v>153</v>
      </c>
      <c r="L212" s="9" t="s">
        <v>131</v>
      </c>
      <c r="M212" s="9" t="s">
        <v>239</v>
      </c>
      <c r="N212" s="9" t="s">
        <v>151</v>
      </c>
      <c r="O212" s="9" t="s">
        <v>244</v>
      </c>
      <c r="P212" s="9" t="s">
        <v>152</v>
      </c>
      <c r="Q212" s="9"/>
      <c r="R212" s="9">
        <v>8</v>
      </c>
      <c r="S212" s="9">
        <v>78114711</v>
      </c>
      <c r="T212" t="s">
        <v>233</v>
      </c>
      <c r="U212" s="9" t="s">
        <v>147</v>
      </c>
      <c r="V212" s="9"/>
      <c r="W212" s="19" t="s">
        <v>212</v>
      </c>
      <c r="X212" s="9">
        <v>61</v>
      </c>
      <c r="Y212" s="9">
        <v>2</v>
      </c>
      <c r="Z212" s="9">
        <v>15</v>
      </c>
      <c r="AA212" s="9" t="str">
        <f>IF(Tabla152[[#This Row],[NOTA]]=15,"CUMPLE","NO CUMPLE")</f>
        <v>CUMPLE</v>
      </c>
      <c r="AB212" s="9" t="str">
        <f>IF(COUNTIF($A$10:A212,A212)=1,IF(COUNTIFS($A:$A,A212,$AA:$AA,"NO CUMPLE")&gt;0,"NO CUMPLE","CUMPLE"),"")</f>
        <v/>
      </c>
      <c r="AC212" s="9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18"/>
      <c r="BX212" s="18">
        <f>IF($X212="","",AE212/$X$10)</f>
        <v>0</v>
      </c>
      <c r="BY212" s="18">
        <f>IF($X212="","",AF212/$X$10)</f>
        <v>0</v>
      </c>
      <c r="BZ212" s="18">
        <f>IF($X212="","",AG212/$X$10)</f>
        <v>0</v>
      </c>
      <c r="CA212" s="18">
        <f>IF($X212="","",AH212/$X$10)</f>
        <v>0</v>
      </c>
      <c r="CB212" s="18">
        <f t="shared" si="23"/>
        <v>0</v>
      </c>
      <c r="CC212" s="18">
        <f>IF($X212="","",AJ212/$X$10)</f>
        <v>0</v>
      </c>
      <c r="CD212" s="18">
        <f>IF($X212="","",AK212/$X$10)</f>
        <v>0</v>
      </c>
      <c r="CE212" s="18">
        <f>IF($X212="","",AL212/$X$10)</f>
        <v>0</v>
      </c>
      <c r="CF212" s="18">
        <f>IF($X212="","",AM212/$X$10)</f>
        <v>0</v>
      </c>
      <c r="CG212" s="18">
        <f>IF($X212="","",AN212/$X$10)</f>
        <v>0</v>
      </c>
      <c r="CH212" s="18">
        <f>IF($X212="","",AO212/$X$10)</f>
        <v>0</v>
      </c>
      <c r="CI212" s="18">
        <f>IF($X212="","",AP212/$X$10)</f>
        <v>0</v>
      </c>
      <c r="CJ212" s="18">
        <f>IF($X212="","",AQ212/$X$10)</f>
        <v>0</v>
      </c>
      <c r="CK212" s="18">
        <f>IF($X212="","",AR212/$X$10)</f>
        <v>0</v>
      </c>
      <c r="CL212" s="18">
        <f>IF($X212="","",AS212/$X$10)</f>
        <v>0</v>
      </c>
      <c r="CM212" s="18">
        <f>IF($X212="","",AT212/$X$10)</f>
        <v>0</v>
      </c>
      <c r="CN212" s="18">
        <f>IF($X212="","",AU212/$X$10)</f>
        <v>0</v>
      </c>
      <c r="CO212" s="18">
        <f>IF($X212="","",AV212/$X$10)</f>
        <v>0</v>
      </c>
      <c r="CP212" s="18">
        <f>IF($X212="","",AW212/$X$10)</f>
        <v>0</v>
      </c>
      <c r="CQ212" s="18">
        <f>IF($X212="","",AX212/$X$10)</f>
        <v>0</v>
      </c>
      <c r="CR212" s="18">
        <f>IF($X212="","",AY212/$X$10)</f>
        <v>0</v>
      </c>
      <c r="CS212" s="18">
        <f>IF($X212="","",AZ212/$X$10)</f>
        <v>0</v>
      </c>
      <c r="CT212" s="18">
        <f>IF($X212="","",BA212/$X$10)</f>
        <v>0</v>
      </c>
      <c r="CU212" s="18">
        <f>IF($X212="","",BB212/$X$10)</f>
        <v>0</v>
      </c>
      <c r="CV212" s="18">
        <f>IF($X212="","",BC212/$X$10)</f>
        <v>0</v>
      </c>
      <c r="CW212" s="18">
        <f>IF($X212="","",BD212/$X$10)</f>
        <v>0</v>
      </c>
      <c r="CX212" s="18">
        <f>IF($X212="","",BE212/$X$10)</f>
        <v>0</v>
      </c>
      <c r="CY212" s="18">
        <f>IF($X212="","",BF212/$X$10)</f>
        <v>0</v>
      </c>
      <c r="CZ212" s="18">
        <f>IF($X212="","",BG212/$X$10)</f>
        <v>0</v>
      </c>
      <c r="DA212" s="18">
        <f>IF($X212="","",BH212/$X$10)</f>
        <v>0</v>
      </c>
      <c r="DB212" s="18">
        <f>IF($X212="","",BI212/$X$10)</f>
        <v>0</v>
      </c>
      <c r="DC212" s="18">
        <f>IF($X212="","",BJ212/$X$10)</f>
        <v>0</v>
      </c>
      <c r="DD212" s="18">
        <f>IF($X212="","",BK212/$X$10)</f>
        <v>0</v>
      </c>
      <c r="DE212" s="18">
        <f>IF($X212="","",BL212/$X$10)</f>
        <v>0</v>
      </c>
      <c r="DF212" s="18">
        <f>IF($X212="","",BM212/$X$10)</f>
        <v>0</v>
      </c>
      <c r="DG212" s="18">
        <f t="shared" si="24"/>
        <v>0</v>
      </c>
      <c r="DH212" s="18">
        <f>IF($X212="","",BO212/$X$10)</f>
        <v>0</v>
      </c>
      <c r="DI212" s="18">
        <f>IF($X212="","",BP212/$X$10)</f>
        <v>0</v>
      </c>
      <c r="DJ212" s="18">
        <f>IF($X212="","",BQ212/$X$10)</f>
        <v>0</v>
      </c>
      <c r="DK212" s="18">
        <f>IF($X212="","",BR212/$X$10)</f>
        <v>0</v>
      </c>
      <c r="DL212" s="18">
        <f>IF($X212="","",BS212/$X$10)</f>
        <v>0</v>
      </c>
      <c r="DM212" s="18">
        <f>IF($X212="","",BT212/$X$10)</f>
        <v>0</v>
      </c>
      <c r="DN212" s="18">
        <f t="shared" si="20"/>
        <v>0</v>
      </c>
      <c r="DO212" s="16">
        <f>IF($X212="","",SUM(Tabla152[[#This Row],[PODRIDO]],Tabla152[[#This Row],[HONGO]],Tabla152[[#This Row],[PICADO DE AVE CON PUDRICIÓN]],Tabla152[[#This Row],[FUMAGINA]])/$X$10)</f>
        <v>0</v>
      </c>
      <c r="DP212" s="16">
        <f>IF($X212="","",SUM(Tabla152[[#This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12" s="16">
        <f>IF($X212="","",SUM(Tabla152[[#This Row],[BLANDO]:[COLAPSADO]])/$X$10)</f>
        <v>0</v>
      </c>
      <c r="DR212" s="16">
        <f>IF($X212="","",SUM(Tabla152[[#This Row],[DESHIDRATADO LEVE]:[DESHIDRATADO INMADURO]])/$X$10)</f>
        <v>0</v>
      </c>
      <c r="DS212" s="18">
        <f t="shared" si="21"/>
        <v>0</v>
      </c>
      <c r="DT212" s="16">
        <f>IF($X212="","",SUM(Tabla152[[#This Row],[PRESENCIA DE LARVA]],Tabla152[[#This Row],[CHANCHITO BLANCO]])/$X$10)</f>
        <v>0</v>
      </c>
      <c r="DU212" s="18">
        <f>IF($X212="","",SUM(Tabla152[[#This Row],[ROJO GRADO 2 A MÁS]],Tabla152[[#This Row],[IMMADURO VERDE]],Tabla152[[#This Row],[DESORDEN POR MADURACIÓN]],Tabla152[[#This Row],[ARO PEDICELAR VERDE EXTREMO]])/$X$10)</f>
        <v>0</v>
      </c>
      <c r="DV212" s="16">
        <f>IF($X212="","",SUM(Tabla152[[#This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12" s="16">
        <f t="shared" si="22"/>
        <v>0</v>
      </c>
      <c r="DX212" s="16">
        <f>IF($X212="","",AJ212/$X$10)</f>
        <v>0</v>
      </c>
      <c r="DY212" s="16">
        <f>IF($X212="","",SUM(Tabla152[[#This Row],[PRESENCIA DE COROLA]],Tabla152[[#This Row],[PRESENCIA DE RESTO FLORAL VERDE]],Tabla152[[#This Row],[PRESENCIA DE PEDÚNCULO]])/$X$10)</f>
        <v>0</v>
      </c>
      <c r="DZ212" s="16">
        <f>IF($X212="","",SUM(Tabla152[[#This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13" spans="1:130" x14ac:dyDescent="0.3">
      <c r="A213" s="9">
        <f>IF(W213="","",IF(ROW()=10,1,IF(W213=W212,A212,MAX($A$9:A212)+1)))</f>
        <v>67</v>
      </c>
      <c r="B213" s="9">
        <f>WEEKNUM(Tabla152[[#This Row],[FECHA DE COSECHA]],21)</f>
        <v>36</v>
      </c>
      <c r="C213" s="9"/>
      <c r="D213" s="17">
        <v>46268</v>
      </c>
      <c r="E213" s="17">
        <v>46268</v>
      </c>
      <c r="F213" s="9">
        <v>1</v>
      </c>
      <c r="G213" s="9" t="s">
        <v>77</v>
      </c>
      <c r="H213" s="9" t="s">
        <v>144</v>
      </c>
      <c r="I213" s="9" t="s">
        <v>134</v>
      </c>
      <c r="J213" s="9" t="s">
        <v>78</v>
      </c>
      <c r="K213" s="9" t="s">
        <v>153</v>
      </c>
      <c r="L213" s="9" t="s">
        <v>131</v>
      </c>
      <c r="M213" s="9" t="s">
        <v>239</v>
      </c>
      <c r="N213" s="9" t="s">
        <v>151</v>
      </c>
      <c r="O213" s="9" t="s">
        <v>244</v>
      </c>
      <c r="P213" s="9" t="s">
        <v>152</v>
      </c>
      <c r="Q213" s="9"/>
      <c r="R213" s="9">
        <v>8</v>
      </c>
      <c r="S213" s="9">
        <v>78114711</v>
      </c>
      <c r="T213" t="s">
        <v>233</v>
      </c>
      <c r="U213" s="9" t="s">
        <v>147</v>
      </c>
      <c r="V213" s="9"/>
      <c r="W213" s="19" t="s">
        <v>212</v>
      </c>
      <c r="X213" s="9">
        <v>61</v>
      </c>
      <c r="Y213" s="9">
        <v>3</v>
      </c>
      <c r="Z213" s="9">
        <v>15</v>
      </c>
      <c r="AA213" s="9" t="str">
        <f>IF(Tabla152[[#This Row],[NOTA]]=15,"CUMPLE","NO CUMPLE")</f>
        <v>CUMPLE</v>
      </c>
      <c r="AB213" s="9" t="str">
        <f>IF(COUNTIF($A$10:A213,A213)=1,IF(COUNTIFS($A:$A,A213,$AA:$AA,"NO CUMPLE")&gt;0,"NO CUMPLE","CUMPLE"),"")</f>
        <v/>
      </c>
      <c r="AC213" s="9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18"/>
      <c r="BX213" s="18">
        <f>IF($X213="","",AE213/$X$10)</f>
        <v>0</v>
      </c>
      <c r="BY213" s="18">
        <f>IF($X213="","",AF213/$X$10)</f>
        <v>0</v>
      </c>
      <c r="BZ213" s="18">
        <f>IF($X213="","",AG213/$X$10)</f>
        <v>0</v>
      </c>
      <c r="CA213" s="18">
        <f>IF($X213="","",AH213/$X$10)</f>
        <v>0</v>
      </c>
      <c r="CB213" s="18">
        <f t="shared" si="23"/>
        <v>0</v>
      </c>
      <c r="CC213" s="18">
        <f>IF($X213="","",AJ213/$X$10)</f>
        <v>0</v>
      </c>
      <c r="CD213" s="18">
        <f>IF($X213="","",AK213/$X$10)</f>
        <v>0</v>
      </c>
      <c r="CE213" s="18">
        <f>IF($X213="","",AL213/$X$10)</f>
        <v>0</v>
      </c>
      <c r="CF213" s="18">
        <f>IF($X213="","",AM213/$X$10)</f>
        <v>0</v>
      </c>
      <c r="CG213" s="18">
        <f>IF($X213="","",AN213/$X$10)</f>
        <v>0</v>
      </c>
      <c r="CH213" s="18">
        <f>IF($X213="","",AO213/$X$10)</f>
        <v>0</v>
      </c>
      <c r="CI213" s="18">
        <f>IF($X213="","",AP213/$X$10)</f>
        <v>0</v>
      </c>
      <c r="CJ213" s="18">
        <f>IF($X213="","",AQ213/$X$10)</f>
        <v>0</v>
      </c>
      <c r="CK213" s="18">
        <f>IF($X213="","",AR213/$X$10)</f>
        <v>0</v>
      </c>
      <c r="CL213" s="18">
        <f>IF($X213="","",AS213/$X$10)</f>
        <v>0</v>
      </c>
      <c r="CM213" s="18">
        <f>IF($X213="","",AT213/$X$10)</f>
        <v>0</v>
      </c>
      <c r="CN213" s="18">
        <f>IF($X213="","",AU213/$X$10)</f>
        <v>0</v>
      </c>
      <c r="CO213" s="18">
        <f>IF($X213="","",AV213/$X$10)</f>
        <v>0</v>
      </c>
      <c r="CP213" s="18">
        <f>IF($X213="","",AW213/$X$10)</f>
        <v>0</v>
      </c>
      <c r="CQ213" s="18">
        <f>IF($X213="","",AX213/$X$10)</f>
        <v>0</v>
      </c>
      <c r="CR213" s="18">
        <f>IF($X213="","",AY213/$X$10)</f>
        <v>0</v>
      </c>
      <c r="CS213" s="18">
        <f>IF($X213="","",AZ213/$X$10)</f>
        <v>0</v>
      </c>
      <c r="CT213" s="18">
        <f>IF($X213="","",BA213/$X$10)</f>
        <v>0</v>
      </c>
      <c r="CU213" s="18">
        <f>IF($X213="","",BB213/$X$10)</f>
        <v>0</v>
      </c>
      <c r="CV213" s="18">
        <f>IF($X213="","",BC213/$X$10)</f>
        <v>0</v>
      </c>
      <c r="CW213" s="18">
        <f>IF($X213="","",BD213/$X$10)</f>
        <v>0</v>
      </c>
      <c r="CX213" s="18">
        <f>IF($X213="","",BE213/$X$10)</f>
        <v>0</v>
      </c>
      <c r="CY213" s="18">
        <f>IF($X213="","",BF213/$X$10)</f>
        <v>0</v>
      </c>
      <c r="CZ213" s="18">
        <f>IF($X213="","",BG213/$X$10)</f>
        <v>0</v>
      </c>
      <c r="DA213" s="18">
        <f>IF($X213="","",BH213/$X$10)</f>
        <v>0</v>
      </c>
      <c r="DB213" s="18">
        <f>IF($X213="","",BI213/$X$10)</f>
        <v>0</v>
      </c>
      <c r="DC213" s="18">
        <f>IF($X213="","",BJ213/$X$10)</f>
        <v>0</v>
      </c>
      <c r="DD213" s="18">
        <f>IF($X213="","",BK213/$X$10)</f>
        <v>0</v>
      </c>
      <c r="DE213" s="18">
        <f>IF($X213="","",BL213/$X$10)</f>
        <v>0</v>
      </c>
      <c r="DF213" s="18">
        <f>IF($X213="","",BM213/$X$10)</f>
        <v>0</v>
      </c>
      <c r="DG213" s="18">
        <f t="shared" si="24"/>
        <v>0</v>
      </c>
      <c r="DH213" s="18">
        <f>IF($X213="","",BO213/$X$10)</f>
        <v>0</v>
      </c>
      <c r="DI213" s="18">
        <f>IF($X213="","",BP213/$X$10)</f>
        <v>0</v>
      </c>
      <c r="DJ213" s="18">
        <f>IF($X213="","",BQ213/$X$10)</f>
        <v>0</v>
      </c>
      <c r="DK213" s="18">
        <f>IF($X213="","",BR213/$X$10)</f>
        <v>0</v>
      </c>
      <c r="DL213" s="18">
        <f>IF($X213="","",BS213/$X$10)</f>
        <v>0</v>
      </c>
      <c r="DM213" s="18">
        <f>IF($X213="","",BT213/$X$10)</f>
        <v>0</v>
      </c>
      <c r="DN213" s="18">
        <f t="shared" si="20"/>
        <v>0</v>
      </c>
      <c r="DO213" s="16">
        <f>IF($X213="","",SUM(Tabla152[[#This Row],[PODRIDO]],Tabla152[[#This Row],[HONGO]],Tabla152[[#This Row],[PICADO DE AVE CON PUDRICIÓN]],Tabla152[[#This Row],[FUMAGINA]])/$X$10)</f>
        <v>0</v>
      </c>
      <c r="DP213" s="16">
        <f>IF($X213="","",SUM(Tabla152[[#This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13" s="16">
        <f>IF($X213="","",SUM(Tabla152[[#This Row],[BLANDO]:[COLAPSADO]])/$X$10)</f>
        <v>0</v>
      </c>
      <c r="DR213" s="16">
        <f>IF($X213="","",SUM(Tabla152[[#This Row],[DESHIDRATADO LEVE]:[DESHIDRATADO INMADURO]])/$X$10)</f>
        <v>0</v>
      </c>
      <c r="DS213" s="18">
        <f t="shared" si="21"/>
        <v>0</v>
      </c>
      <c r="DT213" s="16">
        <f>IF($X213="","",SUM(Tabla152[[#This Row],[PRESENCIA DE LARVA]],Tabla152[[#This Row],[CHANCHITO BLANCO]])/$X$10)</f>
        <v>0</v>
      </c>
      <c r="DU213" s="18">
        <f>IF($X213="","",SUM(Tabla152[[#This Row],[ROJO GRADO 2 A MÁS]],Tabla152[[#This Row],[IMMADURO VERDE]],Tabla152[[#This Row],[DESORDEN POR MADURACIÓN]],Tabla152[[#This Row],[ARO PEDICELAR VERDE EXTREMO]])/$X$10)</f>
        <v>0</v>
      </c>
      <c r="DV213" s="16">
        <f>IF($X213="","",SUM(Tabla152[[#This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13" s="16">
        <f t="shared" si="22"/>
        <v>0</v>
      </c>
      <c r="DX213" s="16">
        <f>IF($X213="","",AJ213/$X$10)</f>
        <v>0</v>
      </c>
      <c r="DY213" s="16">
        <f>IF($X213="","",SUM(Tabla152[[#This Row],[PRESENCIA DE COROLA]],Tabla152[[#This Row],[PRESENCIA DE RESTO FLORAL VERDE]],Tabla152[[#This Row],[PRESENCIA DE PEDÚNCULO]])/$X$10)</f>
        <v>0</v>
      </c>
      <c r="DZ213" s="16">
        <f>IF($X213="","",SUM(Tabla152[[#This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14" spans="1:130" x14ac:dyDescent="0.3">
      <c r="A214" s="9">
        <f>IF(W214="","",IF(ROW()=10,1,IF(W214=W213,A213,MAX($A$9:A213)+1)))</f>
        <v>68</v>
      </c>
      <c r="B214" s="9">
        <f>WEEKNUM(Tabla152[[#This Row],[FECHA DE COSECHA]],21)</f>
        <v>36</v>
      </c>
      <c r="C214" s="9"/>
      <c r="D214" s="17">
        <v>46268</v>
      </c>
      <c r="E214" s="17">
        <v>46268</v>
      </c>
      <c r="F214" s="9">
        <v>1</v>
      </c>
      <c r="G214" s="9" t="s">
        <v>77</v>
      </c>
      <c r="H214" s="9" t="s">
        <v>144</v>
      </c>
      <c r="I214" s="9" t="s">
        <v>134</v>
      </c>
      <c r="J214" s="9" t="s">
        <v>78</v>
      </c>
      <c r="K214" s="9" t="s">
        <v>153</v>
      </c>
      <c r="L214" s="9" t="s">
        <v>131</v>
      </c>
      <c r="M214" s="9" t="s">
        <v>239</v>
      </c>
      <c r="N214" s="9" t="s">
        <v>151</v>
      </c>
      <c r="O214" s="9" t="s">
        <v>244</v>
      </c>
      <c r="P214" s="9" t="s">
        <v>152</v>
      </c>
      <c r="Q214" s="9"/>
      <c r="R214" s="9">
        <v>8</v>
      </c>
      <c r="S214" s="9">
        <v>78114711</v>
      </c>
      <c r="T214" t="s">
        <v>233</v>
      </c>
      <c r="U214" s="9" t="s">
        <v>147</v>
      </c>
      <c r="V214" s="9"/>
      <c r="W214" s="19" t="s">
        <v>213</v>
      </c>
      <c r="X214" s="9">
        <v>61</v>
      </c>
      <c r="Y214" s="9">
        <v>1</v>
      </c>
      <c r="Z214" s="9">
        <v>15</v>
      </c>
      <c r="AA214" s="9" t="str">
        <f>IF(Tabla152[[#This Row],[NOTA]]=15,"CUMPLE","NO CUMPLE")</f>
        <v>CUMPLE</v>
      </c>
      <c r="AB214" s="9" t="str">
        <f>IF(COUNTIF($A$10:A214,A214)=1,IF(COUNTIFS($A:$A,A214,$AA:$AA,"NO CUMPLE")&gt;0,"NO CUMPLE","CUMPLE"),"")</f>
        <v>NO CUMPLE</v>
      </c>
      <c r="AC214" s="9" t="s">
        <v>140</v>
      </c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18"/>
      <c r="BX214" s="18">
        <f>IF($X214="","",AE214/$X$10)</f>
        <v>0</v>
      </c>
      <c r="BY214" s="18">
        <f>IF($X214="","",AF214/$X$10)</f>
        <v>0</v>
      </c>
      <c r="BZ214" s="18">
        <f>IF($X214="","",AG214/$X$10)</f>
        <v>0</v>
      </c>
      <c r="CA214" s="18">
        <f>IF($X214="","",AH214/$X$10)</f>
        <v>0</v>
      </c>
      <c r="CB214" s="18">
        <f t="shared" si="23"/>
        <v>0</v>
      </c>
      <c r="CC214" s="18">
        <f>IF($X214="","",AJ214/$X$10)</f>
        <v>0</v>
      </c>
      <c r="CD214" s="18">
        <f>IF($X214="","",AK214/$X$10)</f>
        <v>0</v>
      </c>
      <c r="CE214" s="18">
        <f>IF($X214="","",AL214/$X$10)</f>
        <v>0</v>
      </c>
      <c r="CF214" s="18">
        <f>IF($X214="","",AM214/$X$10)</f>
        <v>0</v>
      </c>
      <c r="CG214" s="18">
        <f>IF($X214="","",AN214/$X$10)</f>
        <v>0</v>
      </c>
      <c r="CH214" s="18">
        <f>IF($X214="","",AO214/$X$10)</f>
        <v>0</v>
      </c>
      <c r="CI214" s="18">
        <f>IF($X214="","",AP214/$X$10)</f>
        <v>0</v>
      </c>
      <c r="CJ214" s="18">
        <f>IF($X214="","",AQ214/$X$10)</f>
        <v>0</v>
      </c>
      <c r="CK214" s="18">
        <f>IF($X214="","",AR214/$X$10)</f>
        <v>0</v>
      </c>
      <c r="CL214" s="18">
        <f>IF($X214="","",AS214/$X$10)</f>
        <v>0</v>
      </c>
      <c r="CM214" s="18">
        <f>IF($X214="","",AT214/$X$10)</f>
        <v>0</v>
      </c>
      <c r="CN214" s="18">
        <f>IF($X214="","",AU214/$X$10)</f>
        <v>0</v>
      </c>
      <c r="CO214" s="18">
        <f>IF($X214="","",AV214/$X$10)</f>
        <v>0</v>
      </c>
      <c r="CP214" s="18">
        <f>IF($X214="","",AW214/$X$10)</f>
        <v>0</v>
      </c>
      <c r="CQ214" s="18">
        <f>IF($X214="","",AX214/$X$10)</f>
        <v>0</v>
      </c>
      <c r="CR214" s="18">
        <f>IF($X214="","",AY214/$X$10)</f>
        <v>0</v>
      </c>
      <c r="CS214" s="18">
        <f>IF($X214="","",AZ214/$X$10)</f>
        <v>0</v>
      </c>
      <c r="CT214" s="18">
        <f>IF($X214="","",BA214/$X$10)</f>
        <v>0</v>
      </c>
      <c r="CU214" s="18">
        <f>IF($X214="","",BB214/$X$10)</f>
        <v>0</v>
      </c>
      <c r="CV214" s="18">
        <f>IF($X214="","",BC214/$X$10)</f>
        <v>0</v>
      </c>
      <c r="CW214" s="18">
        <f>IF($X214="","",BD214/$X$10)</f>
        <v>0</v>
      </c>
      <c r="CX214" s="18">
        <f>IF($X214="","",BE214/$X$10)</f>
        <v>0</v>
      </c>
      <c r="CY214" s="18">
        <f>IF($X214="","",BF214/$X$10)</f>
        <v>0</v>
      </c>
      <c r="CZ214" s="18">
        <f>IF($X214="","",BG214/$X$10)</f>
        <v>0</v>
      </c>
      <c r="DA214" s="18">
        <f>IF($X214="","",BH214/$X$10)</f>
        <v>0</v>
      </c>
      <c r="DB214" s="18">
        <f>IF($X214="","",BI214/$X$10)</f>
        <v>0</v>
      </c>
      <c r="DC214" s="18">
        <f>IF($X214="","",BJ214/$X$10)</f>
        <v>0</v>
      </c>
      <c r="DD214" s="18">
        <f>IF($X214="","",BK214/$X$10)</f>
        <v>0</v>
      </c>
      <c r="DE214" s="18">
        <f>IF($X214="","",BL214/$X$10)</f>
        <v>0</v>
      </c>
      <c r="DF214" s="18">
        <f>IF($X214="","",BM214/$X$10)</f>
        <v>0</v>
      </c>
      <c r="DG214" s="18">
        <f t="shared" si="24"/>
        <v>0</v>
      </c>
      <c r="DH214" s="18">
        <f>IF($X214="","",BO214/$X$10)</f>
        <v>0</v>
      </c>
      <c r="DI214" s="18">
        <f>IF($X214="","",BP214/$X$10)</f>
        <v>0</v>
      </c>
      <c r="DJ214" s="18">
        <f>IF($X214="","",BQ214/$X$10)</f>
        <v>0</v>
      </c>
      <c r="DK214" s="18">
        <f>IF($X214="","",BR214/$X$10)</f>
        <v>0</v>
      </c>
      <c r="DL214" s="18">
        <f>IF($X214="","",BS214/$X$10)</f>
        <v>0</v>
      </c>
      <c r="DM214" s="18">
        <f>IF($X214="","",BT214/$X$10)</f>
        <v>0</v>
      </c>
      <c r="DN214" s="18">
        <f t="shared" si="20"/>
        <v>0</v>
      </c>
      <c r="DO214" s="16">
        <f>IF($X214="","",SUM(Tabla152[[#This Row],[PODRIDO]],Tabla152[[#This Row],[HONGO]],Tabla152[[#This Row],[PICADO DE AVE CON PUDRICIÓN]],Tabla152[[#This Row],[FUMAGINA]])/$X$10)</f>
        <v>0</v>
      </c>
      <c r="DP214" s="16">
        <f>IF($X214="","",SUM(Tabla152[[#This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14" s="16">
        <f>IF($X214="","",SUM(Tabla152[[#This Row],[BLANDO]:[COLAPSADO]])/$X$10)</f>
        <v>0</v>
      </c>
      <c r="DR214" s="16">
        <f>IF($X214="","",SUM(Tabla152[[#This Row],[DESHIDRATADO LEVE]:[DESHIDRATADO INMADURO]])/$X$10)</f>
        <v>0</v>
      </c>
      <c r="DS214" s="18">
        <f t="shared" si="21"/>
        <v>0</v>
      </c>
      <c r="DT214" s="16">
        <f>IF($X214="","",SUM(Tabla152[[#This Row],[PRESENCIA DE LARVA]],Tabla152[[#This Row],[CHANCHITO BLANCO]])/$X$10)</f>
        <v>0</v>
      </c>
      <c r="DU214" s="18">
        <f>IF($X214="","",SUM(Tabla152[[#This Row],[ROJO GRADO 2 A MÁS]],Tabla152[[#This Row],[IMMADURO VERDE]],Tabla152[[#This Row],[DESORDEN POR MADURACIÓN]],Tabla152[[#This Row],[ARO PEDICELAR VERDE EXTREMO]])/$X$10)</f>
        <v>0</v>
      </c>
      <c r="DV214" s="16">
        <f>IF($X214="","",SUM(Tabla152[[#This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14" s="16">
        <f t="shared" si="22"/>
        <v>0</v>
      </c>
      <c r="DX214" s="16">
        <f>IF($X214="","",AJ214/$X$10)</f>
        <v>0</v>
      </c>
      <c r="DY214" s="16">
        <f>IF($X214="","",SUM(Tabla152[[#This Row],[PRESENCIA DE COROLA]],Tabla152[[#This Row],[PRESENCIA DE RESTO FLORAL VERDE]],Tabla152[[#This Row],[PRESENCIA DE PEDÚNCULO]])/$X$10)</f>
        <v>0</v>
      </c>
      <c r="DZ214" s="16">
        <f>IF($X214="","",SUM(Tabla152[[#This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15" spans="1:130" x14ac:dyDescent="0.3">
      <c r="A215" s="9">
        <f>IF(W215="","",IF(ROW()=10,1,IF(W215=W214,A214,MAX($A$9:A214)+1)))</f>
        <v>68</v>
      </c>
      <c r="B215" s="9">
        <f>WEEKNUM(Tabla152[[#This Row],[FECHA DE COSECHA]],21)</f>
        <v>36</v>
      </c>
      <c r="C215" s="9"/>
      <c r="D215" s="17">
        <v>46268</v>
      </c>
      <c r="E215" s="17">
        <v>46268</v>
      </c>
      <c r="F215" s="9">
        <v>1</v>
      </c>
      <c r="G215" s="9" t="s">
        <v>77</v>
      </c>
      <c r="H215" s="9" t="s">
        <v>144</v>
      </c>
      <c r="I215" s="9" t="s">
        <v>134</v>
      </c>
      <c r="J215" s="9" t="s">
        <v>78</v>
      </c>
      <c r="K215" s="9" t="s">
        <v>153</v>
      </c>
      <c r="L215" s="9" t="s">
        <v>131</v>
      </c>
      <c r="M215" s="9" t="s">
        <v>239</v>
      </c>
      <c r="N215" s="9" t="s">
        <v>151</v>
      </c>
      <c r="O215" s="9" t="s">
        <v>244</v>
      </c>
      <c r="P215" s="9" t="s">
        <v>152</v>
      </c>
      <c r="Q215" s="9"/>
      <c r="R215" s="9">
        <v>8</v>
      </c>
      <c r="S215" s="9">
        <v>78114711</v>
      </c>
      <c r="T215" t="s">
        <v>233</v>
      </c>
      <c r="U215" s="9" t="s">
        <v>147</v>
      </c>
      <c r="V215" s="9"/>
      <c r="W215" s="19" t="s">
        <v>213</v>
      </c>
      <c r="X215" s="9">
        <v>61</v>
      </c>
      <c r="Y215" s="9">
        <v>2</v>
      </c>
      <c r="Z215" s="9">
        <v>15</v>
      </c>
      <c r="AA215" s="9" t="str">
        <f>IF(Tabla152[[#This Row],[NOTA]]=15,"CUMPLE","NO CUMPLE")</f>
        <v>CUMPLE</v>
      </c>
      <c r="AB215" s="9" t="str">
        <f>IF(COUNTIF($A$10:A215,A215)=1,IF(COUNTIFS($A:$A,A215,$AA:$AA,"NO CUMPLE")&gt;0,"NO CUMPLE","CUMPLE"),"")</f>
        <v/>
      </c>
      <c r="AC215" s="9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18"/>
      <c r="BX215" s="18">
        <f>IF($X215="","",AE215/$X$10)</f>
        <v>0</v>
      </c>
      <c r="BY215" s="18">
        <f>IF($X215="","",AF215/$X$10)</f>
        <v>0</v>
      </c>
      <c r="BZ215" s="18">
        <f>IF($X215="","",AG215/$X$10)</f>
        <v>0</v>
      </c>
      <c r="CA215" s="18">
        <f>IF($X215="","",AH215/$X$10)</f>
        <v>0</v>
      </c>
      <c r="CB215" s="18">
        <f t="shared" si="23"/>
        <v>0</v>
      </c>
      <c r="CC215" s="18">
        <f>IF($X215="","",AJ215/$X$10)</f>
        <v>0</v>
      </c>
      <c r="CD215" s="18">
        <f>IF($X215="","",AK215/$X$10)</f>
        <v>0</v>
      </c>
      <c r="CE215" s="18">
        <f>IF($X215="","",AL215/$X$10)</f>
        <v>0</v>
      </c>
      <c r="CF215" s="18">
        <f>IF($X215="","",AM215/$X$10)</f>
        <v>0</v>
      </c>
      <c r="CG215" s="18">
        <f>IF($X215="","",AN215/$X$10)</f>
        <v>0</v>
      </c>
      <c r="CH215" s="18">
        <f>IF($X215="","",AO215/$X$10)</f>
        <v>0</v>
      </c>
      <c r="CI215" s="18">
        <f>IF($X215="","",AP215/$X$10)</f>
        <v>0</v>
      </c>
      <c r="CJ215" s="18">
        <f>IF($X215="","",AQ215/$X$10)</f>
        <v>0</v>
      </c>
      <c r="CK215" s="18">
        <f>IF($X215="","",AR215/$X$10)</f>
        <v>0</v>
      </c>
      <c r="CL215" s="18">
        <f>IF($X215="","",AS215/$X$10)</f>
        <v>0</v>
      </c>
      <c r="CM215" s="18">
        <f>IF($X215="","",AT215/$X$10)</f>
        <v>0</v>
      </c>
      <c r="CN215" s="18">
        <f>IF($X215="","",AU215/$X$10)</f>
        <v>0</v>
      </c>
      <c r="CO215" s="18">
        <f>IF($X215="","",AV215/$X$10)</f>
        <v>0</v>
      </c>
      <c r="CP215" s="18">
        <f>IF($X215="","",AW215/$X$10)</f>
        <v>0</v>
      </c>
      <c r="CQ215" s="18">
        <f>IF($X215="","",AX215/$X$10)</f>
        <v>0</v>
      </c>
      <c r="CR215" s="18">
        <f>IF($X215="","",AY215/$X$10)</f>
        <v>0</v>
      </c>
      <c r="CS215" s="18">
        <f>IF($X215="","",AZ215/$X$10)</f>
        <v>0</v>
      </c>
      <c r="CT215" s="18">
        <f>IF($X215="","",BA215/$X$10)</f>
        <v>0</v>
      </c>
      <c r="CU215" s="18">
        <f>IF($X215="","",BB215/$X$10)</f>
        <v>0</v>
      </c>
      <c r="CV215" s="18">
        <f>IF($X215="","",BC215/$X$10)</f>
        <v>0</v>
      </c>
      <c r="CW215" s="18">
        <f>IF($X215="","",BD215/$X$10)</f>
        <v>0</v>
      </c>
      <c r="CX215" s="18">
        <f>IF($X215="","",BE215/$X$10)</f>
        <v>0</v>
      </c>
      <c r="CY215" s="18">
        <f>IF($X215="","",BF215/$X$10)</f>
        <v>0</v>
      </c>
      <c r="CZ215" s="18">
        <f>IF($X215="","",BG215/$X$10)</f>
        <v>0</v>
      </c>
      <c r="DA215" s="18">
        <f>IF($X215="","",BH215/$X$10)</f>
        <v>0</v>
      </c>
      <c r="DB215" s="18">
        <f>IF($X215="","",BI215/$X$10)</f>
        <v>0</v>
      </c>
      <c r="DC215" s="18">
        <f>IF($X215="","",BJ215/$X$10)</f>
        <v>0</v>
      </c>
      <c r="DD215" s="18">
        <f>IF($X215="","",BK215/$X$10)</f>
        <v>0</v>
      </c>
      <c r="DE215" s="18">
        <f>IF($X215="","",BL215/$X$10)</f>
        <v>0</v>
      </c>
      <c r="DF215" s="18">
        <f>IF($X215="","",BM215/$X$10)</f>
        <v>0</v>
      </c>
      <c r="DG215" s="18">
        <f t="shared" si="24"/>
        <v>0</v>
      </c>
      <c r="DH215" s="18">
        <f>IF($X215="","",BO215/$X$10)</f>
        <v>0</v>
      </c>
      <c r="DI215" s="18">
        <f>IF($X215="","",BP215/$X$10)</f>
        <v>0</v>
      </c>
      <c r="DJ215" s="18">
        <f>IF($X215="","",BQ215/$X$10)</f>
        <v>0</v>
      </c>
      <c r="DK215" s="18">
        <f>IF($X215="","",BR215/$X$10)</f>
        <v>0</v>
      </c>
      <c r="DL215" s="18">
        <f>IF($X215="","",BS215/$X$10)</f>
        <v>0</v>
      </c>
      <c r="DM215" s="18">
        <f>IF($X215="","",BT215/$X$10)</f>
        <v>0</v>
      </c>
      <c r="DN215" s="18">
        <f t="shared" si="20"/>
        <v>0</v>
      </c>
      <c r="DO215" s="16">
        <f>IF($X215="","",SUM(Tabla152[[#This Row],[PODRIDO]],Tabla152[[#This Row],[HONGO]],Tabla152[[#This Row],[PICADO DE AVE CON PUDRICIÓN]],Tabla152[[#This Row],[FUMAGINA]])/$X$10)</f>
        <v>0</v>
      </c>
      <c r="DP215" s="16">
        <f>IF($X215="","",SUM(Tabla152[[#This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15" s="16">
        <f>IF($X215="","",SUM(Tabla152[[#This Row],[BLANDO]:[COLAPSADO]])/$X$10)</f>
        <v>0</v>
      </c>
      <c r="DR215" s="16">
        <f>IF($X215="","",SUM(Tabla152[[#This Row],[DESHIDRATADO LEVE]:[DESHIDRATADO INMADURO]])/$X$10)</f>
        <v>0</v>
      </c>
      <c r="DS215" s="18">
        <f t="shared" si="21"/>
        <v>0</v>
      </c>
      <c r="DT215" s="16">
        <f>IF($X215="","",SUM(Tabla152[[#This Row],[PRESENCIA DE LARVA]],Tabla152[[#This Row],[CHANCHITO BLANCO]])/$X$10)</f>
        <v>0</v>
      </c>
      <c r="DU215" s="18">
        <f>IF($X215="","",SUM(Tabla152[[#This Row],[ROJO GRADO 2 A MÁS]],Tabla152[[#This Row],[IMMADURO VERDE]],Tabla152[[#This Row],[DESORDEN POR MADURACIÓN]],Tabla152[[#This Row],[ARO PEDICELAR VERDE EXTREMO]])/$X$10)</f>
        <v>0</v>
      </c>
      <c r="DV215" s="16">
        <f>IF($X215="","",SUM(Tabla152[[#This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15" s="16">
        <f t="shared" si="22"/>
        <v>0</v>
      </c>
      <c r="DX215" s="16">
        <f>IF($X215="","",AJ215/$X$10)</f>
        <v>0</v>
      </c>
      <c r="DY215" s="16">
        <f>IF($X215="","",SUM(Tabla152[[#This Row],[PRESENCIA DE COROLA]],Tabla152[[#This Row],[PRESENCIA DE RESTO FLORAL VERDE]],Tabla152[[#This Row],[PRESENCIA DE PEDÚNCULO]])/$X$10)</f>
        <v>0</v>
      </c>
      <c r="DZ215" s="16">
        <f>IF($X215="","",SUM(Tabla152[[#This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16" spans="1:130" x14ac:dyDescent="0.3">
      <c r="A216" s="9">
        <f>IF(W216="","",IF(ROW()=10,1,IF(W216=W215,A215,MAX($A$9:A215)+1)))</f>
        <v>68</v>
      </c>
      <c r="B216" s="9">
        <f>WEEKNUM(Tabla152[[#This Row],[FECHA DE COSECHA]],21)</f>
        <v>36</v>
      </c>
      <c r="C216" s="9"/>
      <c r="D216" s="17">
        <v>46268</v>
      </c>
      <c r="E216" s="17">
        <v>46268</v>
      </c>
      <c r="F216" s="9">
        <v>1</v>
      </c>
      <c r="G216" s="9" t="s">
        <v>77</v>
      </c>
      <c r="H216" s="9" t="s">
        <v>144</v>
      </c>
      <c r="I216" s="9" t="s">
        <v>134</v>
      </c>
      <c r="J216" s="9" t="s">
        <v>78</v>
      </c>
      <c r="K216" s="9" t="s">
        <v>153</v>
      </c>
      <c r="L216" s="9" t="s">
        <v>131</v>
      </c>
      <c r="M216" s="9" t="s">
        <v>239</v>
      </c>
      <c r="N216" s="9" t="s">
        <v>151</v>
      </c>
      <c r="O216" s="9" t="s">
        <v>244</v>
      </c>
      <c r="P216" s="9" t="s">
        <v>152</v>
      </c>
      <c r="Q216" s="9"/>
      <c r="R216" s="9">
        <v>8</v>
      </c>
      <c r="S216" s="9">
        <v>78114711</v>
      </c>
      <c r="T216" t="s">
        <v>233</v>
      </c>
      <c r="U216" s="9" t="s">
        <v>147</v>
      </c>
      <c r="V216" s="9"/>
      <c r="W216" s="19" t="s">
        <v>213</v>
      </c>
      <c r="X216" s="9">
        <v>61</v>
      </c>
      <c r="Y216" s="9">
        <v>3</v>
      </c>
      <c r="Z216" s="9">
        <v>5</v>
      </c>
      <c r="AA216" s="9" t="str">
        <f>IF(Tabla152[[#This Row],[NOTA]]=15,"CUMPLE","NO CUMPLE")</f>
        <v>NO CUMPLE</v>
      </c>
      <c r="AB216" s="9" t="str">
        <f>IF(COUNTIF($A$10:A216,A216)=1,IF(COUNTIFS($A:$A,A216,$AA:$AA,"NO CUMPLE")&gt;0,"NO CUMPLE","CUMPLE"),"")</f>
        <v/>
      </c>
      <c r="AC216" s="9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18"/>
      <c r="BX216" s="18">
        <f>IF($X216="","",AE216/$X$10)</f>
        <v>0</v>
      </c>
      <c r="BY216" s="18">
        <f>IF($X216="","",AF216/$X$10)</f>
        <v>0</v>
      </c>
      <c r="BZ216" s="18">
        <f>IF($X216="","",AG216/$X$10)</f>
        <v>0</v>
      </c>
      <c r="CA216" s="18">
        <f>IF($X216="","",AH216/$X$10)</f>
        <v>0</v>
      </c>
      <c r="CB216" s="18">
        <f t="shared" si="23"/>
        <v>0</v>
      </c>
      <c r="CC216" s="18">
        <f>IF($X216="","",AJ216/$X$10)</f>
        <v>0</v>
      </c>
      <c r="CD216" s="18">
        <f>IF($X216="","",AK216/$X$10)</f>
        <v>0</v>
      </c>
      <c r="CE216" s="18">
        <f>IF($X216="","",AL216/$X$10)</f>
        <v>0</v>
      </c>
      <c r="CF216" s="18">
        <f>IF($X216="","",AM216/$X$10)</f>
        <v>0</v>
      </c>
      <c r="CG216" s="18">
        <f>IF($X216="","",AN216/$X$10)</f>
        <v>0</v>
      </c>
      <c r="CH216" s="18">
        <f>IF($X216="","",AO216/$X$10)</f>
        <v>0</v>
      </c>
      <c r="CI216" s="18">
        <f>IF($X216="","",AP216/$X$10)</f>
        <v>0</v>
      </c>
      <c r="CJ216" s="18">
        <f>IF($X216="","",AQ216/$X$10)</f>
        <v>0</v>
      </c>
      <c r="CK216" s="18">
        <f>IF($X216="","",AR216/$X$10)</f>
        <v>0</v>
      </c>
      <c r="CL216" s="18">
        <f>IF($X216="","",AS216/$X$10)</f>
        <v>0</v>
      </c>
      <c r="CM216" s="18">
        <f>IF($X216="","",AT216/$X$10)</f>
        <v>0</v>
      </c>
      <c r="CN216" s="18">
        <f>IF($X216="","",AU216/$X$10)</f>
        <v>0</v>
      </c>
      <c r="CO216" s="18">
        <f>IF($X216="","",AV216/$X$10)</f>
        <v>0</v>
      </c>
      <c r="CP216" s="18">
        <f>IF($X216="","",AW216/$X$10)</f>
        <v>0</v>
      </c>
      <c r="CQ216" s="18">
        <f>IF($X216="","",AX216/$X$10)</f>
        <v>0</v>
      </c>
      <c r="CR216" s="18">
        <f>IF($X216="","",AY216/$X$10)</f>
        <v>0</v>
      </c>
      <c r="CS216" s="18">
        <f>IF($X216="","",AZ216/$X$10)</f>
        <v>0</v>
      </c>
      <c r="CT216" s="18">
        <f>IF($X216="","",BA216/$X$10)</f>
        <v>0</v>
      </c>
      <c r="CU216" s="18">
        <f>IF($X216="","",BB216/$X$10)</f>
        <v>0</v>
      </c>
      <c r="CV216" s="18">
        <f>IF($X216="","",BC216/$X$10)</f>
        <v>0</v>
      </c>
      <c r="CW216" s="18">
        <f>IF($X216="","",BD216/$X$10)</f>
        <v>0</v>
      </c>
      <c r="CX216" s="18">
        <f>IF($X216="","",BE216/$X$10)</f>
        <v>0</v>
      </c>
      <c r="CY216" s="18">
        <f>IF($X216="","",BF216/$X$10)</f>
        <v>0</v>
      </c>
      <c r="CZ216" s="18">
        <f>IF($X216="","",BG216/$X$10)</f>
        <v>0</v>
      </c>
      <c r="DA216" s="18">
        <f>IF($X216="","",BH216/$X$10)</f>
        <v>0</v>
      </c>
      <c r="DB216" s="18">
        <f>IF($X216="","",BI216/$X$10)</f>
        <v>0</v>
      </c>
      <c r="DC216" s="18">
        <f>IF($X216="","",BJ216/$X$10)</f>
        <v>0</v>
      </c>
      <c r="DD216" s="18">
        <f>IF($X216="","",BK216/$X$10)</f>
        <v>0</v>
      </c>
      <c r="DE216" s="18">
        <f>IF($X216="","",BL216/$X$10)</f>
        <v>0</v>
      </c>
      <c r="DF216" s="18">
        <f>IF($X216="","",BM216/$X$10)</f>
        <v>0</v>
      </c>
      <c r="DG216" s="18">
        <f t="shared" si="24"/>
        <v>0</v>
      </c>
      <c r="DH216" s="18">
        <f>IF($X216="","",BO216/$X$10)</f>
        <v>0</v>
      </c>
      <c r="DI216" s="18">
        <f>IF($X216="","",BP216/$X$10)</f>
        <v>0</v>
      </c>
      <c r="DJ216" s="18">
        <f>IF($X216="","",BQ216/$X$10)</f>
        <v>0</v>
      </c>
      <c r="DK216" s="18">
        <f>IF($X216="","",BR216/$X$10)</f>
        <v>0</v>
      </c>
      <c r="DL216" s="18">
        <f>IF($X216="","",BS216/$X$10)</f>
        <v>0</v>
      </c>
      <c r="DM216" s="18">
        <f>IF($X216="","",BT216/$X$10)</f>
        <v>0</v>
      </c>
      <c r="DN216" s="18">
        <f t="shared" si="20"/>
        <v>0</v>
      </c>
      <c r="DO216" s="16">
        <f>IF($X216="","",SUM(Tabla152[[#This Row],[PODRIDO]],Tabla152[[#This Row],[HONGO]],Tabla152[[#This Row],[PICADO DE AVE CON PUDRICIÓN]],Tabla152[[#This Row],[FUMAGINA]])/$X$10)</f>
        <v>0</v>
      </c>
      <c r="DP216" s="16">
        <f>IF($X216="","",SUM(Tabla152[[#This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16" s="16">
        <f>IF($X216="","",SUM(Tabla152[[#This Row],[BLANDO]:[COLAPSADO]])/$X$10)</f>
        <v>0</v>
      </c>
      <c r="DR216" s="16">
        <f>IF($X216="","",SUM(Tabla152[[#This Row],[DESHIDRATADO LEVE]:[DESHIDRATADO INMADURO]])/$X$10)</f>
        <v>0</v>
      </c>
      <c r="DS216" s="18">
        <f t="shared" si="21"/>
        <v>0</v>
      </c>
      <c r="DT216" s="16">
        <f>IF($X216="","",SUM(Tabla152[[#This Row],[PRESENCIA DE LARVA]],Tabla152[[#This Row],[CHANCHITO BLANCO]])/$X$10)</f>
        <v>0</v>
      </c>
      <c r="DU216" s="18">
        <f>IF($X216="","",SUM(Tabla152[[#This Row],[ROJO GRADO 2 A MÁS]],Tabla152[[#This Row],[IMMADURO VERDE]],Tabla152[[#This Row],[DESORDEN POR MADURACIÓN]],Tabla152[[#This Row],[ARO PEDICELAR VERDE EXTREMO]])/$X$10)</f>
        <v>0</v>
      </c>
      <c r="DV216" s="16">
        <f>IF($X216="","",SUM(Tabla152[[#This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16" s="16">
        <f t="shared" si="22"/>
        <v>0</v>
      </c>
      <c r="DX216" s="16">
        <f>IF($X216="","",AJ216/$X$10)</f>
        <v>0</v>
      </c>
      <c r="DY216" s="16">
        <f>IF($X216="","",SUM(Tabla152[[#This Row],[PRESENCIA DE COROLA]],Tabla152[[#This Row],[PRESENCIA DE RESTO FLORAL VERDE]],Tabla152[[#This Row],[PRESENCIA DE PEDÚNCULO]])/$X$10)</f>
        <v>0</v>
      </c>
      <c r="DZ216" s="16">
        <f>IF($X216="","",SUM(Tabla152[[#This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17" spans="1:130" x14ac:dyDescent="0.3">
      <c r="A217" s="9">
        <f>IF(W217="","",IF(ROW()=10,1,IF(W217=W216,A216,MAX($A$9:A216)+1)))</f>
        <v>69</v>
      </c>
      <c r="B217" s="9">
        <f>WEEKNUM(Tabla152[[#This Row],[FECHA DE COSECHA]],21)</f>
        <v>36</v>
      </c>
      <c r="C217" s="9"/>
      <c r="D217" s="17">
        <v>46268</v>
      </c>
      <c r="E217" s="17">
        <v>46268</v>
      </c>
      <c r="F217" s="9">
        <v>1</v>
      </c>
      <c r="G217" s="9" t="s">
        <v>77</v>
      </c>
      <c r="H217" s="9" t="s">
        <v>144</v>
      </c>
      <c r="I217" s="9" t="s">
        <v>134</v>
      </c>
      <c r="J217" s="9" t="s">
        <v>78</v>
      </c>
      <c r="K217" s="9" t="s">
        <v>153</v>
      </c>
      <c r="L217" s="9" t="s">
        <v>131</v>
      </c>
      <c r="M217" s="9" t="s">
        <v>239</v>
      </c>
      <c r="N217" s="9" t="s">
        <v>151</v>
      </c>
      <c r="O217" s="9" t="s">
        <v>244</v>
      </c>
      <c r="P217" s="9" t="s">
        <v>152</v>
      </c>
      <c r="Q217" s="9"/>
      <c r="R217" s="9">
        <v>8</v>
      </c>
      <c r="S217" s="9">
        <v>78114711</v>
      </c>
      <c r="T217" t="s">
        <v>233</v>
      </c>
      <c r="U217" s="9" t="s">
        <v>147</v>
      </c>
      <c r="V217" s="9"/>
      <c r="W217" s="19" t="s">
        <v>214</v>
      </c>
      <c r="X217" s="9">
        <v>61</v>
      </c>
      <c r="Y217" s="9">
        <v>1</v>
      </c>
      <c r="Z217" s="9">
        <v>15</v>
      </c>
      <c r="AA217" s="9" t="str">
        <f>IF(Tabla152[[#This Row],[NOTA]]=15,"CUMPLE","NO CUMPLE")</f>
        <v>CUMPLE</v>
      </c>
      <c r="AB217" s="9" t="str">
        <f>IF(COUNTIF($A$10:A217,A217)=1,IF(COUNTIFS($A:$A,A217,$AA:$AA,"NO CUMPLE")&gt;0,"NO CUMPLE","CUMPLE"),"")</f>
        <v>CUMPLE</v>
      </c>
      <c r="AC217" s="9" t="s">
        <v>140</v>
      </c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18"/>
      <c r="BX217" s="18">
        <f>IF($X217="","",AE217/$X$10)</f>
        <v>0</v>
      </c>
      <c r="BY217" s="18">
        <f>IF($X217="","",AF217/$X$10)</f>
        <v>0</v>
      </c>
      <c r="BZ217" s="18">
        <f>IF($X217="","",AG217/$X$10)</f>
        <v>0</v>
      </c>
      <c r="CA217" s="18">
        <f>IF($X217="","",AH217/$X$10)</f>
        <v>0</v>
      </c>
      <c r="CB217" s="18">
        <f t="shared" si="23"/>
        <v>0</v>
      </c>
      <c r="CC217" s="18">
        <f>IF($X217="","",AJ217/$X$10)</f>
        <v>0</v>
      </c>
      <c r="CD217" s="18">
        <f>IF($X217="","",AK217/$X$10)</f>
        <v>0</v>
      </c>
      <c r="CE217" s="18">
        <f>IF($X217="","",AL217/$X$10)</f>
        <v>0</v>
      </c>
      <c r="CF217" s="18">
        <f>IF($X217="","",AM217/$X$10)</f>
        <v>0</v>
      </c>
      <c r="CG217" s="18">
        <f>IF($X217="","",AN217/$X$10)</f>
        <v>0</v>
      </c>
      <c r="CH217" s="18">
        <f>IF($X217="","",AO217/$X$10)</f>
        <v>0</v>
      </c>
      <c r="CI217" s="18">
        <f>IF($X217="","",AP217/$X$10)</f>
        <v>0</v>
      </c>
      <c r="CJ217" s="18">
        <f>IF($X217="","",AQ217/$X$10)</f>
        <v>0</v>
      </c>
      <c r="CK217" s="18">
        <f>IF($X217="","",AR217/$X$10)</f>
        <v>0</v>
      </c>
      <c r="CL217" s="18">
        <f>IF($X217="","",AS217/$X$10)</f>
        <v>0</v>
      </c>
      <c r="CM217" s="18">
        <f>IF($X217="","",AT217/$X$10)</f>
        <v>0</v>
      </c>
      <c r="CN217" s="18">
        <f>IF($X217="","",AU217/$X$10)</f>
        <v>0</v>
      </c>
      <c r="CO217" s="18">
        <f>IF($X217="","",AV217/$X$10)</f>
        <v>0</v>
      </c>
      <c r="CP217" s="18">
        <f>IF($X217="","",AW217/$X$10)</f>
        <v>0</v>
      </c>
      <c r="CQ217" s="18">
        <f>IF($X217="","",AX217/$X$10)</f>
        <v>0</v>
      </c>
      <c r="CR217" s="18">
        <f>IF($X217="","",AY217/$X$10)</f>
        <v>0</v>
      </c>
      <c r="CS217" s="18">
        <f>IF($X217="","",AZ217/$X$10)</f>
        <v>0</v>
      </c>
      <c r="CT217" s="18">
        <f>IF($X217="","",BA217/$X$10)</f>
        <v>0</v>
      </c>
      <c r="CU217" s="18">
        <f>IF($X217="","",BB217/$X$10)</f>
        <v>0</v>
      </c>
      <c r="CV217" s="18">
        <f>IF($X217="","",BC217/$X$10)</f>
        <v>0</v>
      </c>
      <c r="CW217" s="18">
        <f>IF($X217="","",BD217/$X$10)</f>
        <v>0</v>
      </c>
      <c r="CX217" s="18">
        <f>IF($X217="","",BE217/$X$10)</f>
        <v>0</v>
      </c>
      <c r="CY217" s="18">
        <f>IF($X217="","",BF217/$X$10)</f>
        <v>0</v>
      </c>
      <c r="CZ217" s="18">
        <f>IF($X217="","",BG217/$X$10)</f>
        <v>0</v>
      </c>
      <c r="DA217" s="18">
        <f>IF($X217="","",BH217/$X$10)</f>
        <v>0</v>
      </c>
      <c r="DB217" s="18">
        <f>IF($X217="","",BI217/$X$10)</f>
        <v>0</v>
      </c>
      <c r="DC217" s="18">
        <f>IF($X217="","",BJ217/$X$10)</f>
        <v>0</v>
      </c>
      <c r="DD217" s="18">
        <f>IF($X217="","",BK217/$X$10)</f>
        <v>0</v>
      </c>
      <c r="DE217" s="18">
        <f>IF($X217="","",BL217/$X$10)</f>
        <v>0</v>
      </c>
      <c r="DF217" s="18">
        <f>IF($X217="","",BM217/$X$10)</f>
        <v>0</v>
      </c>
      <c r="DG217" s="18">
        <f t="shared" si="24"/>
        <v>0</v>
      </c>
      <c r="DH217" s="18">
        <f>IF($X217="","",BO217/$X$10)</f>
        <v>0</v>
      </c>
      <c r="DI217" s="18">
        <f>IF($X217="","",BP217/$X$10)</f>
        <v>0</v>
      </c>
      <c r="DJ217" s="18">
        <f>IF($X217="","",BQ217/$X$10)</f>
        <v>0</v>
      </c>
      <c r="DK217" s="18">
        <f>IF($X217="","",BR217/$X$10)</f>
        <v>0</v>
      </c>
      <c r="DL217" s="18">
        <f>IF($X217="","",BS217/$X$10)</f>
        <v>0</v>
      </c>
      <c r="DM217" s="18">
        <f>IF($X217="","",BT217/$X$10)</f>
        <v>0</v>
      </c>
      <c r="DN217" s="18">
        <f t="shared" si="20"/>
        <v>0</v>
      </c>
      <c r="DO217" s="16">
        <f>IF($X217="","",SUM(Tabla152[[#This Row],[PODRIDO]],Tabla152[[#This Row],[HONGO]],Tabla152[[#This Row],[PICADO DE AVE CON PUDRICIÓN]],Tabla152[[#This Row],[FUMAGINA]])/$X$10)</f>
        <v>0</v>
      </c>
      <c r="DP217" s="16">
        <f>IF($X217="","",SUM(Tabla152[[#This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17" s="16">
        <f>IF($X217="","",SUM(Tabla152[[#This Row],[BLANDO]:[COLAPSADO]])/$X$10)</f>
        <v>0</v>
      </c>
      <c r="DR217" s="16">
        <f>IF($X217="","",SUM(Tabla152[[#This Row],[DESHIDRATADO LEVE]:[DESHIDRATADO INMADURO]])/$X$10)</f>
        <v>0</v>
      </c>
      <c r="DS217" s="18">
        <f t="shared" si="21"/>
        <v>0</v>
      </c>
      <c r="DT217" s="16">
        <f>IF($X217="","",SUM(Tabla152[[#This Row],[PRESENCIA DE LARVA]],Tabla152[[#This Row],[CHANCHITO BLANCO]])/$X$10)</f>
        <v>0</v>
      </c>
      <c r="DU217" s="18">
        <f>IF($X217="","",SUM(Tabla152[[#This Row],[ROJO GRADO 2 A MÁS]],Tabla152[[#This Row],[IMMADURO VERDE]],Tabla152[[#This Row],[DESORDEN POR MADURACIÓN]],Tabla152[[#This Row],[ARO PEDICELAR VERDE EXTREMO]])/$X$10)</f>
        <v>0</v>
      </c>
      <c r="DV217" s="16">
        <f>IF($X217="","",SUM(Tabla152[[#This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17" s="16">
        <f t="shared" si="22"/>
        <v>0</v>
      </c>
      <c r="DX217" s="16">
        <f>IF($X217="","",AJ217/$X$10)</f>
        <v>0</v>
      </c>
      <c r="DY217" s="16">
        <f>IF($X217="","",SUM(Tabla152[[#This Row],[PRESENCIA DE COROLA]],Tabla152[[#This Row],[PRESENCIA DE RESTO FLORAL VERDE]],Tabla152[[#This Row],[PRESENCIA DE PEDÚNCULO]])/$X$10)</f>
        <v>0</v>
      </c>
      <c r="DZ217" s="16">
        <f>IF($X217="","",SUM(Tabla152[[#This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18" spans="1:130" x14ac:dyDescent="0.3">
      <c r="A218" s="9">
        <f>IF(W218="","",IF(ROW()=10,1,IF(W218=W217,A217,MAX($A$9:A217)+1)))</f>
        <v>69</v>
      </c>
      <c r="B218" s="9">
        <f>WEEKNUM(Tabla152[[#This Row],[FECHA DE COSECHA]],21)</f>
        <v>36</v>
      </c>
      <c r="C218" s="9"/>
      <c r="D218" s="17">
        <v>46268</v>
      </c>
      <c r="E218" s="17">
        <v>46268</v>
      </c>
      <c r="F218" s="9">
        <v>1</v>
      </c>
      <c r="G218" s="9" t="s">
        <v>77</v>
      </c>
      <c r="H218" s="9" t="s">
        <v>144</v>
      </c>
      <c r="I218" s="9" t="s">
        <v>134</v>
      </c>
      <c r="J218" s="9" t="s">
        <v>78</v>
      </c>
      <c r="K218" s="9" t="s">
        <v>153</v>
      </c>
      <c r="L218" s="9" t="s">
        <v>131</v>
      </c>
      <c r="M218" s="9" t="s">
        <v>239</v>
      </c>
      <c r="N218" s="9" t="s">
        <v>151</v>
      </c>
      <c r="O218" s="9" t="s">
        <v>244</v>
      </c>
      <c r="P218" s="9" t="s">
        <v>152</v>
      </c>
      <c r="Q218" s="9"/>
      <c r="R218" s="9">
        <v>8</v>
      </c>
      <c r="S218" s="9">
        <v>78114711</v>
      </c>
      <c r="T218" t="s">
        <v>233</v>
      </c>
      <c r="U218" s="9" t="s">
        <v>147</v>
      </c>
      <c r="V218" s="9"/>
      <c r="W218" s="19" t="s">
        <v>214</v>
      </c>
      <c r="X218" s="9">
        <v>61</v>
      </c>
      <c r="Y218" s="9">
        <v>2</v>
      </c>
      <c r="Z218" s="9">
        <v>15</v>
      </c>
      <c r="AA218" s="9" t="str">
        <f>IF(Tabla152[[#This Row],[NOTA]]=15,"CUMPLE","NO CUMPLE")</f>
        <v>CUMPLE</v>
      </c>
      <c r="AB218" s="9" t="str">
        <f>IF(COUNTIF($A$10:A218,A218)=1,IF(COUNTIFS($A:$A,A218,$AA:$AA,"NO CUMPLE")&gt;0,"NO CUMPLE","CUMPLE"),"")</f>
        <v/>
      </c>
      <c r="AC218" s="9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18"/>
      <c r="BX218" s="18">
        <f>IF($X218="","",AE218/$X$10)</f>
        <v>0</v>
      </c>
      <c r="BY218" s="18">
        <f>IF($X218="","",AF218/$X$10)</f>
        <v>0</v>
      </c>
      <c r="BZ218" s="18">
        <f>IF($X218="","",AG218/$X$10)</f>
        <v>0</v>
      </c>
      <c r="CA218" s="18">
        <f>IF($X218="","",AH218/$X$10)</f>
        <v>0</v>
      </c>
      <c r="CB218" s="18">
        <f t="shared" si="23"/>
        <v>0</v>
      </c>
      <c r="CC218" s="18">
        <f>IF($X218="","",AJ218/$X$10)</f>
        <v>0</v>
      </c>
      <c r="CD218" s="18">
        <f>IF($X218="","",AK218/$X$10)</f>
        <v>0</v>
      </c>
      <c r="CE218" s="18">
        <f>IF($X218="","",AL218/$X$10)</f>
        <v>0</v>
      </c>
      <c r="CF218" s="18">
        <f>IF($X218="","",AM218/$X$10)</f>
        <v>0</v>
      </c>
      <c r="CG218" s="18">
        <f>IF($X218="","",AN218/$X$10)</f>
        <v>0</v>
      </c>
      <c r="CH218" s="18">
        <f>IF($X218="","",AO218/$X$10)</f>
        <v>0</v>
      </c>
      <c r="CI218" s="18">
        <f>IF($X218="","",AP218/$X$10)</f>
        <v>0</v>
      </c>
      <c r="CJ218" s="18">
        <f>IF($X218="","",AQ218/$X$10)</f>
        <v>0</v>
      </c>
      <c r="CK218" s="18">
        <f>IF($X218="","",AR218/$X$10)</f>
        <v>0</v>
      </c>
      <c r="CL218" s="18">
        <f>IF($X218="","",AS218/$X$10)</f>
        <v>0</v>
      </c>
      <c r="CM218" s="18">
        <f>IF($X218="","",AT218/$X$10)</f>
        <v>0</v>
      </c>
      <c r="CN218" s="18">
        <f>IF($X218="","",AU218/$X$10)</f>
        <v>0</v>
      </c>
      <c r="CO218" s="18">
        <f>IF($X218="","",AV218/$X$10)</f>
        <v>0</v>
      </c>
      <c r="CP218" s="18">
        <f>IF($X218="","",AW218/$X$10)</f>
        <v>0</v>
      </c>
      <c r="CQ218" s="18">
        <f>IF($X218="","",AX218/$X$10)</f>
        <v>0</v>
      </c>
      <c r="CR218" s="18">
        <f>IF($X218="","",AY218/$X$10)</f>
        <v>0</v>
      </c>
      <c r="CS218" s="18">
        <f>IF($X218="","",AZ218/$X$10)</f>
        <v>0</v>
      </c>
      <c r="CT218" s="18">
        <f>IF($X218="","",BA218/$X$10)</f>
        <v>0</v>
      </c>
      <c r="CU218" s="18">
        <f>IF($X218="","",BB218/$X$10)</f>
        <v>0</v>
      </c>
      <c r="CV218" s="18">
        <f>IF($X218="","",BC218/$X$10)</f>
        <v>0</v>
      </c>
      <c r="CW218" s="18">
        <f>IF($X218="","",BD218/$X$10)</f>
        <v>0</v>
      </c>
      <c r="CX218" s="18">
        <f>IF($X218="","",BE218/$X$10)</f>
        <v>0</v>
      </c>
      <c r="CY218" s="18">
        <f>IF($X218="","",BF218/$X$10)</f>
        <v>0</v>
      </c>
      <c r="CZ218" s="18">
        <f>IF($X218="","",BG218/$X$10)</f>
        <v>0</v>
      </c>
      <c r="DA218" s="18">
        <f>IF($X218="","",BH218/$X$10)</f>
        <v>0</v>
      </c>
      <c r="DB218" s="18">
        <f>IF($X218="","",BI218/$X$10)</f>
        <v>0</v>
      </c>
      <c r="DC218" s="18">
        <f>IF($X218="","",BJ218/$X$10)</f>
        <v>0</v>
      </c>
      <c r="DD218" s="18">
        <f>IF($X218="","",BK218/$X$10)</f>
        <v>0</v>
      </c>
      <c r="DE218" s="18">
        <f>IF($X218="","",BL218/$X$10)</f>
        <v>0</v>
      </c>
      <c r="DF218" s="18">
        <f>IF($X218="","",BM218/$X$10)</f>
        <v>0</v>
      </c>
      <c r="DG218" s="18">
        <f t="shared" si="24"/>
        <v>0</v>
      </c>
      <c r="DH218" s="18">
        <f>IF($X218="","",BO218/$X$10)</f>
        <v>0</v>
      </c>
      <c r="DI218" s="18">
        <f>IF($X218="","",BP218/$X$10)</f>
        <v>0</v>
      </c>
      <c r="DJ218" s="18">
        <f>IF($X218="","",BQ218/$X$10)</f>
        <v>0</v>
      </c>
      <c r="DK218" s="18">
        <f>IF($X218="","",BR218/$X$10)</f>
        <v>0</v>
      </c>
      <c r="DL218" s="18">
        <f>IF($X218="","",BS218/$X$10)</f>
        <v>0</v>
      </c>
      <c r="DM218" s="18">
        <f>IF($X218="","",BT218/$X$10)</f>
        <v>0</v>
      </c>
      <c r="DN218" s="18">
        <f t="shared" si="20"/>
        <v>0</v>
      </c>
      <c r="DO218" s="16">
        <f>IF($X218="","",SUM(Tabla152[[#This Row],[PODRIDO]],Tabla152[[#This Row],[HONGO]],Tabla152[[#This Row],[PICADO DE AVE CON PUDRICIÓN]],Tabla152[[#This Row],[FUMAGINA]])/$X$10)</f>
        <v>0</v>
      </c>
      <c r="DP218" s="16">
        <f>IF($X218="","",SUM(Tabla152[[#This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18" s="16">
        <f>IF($X218="","",SUM(Tabla152[[#This Row],[BLANDO]:[COLAPSADO]])/$X$10)</f>
        <v>0</v>
      </c>
      <c r="DR218" s="16">
        <f>IF($X218="","",SUM(Tabla152[[#This Row],[DESHIDRATADO LEVE]:[DESHIDRATADO INMADURO]])/$X$10)</f>
        <v>0</v>
      </c>
      <c r="DS218" s="18">
        <f t="shared" si="21"/>
        <v>0</v>
      </c>
      <c r="DT218" s="16">
        <f>IF($X218="","",SUM(Tabla152[[#This Row],[PRESENCIA DE LARVA]],Tabla152[[#This Row],[CHANCHITO BLANCO]])/$X$10)</f>
        <v>0</v>
      </c>
      <c r="DU218" s="18">
        <f>IF($X218="","",SUM(Tabla152[[#This Row],[ROJO GRADO 2 A MÁS]],Tabla152[[#This Row],[IMMADURO VERDE]],Tabla152[[#This Row],[DESORDEN POR MADURACIÓN]],Tabla152[[#This Row],[ARO PEDICELAR VERDE EXTREMO]])/$X$10)</f>
        <v>0</v>
      </c>
      <c r="DV218" s="16">
        <f>IF($X218="","",SUM(Tabla152[[#This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18" s="16">
        <f t="shared" si="22"/>
        <v>0</v>
      </c>
      <c r="DX218" s="16">
        <f>IF($X218="","",AJ218/$X$10)</f>
        <v>0</v>
      </c>
      <c r="DY218" s="16">
        <f>IF($X218="","",SUM(Tabla152[[#This Row],[PRESENCIA DE COROLA]],Tabla152[[#This Row],[PRESENCIA DE RESTO FLORAL VERDE]],Tabla152[[#This Row],[PRESENCIA DE PEDÚNCULO]])/$X$10)</f>
        <v>0</v>
      </c>
      <c r="DZ218" s="16">
        <f>IF($X218="","",SUM(Tabla152[[#This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19" spans="1:130" x14ac:dyDescent="0.3">
      <c r="A219" s="9">
        <f>IF(W219="","",IF(ROW()=10,1,IF(W219=W218,A218,MAX($A$9:A218)+1)))</f>
        <v>69</v>
      </c>
      <c r="B219" s="9">
        <f>WEEKNUM(Tabla152[[#This Row],[FECHA DE COSECHA]],21)</f>
        <v>36</v>
      </c>
      <c r="C219" s="9"/>
      <c r="D219" s="17">
        <v>46268</v>
      </c>
      <c r="E219" s="17">
        <v>46268</v>
      </c>
      <c r="F219" s="9">
        <v>1</v>
      </c>
      <c r="G219" s="9" t="s">
        <v>77</v>
      </c>
      <c r="H219" s="9" t="s">
        <v>144</v>
      </c>
      <c r="I219" s="9" t="s">
        <v>134</v>
      </c>
      <c r="J219" s="9" t="s">
        <v>78</v>
      </c>
      <c r="K219" s="9" t="s">
        <v>153</v>
      </c>
      <c r="L219" s="9" t="s">
        <v>131</v>
      </c>
      <c r="M219" s="9" t="s">
        <v>239</v>
      </c>
      <c r="N219" s="9" t="s">
        <v>151</v>
      </c>
      <c r="O219" s="9" t="s">
        <v>244</v>
      </c>
      <c r="P219" s="9" t="s">
        <v>152</v>
      </c>
      <c r="Q219" s="9"/>
      <c r="R219" s="9">
        <v>8</v>
      </c>
      <c r="S219" s="9">
        <v>78114711</v>
      </c>
      <c r="T219" t="s">
        <v>233</v>
      </c>
      <c r="U219" s="9" t="s">
        <v>147</v>
      </c>
      <c r="V219" s="9"/>
      <c r="W219" s="19" t="s">
        <v>214</v>
      </c>
      <c r="X219" s="9">
        <v>61</v>
      </c>
      <c r="Y219" s="9">
        <v>3</v>
      </c>
      <c r="Z219" s="9">
        <v>15</v>
      </c>
      <c r="AA219" s="9" t="str">
        <f>IF(Tabla152[[#This Row],[NOTA]]=15,"CUMPLE","NO CUMPLE")</f>
        <v>CUMPLE</v>
      </c>
      <c r="AB219" s="9" t="str">
        <f>IF(COUNTIF($A$10:A219,A219)=1,IF(COUNTIFS($A:$A,A219,$AA:$AA,"NO CUMPLE")&gt;0,"NO CUMPLE","CUMPLE"),"")</f>
        <v/>
      </c>
      <c r="AC219" s="9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18"/>
      <c r="BX219" s="18">
        <f>IF($X219="","",AE219/$X$10)</f>
        <v>0</v>
      </c>
      <c r="BY219" s="18">
        <f>IF($X219="","",AF219/$X$10)</f>
        <v>0</v>
      </c>
      <c r="BZ219" s="18">
        <f>IF($X219="","",AG219/$X$10)</f>
        <v>0</v>
      </c>
      <c r="CA219" s="18">
        <f>IF($X219="","",AH219/$X$10)</f>
        <v>0</v>
      </c>
      <c r="CB219" s="18">
        <f t="shared" si="23"/>
        <v>0</v>
      </c>
      <c r="CC219" s="18">
        <f>IF($X219="","",AJ219/$X$10)</f>
        <v>0</v>
      </c>
      <c r="CD219" s="18">
        <f>IF($X219="","",AK219/$X$10)</f>
        <v>0</v>
      </c>
      <c r="CE219" s="18">
        <f>IF($X219="","",AL219/$X$10)</f>
        <v>0</v>
      </c>
      <c r="CF219" s="18">
        <f>IF($X219="","",AM219/$X$10)</f>
        <v>0</v>
      </c>
      <c r="CG219" s="18">
        <f>IF($X219="","",AN219/$X$10)</f>
        <v>0</v>
      </c>
      <c r="CH219" s="18">
        <f>IF($X219="","",AO219/$X$10)</f>
        <v>0</v>
      </c>
      <c r="CI219" s="18">
        <f>IF($X219="","",AP219/$X$10)</f>
        <v>0</v>
      </c>
      <c r="CJ219" s="18">
        <f>IF($X219="","",AQ219/$X$10)</f>
        <v>0</v>
      </c>
      <c r="CK219" s="18">
        <f>IF($X219="","",AR219/$X$10)</f>
        <v>0</v>
      </c>
      <c r="CL219" s="18">
        <f>IF($X219="","",AS219/$X$10)</f>
        <v>0</v>
      </c>
      <c r="CM219" s="18">
        <f>IF($X219="","",AT219/$X$10)</f>
        <v>0</v>
      </c>
      <c r="CN219" s="18">
        <f>IF($X219="","",AU219/$X$10)</f>
        <v>0</v>
      </c>
      <c r="CO219" s="18">
        <f>IF($X219="","",AV219/$X$10)</f>
        <v>0</v>
      </c>
      <c r="CP219" s="18">
        <f>IF($X219="","",AW219/$X$10)</f>
        <v>0</v>
      </c>
      <c r="CQ219" s="18">
        <f>IF($X219="","",AX219/$X$10)</f>
        <v>0</v>
      </c>
      <c r="CR219" s="18">
        <f>IF($X219="","",AY219/$X$10)</f>
        <v>0</v>
      </c>
      <c r="CS219" s="18">
        <f>IF($X219="","",AZ219/$X$10)</f>
        <v>0</v>
      </c>
      <c r="CT219" s="18">
        <f>IF($X219="","",BA219/$X$10)</f>
        <v>0</v>
      </c>
      <c r="CU219" s="18">
        <f>IF($X219="","",BB219/$X$10)</f>
        <v>0</v>
      </c>
      <c r="CV219" s="18">
        <f>IF($X219="","",BC219/$X$10)</f>
        <v>0</v>
      </c>
      <c r="CW219" s="18">
        <f>IF($X219="","",BD219/$X$10)</f>
        <v>0</v>
      </c>
      <c r="CX219" s="18">
        <f>IF($X219="","",BE219/$X$10)</f>
        <v>0</v>
      </c>
      <c r="CY219" s="18">
        <f>IF($X219="","",BF219/$X$10)</f>
        <v>0</v>
      </c>
      <c r="CZ219" s="18">
        <f>IF($X219="","",BG219/$X$10)</f>
        <v>0</v>
      </c>
      <c r="DA219" s="18">
        <f>IF($X219="","",BH219/$X$10)</f>
        <v>0</v>
      </c>
      <c r="DB219" s="18">
        <f>IF($X219="","",BI219/$X$10)</f>
        <v>0</v>
      </c>
      <c r="DC219" s="18">
        <f>IF($X219="","",BJ219/$X$10)</f>
        <v>0</v>
      </c>
      <c r="DD219" s="18">
        <f>IF($X219="","",BK219/$X$10)</f>
        <v>0</v>
      </c>
      <c r="DE219" s="18">
        <f>IF($X219="","",BL219/$X$10)</f>
        <v>0</v>
      </c>
      <c r="DF219" s="18">
        <f>IF($X219="","",BM219/$X$10)</f>
        <v>0</v>
      </c>
      <c r="DG219" s="18">
        <f t="shared" si="24"/>
        <v>0</v>
      </c>
      <c r="DH219" s="18">
        <f>IF($X219="","",BO219/$X$10)</f>
        <v>0</v>
      </c>
      <c r="DI219" s="18">
        <f>IF($X219="","",BP219/$X$10)</f>
        <v>0</v>
      </c>
      <c r="DJ219" s="18">
        <f>IF($X219="","",BQ219/$X$10)</f>
        <v>0</v>
      </c>
      <c r="DK219" s="18">
        <f>IF($X219="","",BR219/$X$10)</f>
        <v>0</v>
      </c>
      <c r="DL219" s="18">
        <f>IF($X219="","",BS219/$X$10)</f>
        <v>0</v>
      </c>
      <c r="DM219" s="18">
        <f>IF($X219="","",BT219/$X$10)</f>
        <v>0</v>
      </c>
      <c r="DN219" s="18">
        <f t="shared" si="20"/>
        <v>0</v>
      </c>
      <c r="DO219" s="16">
        <f>IF($X219="","",SUM(Tabla152[[#This Row],[PODRIDO]],Tabla152[[#This Row],[HONGO]],Tabla152[[#This Row],[PICADO DE AVE CON PUDRICIÓN]],Tabla152[[#This Row],[FUMAGINA]])/$X$10)</f>
        <v>0</v>
      </c>
      <c r="DP219" s="16">
        <f>IF($X219="","",SUM(Tabla152[[#This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19" s="16">
        <f>IF($X219="","",SUM(Tabla152[[#This Row],[BLANDO]:[COLAPSADO]])/$X$10)</f>
        <v>0</v>
      </c>
      <c r="DR219" s="16">
        <f>IF($X219="","",SUM(Tabla152[[#This Row],[DESHIDRATADO LEVE]:[DESHIDRATADO INMADURO]])/$X$10)</f>
        <v>0</v>
      </c>
      <c r="DS219" s="18">
        <f t="shared" si="21"/>
        <v>0</v>
      </c>
      <c r="DT219" s="16">
        <f>IF($X219="","",SUM(Tabla152[[#This Row],[PRESENCIA DE LARVA]],Tabla152[[#This Row],[CHANCHITO BLANCO]])/$X$10)</f>
        <v>0</v>
      </c>
      <c r="DU219" s="18">
        <f>IF($X219="","",SUM(Tabla152[[#This Row],[ROJO GRADO 2 A MÁS]],Tabla152[[#This Row],[IMMADURO VERDE]],Tabla152[[#This Row],[DESORDEN POR MADURACIÓN]],Tabla152[[#This Row],[ARO PEDICELAR VERDE EXTREMO]])/$X$10)</f>
        <v>0</v>
      </c>
      <c r="DV219" s="16">
        <f>IF($X219="","",SUM(Tabla152[[#This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19" s="16">
        <f t="shared" si="22"/>
        <v>0</v>
      </c>
      <c r="DX219" s="16">
        <f>IF($X219="","",AJ219/$X$10)</f>
        <v>0</v>
      </c>
      <c r="DY219" s="16">
        <f>IF($X219="","",SUM(Tabla152[[#This Row],[PRESENCIA DE COROLA]],Tabla152[[#This Row],[PRESENCIA DE RESTO FLORAL VERDE]],Tabla152[[#This Row],[PRESENCIA DE PEDÚNCULO]])/$X$10)</f>
        <v>0</v>
      </c>
      <c r="DZ219" s="16">
        <f>IF($X219="","",SUM(Tabla152[[#This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20" spans="1:130" x14ac:dyDescent="0.3">
      <c r="A220" s="9">
        <f>IF(W220="","",IF(ROW()=10,1,IF(W220=W219,A219,MAX($A$9:A219)+1)))</f>
        <v>70</v>
      </c>
      <c r="B220" s="9">
        <f>WEEKNUM(Tabla152[[#This Row],[FECHA DE COSECHA]],21)</f>
        <v>36</v>
      </c>
      <c r="C220" s="9"/>
      <c r="D220" s="17">
        <v>46268</v>
      </c>
      <c r="E220" s="17">
        <v>46268</v>
      </c>
      <c r="F220" s="9">
        <v>1</v>
      </c>
      <c r="G220" s="9" t="s">
        <v>77</v>
      </c>
      <c r="H220" s="9" t="s">
        <v>144</v>
      </c>
      <c r="I220" s="9" t="s">
        <v>134</v>
      </c>
      <c r="J220" s="9" t="s">
        <v>78</v>
      </c>
      <c r="K220" s="9" t="s">
        <v>153</v>
      </c>
      <c r="L220" s="9" t="s">
        <v>131</v>
      </c>
      <c r="M220" s="9" t="s">
        <v>239</v>
      </c>
      <c r="N220" s="9" t="s">
        <v>151</v>
      </c>
      <c r="O220" s="9" t="s">
        <v>244</v>
      </c>
      <c r="P220" s="9" t="s">
        <v>152</v>
      </c>
      <c r="Q220" s="9"/>
      <c r="R220" s="9">
        <v>8</v>
      </c>
      <c r="S220" s="9">
        <v>78114711</v>
      </c>
      <c r="T220" t="s">
        <v>233</v>
      </c>
      <c r="U220" s="9" t="s">
        <v>147</v>
      </c>
      <c r="V220" s="9"/>
      <c r="W220" s="19" t="s">
        <v>215</v>
      </c>
      <c r="X220" s="9">
        <v>61</v>
      </c>
      <c r="Y220" s="9">
        <v>1</v>
      </c>
      <c r="Z220" s="9">
        <v>15</v>
      </c>
      <c r="AA220" s="9" t="str">
        <f>IF(Tabla152[[#This Row],[NOTA]]=15,"CUMPLE","NO CUMPLE")</f>
        <v>CUMPLE</v>
      </c>
      <c r="AB220" s="9" t="str">
        <f>IF(COUNTIF($A$10:A220,A220)=1,IF(COUNTIFS($A:$A,A220,$AA:$AA,"NO CUMPLE")&gt;0,"NO CUMPLE","CUMPLE"),"")</f>
        <v>CUMPLE</v>
      </c>
      <c r="AC220" s="9" t="s">
        <v>140</v>
      </c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18"/>
      <c r="BX220" s="18">
        <f>IF($X220="","",AE220/$X$10)</f>
        <v>0</v>
      </c>
      <c r="BY220" s="18">
        <f>IF($X220="","",AF220/$X$10)</f>
        <v>0</v>
      </c>
      <c r="BZ220" s="18">
        <f>IF($X220="","",AG220/$X$10)</f>
        <v>0</v>
      </c>
      <c r="CA220" s="18">
        <f>IF($X220="","",AH220/$X$10)</f>
        <v>0</v>
      </c>
      <c r="CB220" s="18">
        <f t="shared" si="23"/>
        <v>0</v>
      </c>
      <c r="CC220" s="18">
        <f>IF($X220="","",AJ220/$X$10)</f>
        <v>0</v>
      </c>
      <c r="CD220" s="18">
        <f>IF($X220="","",AK220/$X$10)</f>
        <v>0</v>
      </c>
      <c r="CE220" s="18">
        <f>IF($X220="","",AL220/$X$10)</f>
        <v>0</v>
      </c>
      <c r="CF220" s="18">
        <f>IF($X220="","",AM220/$X$10)</f>
        <v>0</v>
      </c>
      <c r="CG220" s="18">
        <f>IF($X220="","",AN220/$X$10)</f>
        <v>0</v>
      </c>
      <c r="CH220" s="18">
        <f>IF($X220="","",AO220/$X$10)</f>
        <v>0</v>
      </c>
      <c r="CI220" s="18">
        <f>IF($X220="","",AP220/$X$10)</f>
        <v>0</v>
      </c>
      <c r="CJ220" s="18">
        <f>IF($X220="","",AQ220/$X$10)</f>
        <v>0</v>
      </c>
      <c r="CK220" s="18">
        <f>IF($X220="","",AR220/$X$10)</f>
        <v>0</v>
      </c>
      <c r="CL220" s="18">
        <f>IF($X220="","",AS220/$X$10)</f>
        <v>0</v>
      </c>
      <c r="CM220" s="18">
        <f>IF($X220="","",AT220/$X$10)</f>
        <v>0</v>
      </c>
      <c r="CN220" s="18">
        <f>IF($X220="","",AU220/$X$10)</f>
        <v>0</v>
      </c>
      <c r="CO220" s="18">
        <f>IF($X220="","",AV220/$X$10)</f>
        <v>0</v>
      </c>
      <c r="CP220" s="18">
        <f>IF($X220="","",AW220/$X$10)</f>
        <v>0</v>
      </c>
      <c r="CQ220" s="18">
        <f>IF($X220="","",AX220/$X$10)</f>
        <v>0</v>
      </c>
      <c r="CR220" s="18">
        <f>IF($X220="","",AY220/$X$10)</f>
        <v>0</v>
      </c>
      <c r="CS220" s="18">
        <f>IF($X220="","",AZ220/$X$10)</f>
        <v>0</v>
      </c>
      <c r="CT220" s="18">
        <f>IF($X220="","",BA220/$X$10)</f>
        <v>0</v>
      </c>
      <c r="CU220" s="18">
        <f>IF($X220="","",BB220/$X$10)</f>
        <v>0</v>
      </c>
      <c r="CV220" s="18">
        <f>IF($X220="","",BC220/$X$10)</f>
        <v>0</v>
      </c>
      <c r="CW220" s="18">
        <f>IF($X220="","",BD220/$X$10)</f>
        <v>0</v>
      </c>
      <c r="CX220" s="18">
        <f>IF($X220="","",BE220/$X$10)</f>
        <v>0</v>
      </c>
      <c r="CY220" s="18">
        <f>IF($X220="","",BF220/$X$10)</f>
        <v>0</v>
      </c>
      <c r="CZ220" s="18">
        <f>IF($X220="","",BG220/$X$10)</f>
        <v>0</v>
      </c>
      <c r="DA220" s="18">
        <f>IF($X220="","",BH220/$X$10)</f>
        <v>0</v>
      </c>
      <c r="DB220" s="18">
        <f>IF($X220="","",BI220/$X$10)</f>
        <v>0</v>
      </c>
      <c r="DC220" s="18">
        <f>IF($X220="","",BJ220/$X$10)</f>
        <v>0</v>
      </c>
      <c r="DD220" s="18">
        <f>IF($X220="","",BK220/$X$10)</f>
        <v>0</v>
      </c>
      <c r="DE220" s="18">
        <f>IF($X220="","",BL220/$X$10)</f>
        <v>0</v>
      </c>
      <c r="DF220" s="18">
        <f>IF($X220="","",BM220/$X$10)</f>
        <v>0</v>
      </c>
      <c r="DG220" s="18">
        <f t="shared" si="24"/>
        <v>0</v>
      </c>
      <c r="DH220" s="18">
        <f>IF($X220="","",BO220/$X$10)</f>
        <v>0</v>
      </c>
      <c r="DI220" s="18">
        <f>IF($X220="","",BP220/$X$10)</f>
        <v>0</v>
      </c>
      <c r="DJ220" s="18">
        <f>IF($X220="","",BQ220/$X$10)</f>
        <v>0</v>
      </c>
      <c r="DK220" s="18">
        <f>IF($X220="","",BR220/$X$10)</f>
        <v>0</v>
      </c>
      <c r="DL220" s="18">
        <f>IF($X220="","",BS220/$X$10)</f>
        <v>0</v>
      </c>
      <c r="DM220" s="18">
        <f>IF($X220="","",BT220/$X$10)</f>
        <v>0</v>
      </c>
      <c r="DN220" s="18">
        <f t="shared" si="20"/>
        <v>0</v>
      </c>
      <c r="DO220" s="16">
        <f>IF($X220="","",SUM(Tabla152[[#This Row],[PODRIDO]],Tabla152[[#This Row],[HONGO]],Tabla152[[#This Row],[PICADO DE AVE CON PUDRICIÓN]],Tabla152[[#This Row],[FUMAGINA]])/$X$10)</f>
        <v>0</v>
      </c>
      <c r="DP220" s="16">
        <f>IF($X220="","",SUM(Tabla152[[#This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20" s="16">
        <f>IF($X220="","",SUM(Tabla152[[#This Row],[BLANDO]:[COLAPSADO]])/$X$10)</f>
        <v>0</v>
      </c>
      <c r="DR220" s="16">
        <f>IF($X220="","",SUM(Tabla152[[#This Row],[DESHIDRATADO LEVE]:[DESHIDRATADO INMADURO]])/$X$10)</f>
        <v>0</v>
      </c>
      <c r="DS220" s="18">
        <f t="shared" si="21"/>
        <v>0</v>
      </c>
      <c r="DT220" s="16">
        <f>IF($X220="","",SUM(Tabla152[[#This Row],[PRESENCIA DE LARVA]],Tabla152[[#This Row],[CHANCHITO BLANCO]])/$X$10)</f>
        <v>0</v>
      </c>
      <c r="DU220" s="18">
        <f>IF($X220="","",SUM(Tabla152[[#This Row],[ROJO GRADO 2 A MÁS]],Tabla152[[#This Row],[IMMADURO VERDE]],Tabla152[[#This Row],[DESORDEN POR MADURACIÓN]],Tabla152[[#This Row],[ARO PEDICELAR VERDE EXTREMO]])/$X$10)</f>
        <v>0</v>
      </c>
      <c r="DV220" s="16">
        <f>IF($X220="","",SUM(Tabla152[[#This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20" s="16">
        <f t="shared" si="22"/>
        <v>0</v>
      </c>
      <c r="DX220" s="16">
        <f>IF($X220="","",AJ220/$X$10)</f>
        <v>0</v>
      </c>
      <c r="DY220" s="16">
        <f>IF($X220="","",SUM(Tabla152[[#This Row],[PRESENCIA DE COROLA]],Tabla152[[#This Row],[PRESENCIA DE RESTO FLORAL VERDE]],Tabla152[[#This Row],[PRESENCIA DE PEDÚNCULO]])/$X$10)</f>
        <v>0</v>
      </c>
      <c r="DZ220" s="16">
        <f>IF($X220="","",SUM(Tabla152[[#This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21" spans="1:130" x14ac:dyDescent="0.3">
      <c r="A221" s="9">
        <f>IF(W221="","",IF(ROW()=10,1,IF(W221=W220,A220,MAX($A$9:A220)+1)))</f>
        <v>70</v>
      </c>
      <c r="B221" s="9">
        <f>WEEKNUM(Tabla152[[#This Row],[FECHA DE COSECHA]],21)</f>
        <v>36</v>
      </c>
      <c r="C221" s="9"/>
      <c r="D221" s="17">
        <v>46268</v>
      </c>
      <c r="E221" s="17">
        <v>46268</v>
      </c>
      <c r="F221" s="9">
        <v>1</v>
      </c>
      <c r="G221" s="9" t="s">
        <v>77</v>
      </c>
      <c r="H221" s="9" t="s">
        <v>144</v>
      </c>
      <c r="I221" s="9" t="s">
        <v>134</v>
      </c>
      <c r="J221" s="9" t="s">
        <v>78</v>
      </c>
      <c r="K221" s="9" t="s">
        <v>153</v>
      </c>
      <c r="L221" s="9" t="s">
        <v>131</v>
      </c>
      <c r="M221" s="9" t="s">
        <v>239</v>
      </c>
      <c r="N221" s="9" t="s">
        <v>151</v>
      </c>
      <c r="O221" s="9" t="s">
        <v>244</v>
      </c>
      <c r="P221" s="9" t="s">
        <v>152</v>
      </c>
      <c r="Q221" s="9"/>
      <c r="R221" s="9">
        <v>8</v>
      </c>
      <c r="S221" s="9">
        <v>78114711</v>
      </c>
      <c r="T221" t="s">
        <v>233</v>
      </c>
      <c r="U221" s="9" t="s">
        <v>147</v>
      </c>
      <c r="V221" s="9"/>
      <c r="W221" s="19" t="s">
        <v>215</v>
      </c>
      <c r="X221" s="9">
        <v>61</v>
      </c>
      <c r="Y221" s="9">
        <v>2</v>
      </c>
      <c r="Z221" s="9">
        <v>15</v>
      </c>
      <c r="AA221" s="9" t="str">
        <f>IF(Tabla152[[#This Row],[NOTA]]=15,"CUMPLE","NO CUMPLE")</f>
        <v>CUMPLE</v>
      </c>
      <c r="AB221" s="9" t="str">
        <f>IF(COUNTIF($A$10:A221,A221)=1,IF(COUNTIFS($A:$A,A221,$AA:$AA,"NO CUMPLE")&gt;0,"NO CUMPLE","CUMPLE"),"")</f>
        <v/>
      </c>
      <c r="AC221" s="9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18"/>
      <c r="BX221" s="18">
        <f>IF($X221="","",AE221/$X$10)</f>
        <v>0</v>
      </c>
      <c r="BY221" s="18">
        <f>IF($X221="","",AF221/$X$10)</f>
        <v>0</v>
      </c>
      <c r="BZ221" s="18">
        <f>IF($X221="","",AG221/$X$10)</f>
        <v>0</v>
      </c>
      <c r="CA221" s="18">
        <f>IF($X221="","",AH221/$X$10)</f>
        <v>0</v>
      </c>
      <c r="CB221" s="18">
        <f t="shared" si="23"/>
        <v>0</v>
      </c>
      <c r="CC221" s="18">
        <f>IF($X221="","",AJ221/$X$10)</f>
        <v>0</v>
      </c>
      <c r="CD221" s="18">
        <f>IF($X221="","",AK221/$X$10)</f>
        <v>0</v>
      </c>
      <c r="CE221" s="18">
        <f>IF($X221="","",AL221/$X$10)</f>
        <v>0</v>
      </c>
      <c r="CF221" s="18">
        <f>IF($X221="","",AM221/$X$10)</f>
        <v>0</v>
      </c>
      <c r="CG221" s="18">
        <f>IF($X221="","",AN221/$X$10)</f>
        <v>0</v>
      </c>
      <c r="CH221" s="18">
        <f>IF($X221="","",AO221/$X$10)</f>
        <v>0</v>
      </c>
      <c r="CI221" s="18">
        <f>IF($X221="","",AP221/$X$10)</f>
        <v>0</v>
      </c>
      <c r="CJ221" s="18">
        <f>IF($X221="","",AQ221/$X$10)</f>
        <v>0</v>
      </c>
      <c r="CK221" s="18">
        <f>IF($X221="","",AR221/$X$10)</f>
        <v>0</v>
      </c>
      <c r="CL221" s="18">
        <f>IF($X221="","",AS221/$X$10)</f>
        <v>0</v>
      </c>
      <c r="CM221" s="18">
        <f>IF($X221="","",AT221/$X$10)</f>
        <v>0</v>
      </c>
      <c r="CN221" s="18">
        <f>IF($X221="","",AU221/$X$10)</f>
        <v>0</v>
      </c>
      <c r="CO221" s="18">
        <f>IF($X221="","",AV221/$X$10)</f>
        <v>0</v>
      </c>
      <c r="CP221" s="18">
        <f>IF($X221="","",AW221/$X$10)</f>
        <v>0</v>
      </c>
      <c r="CQ221" s="18">
        <f>IF($X221="","",AX221/$X$10)</f>
        <v>0</v>
      </c>
      <c r="CR221" s="18">
        <f>IF($X221="","",AY221/$X$10)</f>
        <v>0</v>
      </c>
      <c r="CS221" s="18">
        <f>IF($X221="","",AZ221/$X$10)</f>
        <v>0</v>
      </c>
      <c r="CT221" s="18">
        <f>IF($X221="","",BA221/$X$10)</f>
        <v>0</v>
      </c>
      <c r="CU221" s="18">
        <f>IF($X221="","",BB221/$X$10)</f>
        <v>0</v>
      </c>
      <c r="CV221" s="18">
        <f>IF($X221="","",BC221/$X$10)</f>
        <v>0</v>
      </c>
      <c r="CW221" s="18">
        <f>IF($X221="","",BD221/$X$10)</f>
        <v>0</v>
      </c>
      <c r="CX221" s="18">
        <f>IF($X221="","",BE221/$X$10)</f>
        <v>0</v>
      </c>
      <c r="CY221" s="18">
        <f>IF($X221="","",BF221/$X$10)</f>
        <v>0</v>
      </c>
      <c r="CZ221" s="18">
        <f>IF($X221="","",BG221/$X$10)</f>
        <v>0</v>
      </c>
      <c r="DA221" s="18">
        <f>IF($X221="","",BH221/$X$10)</f>
        <v>0</v>
      </c>
      <c r="DB221" s="18">
        <f>IF($X221="","",BI221/$X$10)</f>
        <v>0</v>
      </c>
      <c r="DC221" s="18">
        <f>IF($X221="","",BJ221/$X$10)</f>
        <v>0</v>
      </c>
      <c r="DD221" s="18">
        <f>IF($X221="","",BK221/$X$10)</f>
        <v>0</v>
      </c>
      <c r="DE221" s="18">
        <f>IF($X221="","",BL221/$X$10)</f>
        <v>0</v>
      </c>
      <c r="DF221" s="18">
        <f>IF($X221="","",BM221/$X$10)</f>
        <v>0</v>
      </c>
      <c r="DG221" s="18">
        <f t="shared" si="24"/>
        <v>0</v>
      </c>
      <c r="DH221" s="18">
        <f>IF($X221="","",BO221/$X$10)</f>
        <v>0</v>
      </c>
      <c r="DI221" s="18">
        <f>IF($X221="","",BP221/$X$10)</f>
        <v>0</v>
      </c>
      <c r="DJ221" s="18">
        <f>IF($X221="","",BQ221/$X$10)</f>
        <v>0</v>
      </c>
      <c r="DK221" s="18">
        <f>IF($X221="","",BR221/$X$10)</f>
        <v>0</v>
      </c>
      <c r="DL221" s="18">
        <f>IF($X221="","",BS221/$X$10)</f>
        <v>0</v>
      </c>
      <c r="DM221" s="18">
        <f>IF($X221="","",BT221/$X$10)</f>
        <v>0</v>
      </c>
      <c r="DN221" s="18">
        <f t="shared" si="20"/>
        <v>0</v>
      </c>
      <c r="DO221" s="16">
        <f>IF($X221="","",SUM(Tabla152[[#This Row],[PODRIDO]],Tabla152[[#This Row],[HONGO]],Tabla152[[#This Row],[PICADO DE AVE CON PUDRICIÓN]],Tabla152[[#This Row],[FUMAGINA]])/$X$10)</f>
        <v>0</v>
      </c>
      <c r="DP221" s="16">
        <f>IF($X221="","",SUM(Tabla152[[#This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21" s="16">
        <f>IF($X221="","",SUM(Tabla152[[#This Row],[BLANDO]:[COLAPSADO]])/$X$10)</f>
        <v>0</v>
      </c>
      <c r="DR221" s="16">
        <f>IF($X221="","",SUM(Tabla152[[#This Row],[DESHIDRATADO LEVE]:[DESHIDRATADO INMADURO]])/$X$10)</f>
        <v>0</v>
      </c>
      <c r="DS221" s="18">
        <f t="shared" si="21"/>
        <v>0</v>
      </c>
      <c r="DT221" s="16">
        <f>IF($X221="","",SUM(Tabla152[[#This Row],[PRESENCIA DE LARVA]],Tabla152[[#This Row],[CHANCHITO BLANCO]])/$X$10)</f>
        <v>0</v>
      </c>
      <c r="DU221" s="18">
        <f>IF($X221="","",SUM(Tabla152[[#This Row],[ROJO GRADO 2 A MÁS]],Tabla152[[#This Row],[IMMADURO VERDE]],Tabla152[[#This Row],[DESORDEN POR MADURACIÓN]],Tabla152[[#This Row],[ARO PEDICELAR VERDE EXTREMO]])/$X$10)</f>
        <v>0</v>
      </c>
      <c r="DV221" s="16">
        <f>IF($X221="","",SUM(Tabla152[[#This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21" s="16">
        <f t="shared" si="22"/>
        <v>0</v>
      </c>
      <c r="DX221" s="16">
        <f>IF($X221="","",AJ221/$X$10)</f>
        <v>0</v>
      </c>
      <c r="DY221" s="16">
        <f>IF($X221="","",SUM(Tabla152[[#This Row],[PRESENCIA DE COROLA]],Tabla152[[#This Row],[PRESENCIA DE RESTO FLORAL VERDE]],Tabla152[[#This Row],[PRESENCIA DE PEDÚNCULO]])/$X$10)</f>
        <v>0</v>
      </c>
      <c r="DZ221" s="16">
        <f>IF($X221="","",SUM(Tabla152[[#This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22" spans="1:130" x14ac:dyDescent="0.3">
      <c r="A222" s="9">
        <f>IF(W222="","",IF(ROW()=10,1,IF(W222=W221,A221,MAX($A$9:A221)+1)))</f>
        <v>70</v>
      </c>
      <c r="B222" s="9">
        <f>WEEKNUM(Tabla152[[#This Row],[FECHA DE COSECHA]],21)</f>
        <v>36</v>
      </c>
      <c r="C222" s="9"/>
      <c r="D222" s="17">
        <v>46268</v>
      </c>
      <c r="E222" s="17">
        <v>46268</v>
      </c>
      <c r="F222" s="9">
        <v>1</v>
      </c>
      <c r="G222" s="9" t="s">
        <v>77</v>
      </c>
      <c r="H222" s="9" t="s">
        <v>144</v>
      </c>
      <c r="I222" s="9" t="s">
        <v>134</v>
      </c>
      <c r="J222" s="9" t="s">
        <v>78</v>
      </c>
      <c r="K222" s="9" t="s">
        <v>153</v>
      </c>
      <c r="L222" s="9" t="s">
        <v>131</v>
      </c>
      <c r="M222" s="9" t="s">
        <v>239</v>
      </c>
      <c r="N222" s="9" t="s">
        <v>151</v>
      </c>
      <c r="O222" s="9" t="s">
        <v>244</v>
      </c>
      <c r="P222" s="9" t="s">
        <v>152</v>
      </c>
      <c r="Q222" s="9"/>
      <c r="R222" s="9">
        <v>8</v>
      </c>
      <c r="S222" s="9">
        <v>78114711</v>
      </c>
      <c r="T222" t="s">
        <v>233</v>
      </c>
      <c r="U222" s="9" t="s">
        <v>147</v>
      </c>
      <c r="V222" s="9"/>
      <c r="W222" s="19" t="s">
        <v>215</v>
      </c>
      <c r="X222" s="9">
        <v>61</v>
      </c>
      <c r="Y222" s="9">
        <v>3</v>
      </c>
      <c r="Z222" s="9">
        <v>15</v>
      </c>
      <c r="AA222" s="9" t="str">
        <f>IF(Tabla152[[#This Row],[NOTA]]=15,"CUMPLE","NO CUMPLE")</f>
        <v>CUMPLE</v>
      </c>
      <c r="AB222" s="9" t="str">
        <f>IF(COUNTIF($A$10:A222,A222)=1,IF(COUNTIFS($A:$A,A222,$AA:$AA,"NO CUMPLE")&gt;0,"NO CUMPLE","CUMPLE"),"")</f>
        <v/>
      </c>
      <c r="AC222" s="9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18"/>
      <c r="BX222" s="18">
        <f>IF($X222="","",AE222/$X$10)</f>
        <v>0</v>
      </c>
      <c r="BY222" s="18">
        <f>IF($X222="","",AF222/$X$10)</f>
        <v>0</v>
      </c>
      <c r="BZ222" s="18">
        <f>IF($X222="","",AG222/$X$10)</f>
        <v>0</v>
      </c>
      <c r="CA222" s="18">
        <f>IF($X222="","",AH222/$X$10)</f>
        <v>0</v>
      </c>
      <c r="CB222" s="18">
        <f t="shared" si="23"/>
        <v>0</v>
      </c>
      <c r="CC222" s="18">
        <f>IF($X222="","",AJ222/$X$10)</f>
        <v>0</v>
      </c>
      <c r="CD222" s="18">
        <f>IF($X222="","",AK222/$X$10)</f>
        <v>0</v>
      </c>
      <c r="CE222" s="18">
        <f>IF($X222="","",AL222/$X$10)</f>
        <v>0</v>
      </c>
      <c r="CF222" s="18">
        <f>IF($X222="","",AM222/$X$10)</f>
        <v>0</v>
      </c>
      <c r="CG222" s="18">
        <f>IF($X222="","",AN222/$X$10)</f>
        <v>0</v>
      </c>
      <c r="CH222" s="18">
        <f>IF($X222="","",AO222/$X$10)</f>
        <v>0</v>
      </c>
      <c r="CI222" s="18">
        <f>IF($X222="","",AP222/$X$10)</f>
        <v>0</v>
      </c>
      <c r="CJ222" s="18">
        <f>IF($X222="","",AQ222/$X$10)</f>
        <v>0</v>
      </c>
      <c r="CK222" s="18">
        <f>IF($X222="","",AR222/$X$10)</f>
        <v>0</v>
      </c>
      <c r="CL222" s="18">
        <f>IF($X222="","",AS222/$X$10)</f>
        <v>0</v>
      </c>
      <c r="CM222" s="18">
        <f>IF($X222="","",AT222/$X$10)</f>
        <v>0</v>
      </c>
      <c r="CN222" s="18">
        <f>IF($X222="","",AU222/$X$10)</f>
        <v>0</v>
      </c>
      <c r="CO222" s="18">
        <f>IF($X222="","",AV222/$X$10)</f>
        <v>0</v>
      </c>
      <c r="CP222" s="18">
        <f>IF($X222="","",AW222/$X$10)</f>
        <v>0</v>
      </c>
      <c r="CQ222" s="18">
        <f>IF($X222="","",AX222/$X$10)</f>
        <v>0</v>
      </c>
      <c r="CR222" s="18">
        <f>IF($X222="","",AY222/$X$10)</f>
        <v>0</v>
      </c>
      <c r="CS222" s="18">
        <f>IF($X222="","",AZ222/$X$10)</f>
        <v>0</v>
      </c>
      <c r="CT222" s="18">
        <f>IF($X222="","",BA222/$X$10)</f>
        <v>0</v>
      </c>
      <c r="CU222" s="18">
        <f>IF($X222="","",BB222/$X$10)</f>
        <v>0</v>
      </c>
      <c r="CV222" s="18">
        <f>IF($X222="","",BC222/$X$10)</f>
        <v>0</v>
      </c>
      <c r="CW222" s="18">
        <f>IF($X222="","",BD222/$X$10)</f>
        <v>0</v>
      </c>
      <c r="CX222" s="18">
        <f>IF($X222="","",BE222/$X$10)</f>
        <v>0</v>
      </c>
      <c r="CY222" s="18">
        <f>IF($X222="","",BF222/$X$10)</f>
        <v>0</v>
      </c>
      <c r="CZ222" s="18">
        <f>IF($X222="","",BG222/$X$10)</f>
        <v>0</v>
      </c>
      <c r="DA222" s="18">
        <f>IF($X222="","",BH222/$X$10)</f>
        <v>0</v>
      </c>
      <c r="DB222" s="18">
        <f>IF($X222="","",BI222/$X$10)</f>
        <v>0</v>
      </c>
      <c r="DC222" s="18">
        <f>IF($X222="","",BJ222/$X$10)</f>
        <v>0</v>
      </c>
      <c r="DD222" s="18">
        <f>IF($X222="","",BK222/$X$10)</f>
        <v>0</v>
      </c>
      <c r="DE222" s="18">
        <f>IF($X222="","",BL222/$X$10)</f>
        <v>0</v>
      </c>
      <c r="DF222" s="18">
        <f>IF($X222="","",BM222/$X$10)</f>
        <v>0</v>
      </c>
      <c r="DG222" s="18">
        <f t="shared" si="24"/>
        <v>0</v>
      </c>
      <c r="DH222" s="18">
        <f>IF($X222="","",BO222/$X$10)</f>
        <v>0</v>
      </c>
      <c r="DI222" s="18">
        <f>IF($X222="","",BP222/$X$10)</f>
        <v>0</v>
      </c>
      <c r="DJ222" s="18">
        <f>IF($X222="","",BQ222/$X$10)</f>
        <v>0</v>
      </c>
      <c r="DK222" s="18">
        <f>IF($X222="","",BR222/$X$10)</f>
        <v>0</v>
      </c>
      <c r="DL222" s="18">
        <f>IF($X222="","",BS222/$X$10)</f>
        <v>0</v>
      </c>
      <c r="DM222" s="18">
        <f>IF($X222="","",BT222/$X$10)</f>
        <v>0</v>
      </c>
      <c r="DN222" s="18">
        <f t="shared" si="20"/>
        <v>0</v>
      </c>
      <c r="DO222" s="16">
        <f>IF($X222="","",SUM(Tabla152[[#This Row],[PODRIDO]],Tabla152[[#This Row],[HONGO]],Tabla152[[#This Row],[PICADO DE AVE CON PUDRICIÓN]],Tabla152[[#This Row],[FUMAGINA]])/$X$10)</f>
        <v>0</v>
      </c>
      <c r="DP222" s="16">
        <f>IF($X222="","",SUM(Tabla152[[#This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22" s="16">
        <f>IF($X222="","",SUM(Tabla152[[#This Row],[BLANDO]:[COLAPSADO]])/$X$10)</f>
        <v>0</v>
      </c>
      <c r="DR222" s="16">
        <f>IF($X222="","",SUM(Tabla152[[#This Row],[DESHIDRATADO LEVE]:[DESHIDRATADO INMADURO]])/$X$10)</f>
        <v>0</v>
      </c>
      <c r="DS222" s="18">
        <f t="shared" si="21"/>
        <v>0</v>
      </c>
      <c r="DT222" s="16">
        <f>IF($X222="","",SUM(Tabla152[[#This Row],[PRESENCIA DE LARVA]],Tabla152[[#This Row],[CHANCHITO BLANCO]])/$X$10)</f>
        <v>0</v>
      </c>
      <c r="DU222" s="18">
        <f>IF($X222="","",SUM(Tabla152[[#This Row],[ROJO GRADO 2 A MÁS]],Tabla152[[#This Row],[IMMADURO VERDE]],Tabla152[[#This Row],[DESORDEN POR MADURACIÓN]],Tabla152[[#This Row],[ARO PEDICELAR VERDE EXTREMO]])/$X$10)</f>
        <v>0</v>
      </c>
      <c r="DV222" s="16">
        <f>IF($X222="","",SUM(Tabla152[[#This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22" s="16">
        <f t="shared" si="22"/>
        <v>0</v>
      </c>
      <c r="DX222" s="16">
        <f>IF($X222="","",AJ222/$X$10)</f>
        <v>0</v>
      </c>
      <c r="DY222" s="16">
        <f>IF($X222="","",SUM(Tabla152[[#This Row],[PRESENCIA DE COROLA]],Tabla152[[#This Row],[PRESENCIA DE RESTO FLORAL VERDE]],Tabla152[[#This Row],[PRESENCIA DE PEDÚNCULO]])/$X$10)</f>
        <v>0</v>
      </c>
      <c r="DZ222" s="16">
        <f>IF($X222="","",SUM(Tabla152[[#This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23" spans="1:130" x14ac:dyDescent="0.3">
      <c r="A223" s="9">
        <f>IF(W223="","",IF(ROW()=10,1,IF(W223=W222,A222,MAX($A$9:A222)+1)))</f>
        <v>71</v>
      </c>
      <c r="B223" s="9">
        <f>WEEKNUM(Tabla152[[#This Row],[FECHA DE COSECHA]],21)</f>
        <v>36</v>
      </c>
      <c r="C223" s="9"/>
      <c r="D223" s="17">
        <v>46268</v>
      </c>
      <c r="E223" s="17">
        <v>46268</v>
      </c>
      <c r="F223" s="9">
        <v>1</v>
      </c>
      <c r="G223" s="9" t="s">
        <v>77</v>
      </c>
      <c r="H223" s="9" t="s">
        <v>144</v>
      </c>
      <c r="I223" s="9" t="s">
        <v>134</v>
      </c>
      <c r="J223" s="9" t="s">
        <v>78</v>
      </c>
      <c r="K223" s="9" t="s">
        <v>153</v>
      </c>
      <c r="L223" s="9" t="s">
        <v>131</v>
      </c>
      <c r="M223" s="9" t="s">
        <v>239</v>
      </c>
      <c r="N223" s="9" t="s">
        <v>136</v>
      </c>
      <c r="O223" s="9" t="s">
        <v>244</v>
      </c>
      <c r="P223" s="9" t="s">
        <v>152</v>
      </c>
      <c r="Q223" s="9"/>
      <c r="R223" s="9">
        <v>8</v>
      </c>
      <c r="S223" s="9">
        <v>78114711</v>
      </c>
      <c r="T223" t="s">
        <v>233</v>
      </c>
      <c r="U223" s="9" t="s">
        <v>147</v>
      </c>
      <c r="V223" s="9"/>
      <c r="W223" s="19" t="s">
        <v>216</v>
      </c>
      <c r="X223" s="9">
        <v>69</v>
      </c>
      <c r="Y223" s="9">
        <v>1</v>
      </c>
      <c r="Z223" s="9">
        <v>15</v>
      </c>
      <c r="AA223" s="9" t="str">
        <f>IF(Tabla152[[#This Row],[NOTA]]=15,"CUMPLE","NO CUMPLE")</f>
        <v>CUMPLE</v>
      </c>
      <c r="AB223" s="9" t="str">
        <f>IF(COUNTIF($A$10:A223,A223)=1,IF(COUNTIFS($A:$A,A223,$AA:$AA,"NO CUMPLE")&gt;0,"NO CUMPLE","CUMPLE"),"")</f>
        <v>CUMPLE</v>
      </c>
      <c r="AC223" s="9" t="s">
        <v>140</v>
      </c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18"/>
      <c r="BX223" s="18">
        <f>IF($X223="","",AE223/$X$10)</f>
        <v>0</v>
      </c>
      <c r="BY223" s="18">
        <f>IF($X223="","",AF223/$X$10)</f>
        <v>0</v>
      </c>
      <c r="BZ223" s="18">
        <f>IF($X223="","",AG223/$X$10)</f>
        <v>0</v>
      </c>
      <c r="CA223" s="18">
        <f>IF($X223="","",AH223/$X$10)</f>
        <v>0</v>
      </c>
      <c r="CB223" s="18">
        <f t="shared" si="23"/>
        <v>0</v>
      </c>
      <c r="CC223" s="18">
        <f>IF($X223="","",AJ223/$X$10)</f>
        <v>0</v>
      </c>
      <c r="CD223" s="18">
        <f>IF($X223="","",AK223/$X$10)</f>
        <v>0</v>
      </c>
      <c r="CE223" s="18">
        <f>IF($X223="","",AL223/$X$10)</f>
        <v>0</v>
      </c>
      <c r="CF223" s="18">
        <f>IF($X223="","",AM223/$X$10)</f>
        <v>0</v>
      </c>
      <c r="CG223" s="18">
        <f>IF($X223="","",AN223/$X$10)</f>
        <v>0</v>
      </c>
      <c r="CH223" s="18">
        <f>IF($X223="","",AO223/$X$10)</f>
        <v>0</v>
      </c>
      <c r="CI223" s="18">
        <f>IF($X223="","",AP223/$X$10)</f>
        <v>0</v>
      </c>
      <c r="CJ223" s="18">
        <f>IF($X223="","",AQ223/$X$10)</f>
        <v>0</v>
      </c>
      <c r="CK223" s="18">
        <f>IF($X223="","",AR223/$X$10)</f>
        <v>0</v>
      </c>
      <c r="CL223" s="18">
        <f>IF($X223="","",AS223/$X$10)</f>
        <v>0</v>
      </c>
      <c r="CM223" s="18">
        <f>IF($X223="","",AT223/$X$10)</f>
        <v>0</v>
      </c>
      <c r="CN223" s="18">
        <f>IF($X223="","",AU223/$X$10)</f>
        <v>0</v>
      </c>
      <c r="CO223" s="18">
        <f>IF($X223="","",AV223/$X$10)</f>
        <v>0</v>
      </c>
      <c r="CP223" s="18">
        <f>IF($X223="","",AW223/$X$10)</f>
        <v>0</v>
      </c>
      <c r="CQ223" s="18">
        <f>IF($X223="","",AX223/$X$10)</f>
        <v>0</v>
      </c>
      <c r="CR223" s="18">
        <f>IF($X223="","",AY223/$X$10)</f>
        <v>0</v>
      </c>
      <c r="CS223" s="18">
        <f>IF($X223="","",AZ223/$X$10)</f>
        <v>0</v>
      </c>
      <c r="CT223" s="18">
        <f>IF($X223="","",BA223/$X$10)</f>
        <v>0</v>
      </c>
      <c r="CU223" s="18">
        <f>IF($X223="","",BB223/$X$10)</f>
        <v>0</v>
      </c>
      <c r="CV223" s="18">
        <f>IF($X223="","",BC223/$X$10)</f>
        <v>0</v>
      </c>
      <c r="CW223" s="18">
        <f>IF($X223="","",BD223/$X$10)</f>
        <v>0</v>
      </c>
      <c r="CX223" s="18">
        <f>IF($X223="","",BE223/$X$10)</f>
        <v>0</v>
      </c>
      <c r="CY223" s="18">
        <f>IF($X223="","",BF223/$X$10)</f>
        <v>0</v>
      </c>
      <c r="CZ223" s="18">
        <f>IF($X223="","",BG223/$X$10)</f>
        <v>0</v>
      </c>
      <c r="DA223" s="18">
        <f>IF($X223="","",BH223/$X$10)</f>
        <v>0</v>
      </c>
      <c r="DB223" s="18">
        <f>IF($X223="","",BI223/$X$10)</f>
        <v>0</v>
      </c>
      <c r="DC223" s="18">
        <f>IF($X223="","",BJ223/$X$10)</f>
        <v>0</v>
      </c>
      <c r="DD223" s="18">
        <f>IF($X223="","",BK223/$X$10)</f>
        <v>0</v>
      </c>
      <c r="DE223" s="18">
        <f>IF($X223="","",BL223/$X$10)</f>
        <v>0</v>
      </c>
      <c r="DF223" s="18">
        <f>IF($X223="","",BM223/$X$10)</f>
        <v>0</v>
      </c>
      <c r="DG223" s="18">
        <f t="shared" si="24"/>
        <v>0</v>
      </c>
      <c r="DH223" s="18">
        <f>IF($X223="","",BO223/$X$10)</f>
        <v>0</v>
      </c>
      <c r="DI223" s="18">
        <f>IF($X223="","",BP223/$X$10)</f>
        <v>0</v>
      </c>
      <c r="DJ223" s="18">
        <f>IF($X223="","",BQ223/$X$10)</f>
        <v>0</v>
      </c>
      <c r="DK223" s="18">
        <f>IF($X223="","",BR223/$X$10)</f>
        <v>0</v>
      </c>
      <c r="DL223" s="18">
        <f>IF($X223="","",BS223/$X$10)</f>
        <v>0</v>
      </c>
      <c r="DM223" s="18">
        <f>IF($X223="","",BT223/$X$10)</f>
        <v>0</v>
      </c>
      <c r="DN223" s="18">
        <f t="shared" si="20"/>
        <v>0</v>
      </c>
      <c r="DO223" s="16">
        <f>IF($X223="","",SUM(Tabla152[[#This Row],[PODRIDO]],Tabla152[[#This Row],[HONGO]],Tabla152[[#This Row],[PICADO DE AVE CON PUDRICIÓN]],Tabla152[[#This Row],[FUMAGINA]])/$X$10)</f>
        <v>0</v>
      </c>
      <c r="DP223" s="16">
        <f>IF($X223="","",SUM(Tabla152[[#This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23" s="16">
        <f>IF($X223="","",SUM(Tabla152[[#This Row],[BLANDO]:[COLAPSADO]])/$X$10)</f>
        <v>0</v>
      </c>
      <c r="DR223" s="16">
        <f>IF($X223="","",SUM(Tabla152[[#This Row],[DESHIDRATADO LEVE]:[DESHIDRATADO INMADURO]])/$X$10)</f>
        <v>0</v>
      </c>
      <c r="DS223" s="18">
        <f t="shared" si="21"/>
        <v>0</v>
      </c>
      <c r="DT223" s="16">
        <f>IF($X223="","",SUM(Tabla152[[#This Row],[PRESENCIA DE LARVA]],Tabla152[[#This Row],[CHANCHITO BLANCO]])/$X$10)</f>
        <v>0</v>
      </c>
      <c r="DU223" s="18">
        <f>IF($X223="","",SUM(Tabla152[[#This Row],[ROJO GRADO 2 A MÁS]],Tabla152[[#This Row],[IMMADURO VERDE]],Tabla152[[#This Row],[DESORDEN POR MADURACIÓN]],Tabla152[[#This Row],[ARO PEDICELAR VERDE EXTREMO]])/$X$10)</f>
        <v>0</v>
      </c>
      <c r="DV223" s="16">
        <f>IF($X223="","",SUM(Tabla152[[#This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23" s="16">
        <f t="shared" si="22"/>
        <v>0</v>
      </c>
      <c r="DX223" s="16">
        <f>IF($X223="","",AJ223/$X$10)</f>
        <v>0</v>
      </c>
      <c r="DY223" s="16">
        <f>IF($X223="","",SUM(Tabla152[[#This Row],[PRESENCIA DE COROLA]],Tabla152[[#This Row],[PRESENCIA DE RESTO FLORAL VERDE]],Tabla152[[#This Row],[PRESENCIA DE PEDÚNCULO]])/$X$10)</f>
        <v>0</v>
      </c>
      <c r="DZ223" s="16">
        <f>IF($X223="","",SUM(Tabla152[[#This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24" spans="1:130" x14ac:dyDescent="0.3">
      <c r="A224" s="9">
        <f>IF(W224="","",IF(ROW()=10,1,IF(W224=W223,A223,MAX($A$9:A223)+1)))</f>
        <v>71</v>
      </c>
      <c r="B224" s="9">
        <f>WEEKNUM(Tabla152[[#This Row],[FECHA DE COSECHA]],21)</f>
        <v>36</v>
      </c>
      <c r="C224" s="9"/>
      <c r="D224" s="17">
        <v>46268</v>
      </c>
      <c r="E224" s="17">
        <v>46268</v>
      </c>
      <c r="F224" s="9">
        <v>1</v>
      </c>
      <c r="G224" s="9" t="s">
        <v>77</v>
      </c>
      <c r="H224" s="9" t="s">
        <v>144</v>
      </c>
      <c r="I224" s="9" t="s">
        <v>134</v>
      </c>
      <c r="J224" s="9" t="s">
        <v>78</v>
      </c>
      <c r="K224" s="9" t="s">
        <v>153</v>
      </c>
      <c r="L224" s="9" t="s">
        <v>131</v>
      </c>
      <c r="M224" s="9" t="s">
        <v>239</v>
      </c>
      <c r="N224" s="9" t="s">
        <v>136</v>
      </c>
      <c r="O224" s="9" t="s">
        <v>244</v>
      </c>
      <c r="P224" s="9" t="s">
        <v>152</v>
      </c>
      <c r="Q224" s="9"/>
      <c r="R224" s="9">
        <v>8</v>
      </c>
      <c r="S224" s="9">
        <v>78114711</v>
      </c>
      <c r="T224" t="s">
        <v>233</v>
      </c>
      <c r="U224" s="9" t="s">
        <v>147</v>
      </c>
      <c r="V224" s="9"/>
      <c r="W224" s="19" t="s">
        <v>216</v>
      </c>
      <c r="X224" s="9">
        <v>69</v>
      </c>
      <c r="Y224" s="9">
        <v>2</v>
      </c>
      <c r="Z224" s="9">
        <v>15</v>
      </c>
      <c r="AA224" s="9" t="str">
        <f>IF(Tabla152[[#This Row],[NOTA]]=15,"CUMPLE","NO CUMPLE")</f>
        <v>CUMPLE</v>
      </c>
      <c r="AB224" s="9" t="str">
        <f>IF(COUNTIF($A$10:A224,A224)=1,IF(COUNTIFS($A:$A,A224,$AA:$AA,"NO CUMPLE")&gt;0,"NO CUMPLE","CUMPLE"),"")</f>
        <v/>
      </c>
      <c r="AC224" s="9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18"/>
      <c r="BX224" s="18">
        <f>IF($X224="","",AE224/$X$10)</f>
        <v>0</v>
      </c>
      <c r="BY224" s="18">
        <f>IF($X224="","",AF224/$X$10)</f>
        <v>0</v>
      </c>
      <c r="BZ224" s="18">
        <f>IF($X224="","",AG224/$X$10)</f>
        <v>0</v>
      </c>
      <c r="CA224" s="18">
        <f>IF($X224="","",AH224/$X$10)</f>
        <v>0</v>
      </c>
      <c r="CB224" s="18">
        <f t="shared" si="23"/>
        <v>0</v>
      </c>
      <c r="CC224" s="18">
        <f>IF($X224="","",AJ224/$X$10)</f>
        <v>0</v>
      </c>
      <c r="CD224" s="18">
        <f>IF($X224="","",AK224/$X$10)</f>
        <v>0</v>
      </c>
      <c r="CE224" s="18">
        <f>IF($X224="","",AL224/$X$10)</f>
        <v>0</v>
      </c>
      <c r="CF224" s="18">
        <f>IF($X224="","",AM224/$X$10)</f>
        <v>0</v>
      </c>
      <c r="CG224" s="18">
        <f>IF($X224="","",AN224/$X$10)</f>
        <v>0</v>
      </c>
      <c r="CH224" s="18">
        <f>IF($X224="","",AO224/$X$10)</f>
        <v>0</v>
      </c>
      <c r="CI224" s="18">
        <f>IF($X224="","",AP224/$X$10)</f>
        <v>0</v>
      </c>
      <c r="CJ224" s="18">
        <f>IF($X224="","",AQ224/$X$10)</f>
        <v>0</v>
      </c>
      <c r="CK224" s="18">
        <f>IF($X224="","",AR224/$X$10)</f>
        <v>0</v>
      </c>
      <c r="CL224" s="18">
        <f>IF($X224="","",AS224/$X$10)</f>
        <v>0</v>
      </c>
      <c r="CM224" s="18">
        <f>IF($X224="","",AT224/$X$10)</f>
        <v>0</v>
      </c>
      <c r="CN224" s="18">
        <f>IF($X224="","",AU224/$X$10)</f>
        <v>0</v>
      </c>
      <c r="CO224" s="18">
        <f>IF($X224="","",AV224/$X$10)</f>
        <v>0</v>
      </c>
      <c r="CP224" s="18">
        <f>IF($X224="","",AW224/$X$10)</f>
        <v>0</v>
      </c>
      <c r="CQ224" s="18">
        <f>IF($X224="","",AX224/$X$10)</f>
        <v>0</v>
      </c>
      <c r="CR224" s="18">
        <f>IF($X224="","",AY224/$X$10)</f>
        <v>0</v>
      </c>
      <c r="CS224" s="18">
        <f>IF($X224="","",AZ224/$X$10)</f>
        <v>0</v>
      </c>
      <c r="CT224" s="18">
        <f>IF($X224="","",BA224/$X$10)</f>
        <v>0</v>
      </c>
      <c r="CU224" s="18">
        <f>IF($X224="","",BB224/$X$10)</f>
        <v>0</v>
      </c>
      <c r="CV224" s="18">
        <f>IF($X224="","",BC224/$X$10)</f>
        <v>0</v>
      </c>
      <c r="CW224" s="18">
        <f>IF($X224="","",BD224/$X$10)</f>
        <v>0</v>
      </c>
      <c r="CX224" s="18">
        <f>IF($X224="","",BE224/$X$10)</f>
        <v>0</v>
      </c>
      <c r="CY224" s="18">
        <f>IF($X224="","",BF224/$X$10)</f>
        <v>0</v>
      </c>
      <c r="CZ224" s="18">
        <f>IF($X224="","",BG224/$X$10)</f>
        <v>0</v>
      </c>
      <c r="DA224" s="18">
        <f>IF($X224="","",BH224/$X$10)</f>
        <v>0</v>
      </c>
      <c r="DB224" s="18">
        <f>IF($X224="","",BI224/$X$10)</f>
        <v>0</v>
      </c>
      <c r="DC224" s="18">
        <f>IF($X224="","",BJ224/$X$10)</f>
        <v>0</v>
      </c>
      <c r="DD224" s="18">
        <f>IF($X224="","",BK224/$X$10)</f>
        <v>0</v>
      </c>
      <c r="DE224" s="18">
        <f>IF($X224="","",BL224/$X$10)</f>
        <v>0</v>
      </c>
      <c r="DF224" s="18">
        <f>IF($X224="","",BM224/$X$10)</f>
        <v>0</v>
      </c>
      <c r="DG224" s="18">
        <f t="shared" si="24"/>
        <v>0</v>
      </c>
      <c r="DH224" s="18">
        <f>IF($X224="","",BO224/$X$10)</f>
        <v>0</v>
      </c>
      <c r="DI224" s="18">
        <f>IF($X224="","",BP224/$X$10)</f>
        <v>0</v>
      </c>
      <c r="DJ224" s="18">
        <f>IF($X224="","",BQ224/$X$10)</f>
        <v>0</v>
      </c>
      <c r="DK224" s="18">
        <f>IF($X224="","",BR224/$X$10)</f>
        <v>0</v>
      </c>
      <c r="DL224" s="18">
        <f>IF($X224="","",BS224/$X$10)</f>
        <v>0</v>
      </c>
      <c r="DM224" s="18">
        <f>IF($X224="","",BT224/$X$10)</f>
        <v>0</v>
      </c>
      <c r="DN224" s="18">
        <f t="shared" si="20"/>
        <v>0</v>
      </c>
      <c r="DO224" s="16">
        <f>IF($X224="","",SUM(Tabla152[[#This Row],[PODRIDO]],Tabla152[[#This Row],[HONGO]],Tabla152[[#This Row],[PICADO DE AVE CON PUDRICIÓN]],Tabla152[[#This Row],[FUMAGINA]])/$X$10)</f>
        <v>0</v>
      </c>
      <c r="DP224" s="16">
        <f>IF($X224="","",SUM(Tabla152[[#This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24" s="16">
        <f>IF($X224="","",SUM(Tabla152[[#This Row],[BLANDO]:[COLAPSADO]])/$X$10)</f>
        <v>0</v>
      </c>
      <c r="DR224" s="16">
        <f>IF($X224="","",SUM(Tabla152[[#This Row],[DESHIDRATADO LEVE]:[DESHIDRATADO INMADURO]])/$X$10)</f>
        <v>0</v>
      </c>
      <c r="DS224" s="18">
        <f t="shared" si="21"/>
        <v>0</v>
      </c>
      <c r="DT224" s="16">
        <f>IF($X224="","",SUM(Tabla152[[#This Row],[PRESENCIA DE LARVA]],Tabla152[[#This Row],[CHANCHITO BLANCO]])/$X$10)</f>
        <v>0</v>
      </c>
      <c r="DU224" s="18">
        <f>IF($X224="","",SUM(Tabla152[[#This Row],[ROJO GRADO 2 A MÁS]],Tabla152[[#This Row],[IMMADURO VERDE]],Tabla152[[#This Row],[DESORDEN POR MADURACIÓN]],Tabla152[[#This Row],[ARO PEDICELAR VERDE EXTREMO]])/$X$10)</f>
        <v>0</v>
      </c>
      <c r="DV224" s="16">
        <f>IF($X224="","",SUM(Tabla152[[#This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24" s="16">
        <f t="shared" si="22"/>
        <v>0</v>
      </c>
      <c r="DX224" s="16">
        <f>IF($X224="","",AJ224/$X$10)</f>
        <v>0</v>
      </c>
      <c r="DY224" s="16">
        <f>IF($X224="","",SUM(Tabla152[[#This Row],[PRESENCIA DE COROLA]],Tabla152[[#This Row],[PRESENCIA DE RESTO FLORAL VERDE]],Tabla152[[#This Row],[PRESENCIA DE PEDÚNCULO]])/$X$10)</f>
        <v>0</v>
      </c>
      <c r="DZ224" s="16">
        <f>IF($X224="","",SUM(Tabla152[[#This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25" spans="1:130" x14ac:dyDescent="0.3">
      <c r="A225" s="9">
        <f>IF(W225="","",IF(ROW()=10,1,IF(W225=W224,A224,MAX($A$9:A224)+1)))</f>
        <v>71</v>
      </c>
      <c r="B225" s="9">
        <f>WEEKNUM(Tabla152[[#This Row],[FECHA DE COSECHA]],21)</f>
        <v>36</v>
      </c>
      <c r="C225" s="9"/>
      <c r="D225" s="17">
        <v>46268</v>
      </c>
      <c r="E225" s="17">
        <v>46268</v>
      </c>
      <c r="F225" s="9">
        <v>1</v>
      </c>
      <c r="G225" s="9" t="s">
        <v>77</v>
      </c>
      <c r="H225" s="9" t="s">
        <v>144</v>
      </c>
      <c r="I225" s="9" t="s">
        <v>134</v>
      </c>
      <c r="J225" s="9" t="s">
        <v>78</v>
      </c>
      <c r="K225" s="9" t="s">
        <v>153</v>
      </c>
      <c r="L225" s="9" t="s">
        <v>131</v>
      </c>
      <c r="M225" s="9" t="s">
        <v>239</v>
      </c>
      <c r="N225" s="9" t="s">
        <v>136</v>
      </c>
      <c r="O225" s="9" t="s">
        <v>244</v>
      </c>
      <c r="P225" s="9" t="s">
        <v>152</v>
      </c>
      <c r="Q225" s="9"/>
      <c r="R225" s="9">
        <v>8</v>
      </c>
      <c r="S225" s="9">
        <v>78114711</v>
      </c>
      <c r="T225" t="s">
        <v>233</v>
      </c>
      <c r="U225" s="9" t="s">
        <v>147</v>
      </c>
      <c r="V225" s="9"/>
      <c r="W225" s="19" t="s">
        <v>216</v>
      </c>
      <c r="X225" s="9">
        <v>69</v>
      </c>
      <c r="Y225" s="9">
        <v>3</v>
      </c>
      <c r="Z225" s="9">
        <v>15</v>
      </c>
      <c r="AA225" s="9" t="str">
        <f>IF(Tabla152[[#This Row],[NOTA]]=15,"CUMPLE","NO CUMPLE")</f>
        <v>CUMPLE</v>
      </c>
      <c r="AB225" s="9" t="str">
        <f>IF(COUNTIF($A$10:A225,A225)=1,IF(COUNTIFS($A:$A,A225,$AA:$AA,"NO CUMPLE")&gt;0,"NO CUMPLE","CUMPLE"),"")</f>
        <v/>
      </c>
      <c r="AC225" s="9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18"/>
      <c r="BX225" s="18">
        <f>IF($X225="","",AE225/$X$10)</f>
        <v>0</v>
      </c>
      <c r="BY225" s="18">
        <f>IF($X225="","",AF225/$X$10)</f>
        <v>0</v>
      </c>
      <c r="BZ225" s="18">
        <f>IF($X225="","",AG225/$X$10)</f>
        <v>0</v>
      </c>
      <c r="CA225" s="18">
        <f>IF($X225="","",AH225/$X$10)</f>
        <v>0</v>
      </c>
      <c r="CB225" s="18">
        <f t="shared" si="23"/>
        <v>0</v>
      </c>
      <c r="CC225" s="18">
        <f>IF($X225="","",AJ225/$X$10)</f>
        <v>0</v>
      </c>
      <c r="CD225" s="18">
        <f>IF($X225="","",AK225/$X$10)</f>
        <v>0</v>
      </c>
      <c r="CE225" s="18">
        <f>IF($X225="","",AL225/$X$10)</f>
        <v>0</v>
      </c>
      <c r="CF225" s="18">
        <f>IF($X225="","",AM225/$X$10)</f>
        <v>0</v>
      </c>
      <c r="CG225" s="18">
        <f>IF($X225="","",AN225/$X$10)</f>
        <v>0</v>
      </c>
      <c r="CH225" s="18">
        <f>IF($X225="","",AO225/$X$10)</f>
        <v>0</v>
      </c>
      <c r="CI225" s="18">
        <f>IF($X225="","",AP225/$X$10)</f>
        <v>0</v>
      </c>
      <c r="CJ225" s="18">
        <f>IF($X225="","",AQ225/$X$10)</f>
        <v>0</v>
      </c>
      <c r="CK225" s="18">
        <f>IF($X225="","",AR225/$X$10)</f>
        <v>0</v>
      </c>
      <c r="CL225" s="18">
        <f>IF($X225="","",AS225/$X$10)</f>
        <v>0</v>
      </c>
      <c r="CM225" s="18">
        <f>IF($X225="","",AT225/$X$10)</f>
        <v>0</v>
      </c>
      <c r="CN225" s="18">
        <f>IF($X225="","",AU225/$X$10)</f>
        <v>0</v>
      </c>
      <c r="CO225" s="18">
        <f>IF($X225="","",AV225/$X$10)</f>
        <v>0</v>
      </c>
      <c r="CP225" s="18">
        <f>IF($X225="","",AW225/$X$10)</f>
        <v>0</v>
      </c>
      <c r="CQ225" s="18">
        <f>IF($X225="","",AX225/$X$10)</f>
        <v>0</v>
      </c>
      <c r="CR225" s="18">
        <f>IF($X225="","",AY225/$X$10)</f>
        <v>0</v>
      </c>
      <c r="CS225" s="18">
        <f>IF($X225="","",AZ225/$X$10)</f>
        <v>0</v>
      </c>
      <c r="CT225" s="18">
        <f>IF($X225="","",BA225/$X$10)</f>
        <v>0</v>
      </c>
      <c r="CU225" s="18">
        <f>IF($X225="","",BB225/$X$10)</f>
        <v>0</v>
      </c>
      <c r="CV225" s="18">
        <f>IF($X225="","",BC225/$X$10)</f>
        <v>0</v>
      </c>
      <c r="CW225" s="18">
        <f>IF($X225="","",BD225/$X$10)</f>
        <v>0</v>
      </c>
      <c r="CX225" s="18">
        <f>IF($X225="","",BE225/$X$10)</f>
        <v>0</v>
      </c>
      <c r="CY225" s="18">
        <f>IF($X225="","",BF225/$X$10)</f>
        <v>0</v>
      </c>
      <c r="CZ225" s="18">
        <f>IF($X225="","",BG225/$X$10)</f>
        <v>0</v>
      </c>
      <c r="DA225" s="18">
        <f>IF($X225="","",BH225/$X$10)</f>
        <v>0</v>
      </c>
      <c r="DB225" s="18">
        <f>IF($X225="","",BI225/$X$10)</f>
        <v>0</v>
      </c>
      <c r="DC225" s="18">
        <f>IF($X225="","",BJ225/$X$10)</f>
        <v>0</v>
      </c>
      <c r="DD225" s="18">
        <f>IF($X225="","",BK225/$X$10)</f>
        <v>0</v>
      </c>
      <c r="DE225" s="18">
        <f>IF($X225="","",BL225/$X$10)</f>
        <v>0</v>
      </c>
      <c r="DF225" s="18">
        <f>IF($X225="","",BM225/$X$10)</f>
        <v>0</v>
      </c>
      <c r="DG225" s="18">
        <f t="shared" si="24"/>
        <v>0</v>
      </c>
      <c r="DH225" s="18">
        <f>IF($X225="","",BO225/$X$10)</f>
        <v>0</v>
      </c>
      <c r="DI225" s="18">
        <f>IF($X225="","",BP225/$X$10)</f>
        <v>0</v>
      </c>
      <c r="DJ225" s="18">
        <f>IF($X225="","",BQ225/$X$10)</f>
        <v>0</v>
      </c>
      <c r="DK225" s="18">
        <f>IF($X225="","",BR225/$X$10)</f>
        <v>0</v>
      </c>
      <c r="DL225" s="18">
        <f>IF($X225="","",BS225/$X$10)</f>
        <v>0</v>
      </c>
      <c r="DM225" s="18">
        <f>IF($X225="","",BT225/$X$10)</f>
        <v>0</v>
      </c>
      <c r="DN225" s="18">
        <f t="shared" si="20"/>
        <v>0</v>
      </c>
      <c r="DO225" s="16">
        <f>IF($X225="","",SUM(Tabla152[[#This Row],[PODRIDO]],Tabla152[[#This Row],[HONGO]],Tabla152[[#This Row],[PICADO DE AVE CON PUDRICIÓN]],Tabla152[[#This Row],[FUMAGINA]])/$X$10)</f>
        <v>0</v>
      </c>
      <c r="DP225" s="16">
        <f>IF($X225="","",SUM(Tabla152[[#This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25" s="16">
        <f>IF($X225="","",SUM(Tabla152[[#This Row],[BLANDO]:[COLAPSADO]])/$X$10)</f>
        <v>0</v>
      </c>
      <c r="DR225" s="16">
        <f>IF($X225="","",SUM(Tabla152[[#This Row],[DESHIDRATADO LEVE]:[DESHIDRATADO INMADURO]])/$X$10)</f>
        <v>0</v>
      </c>
      <c r="DS225" s="18">
        <f t="shared" si="21"/>
        <v>0</v>
      </c>
      <c r="DT225" s="16">
        <f>IF($X225="","",SUM(Tabla152[[#This Row],[PRESENCIA DE LARVA]],Tabla152[[#This Row],[CHANCHITO BLANCO]])/$X$10)</f>
        <v>0</v>
      </c>
      <c r="DU225" s="18">
        <f>IF($X225="","",SUM(Tabla152[[#This Row],[ROJO GRADO 2 A MÁS]],Tabla152[[#This Row],[IMMADURO VERDE]],Tabla152[[#This Row],[DESORDEN POR MADURACIÓN]],Tabla152[[#This Row],[ARO PEDICELAR VERDE EXTREMO]])/$X$10)</f>
        <v>0</v>
      </c>
      <c r="DV225" s="16">
        <f>IF($X225="","",SUM(Tabla152[[#This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25" s="16">
        <f t="shared" si="22"/>
        <v>0</v>
      </c>
      <c r="DX225" s="16">
        <f>IF($X225="","",AJ225/$X$10)</f>
        <v>0</v>
      </c>
      <c r="DY225" s="16">
        <f>IF($X225="","",SUM(Tabla152[[#This Row],[PRESENCIA DE COROLA]],Tabla152[[#This Row],[PRESENCIA DE RESTO FLORAL VERDE]],Tabla152[[#This Row],[PRESENCIA DE PEDÚNCULO]])/$X$10)</f>
        <v>0</v>
      </c>
      <c r="DZ225" s="16">
        <f>IF($X225="","",SUM(Tabla152[[#This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26" spans="1:130" x14ac:dyDescent="0.3">
      <c r="A226" s="9">
        <f>IF(W226="","",IF(ROW()=10,1,IF(W226=W225,A225,MAX($A$9:A225)+1)))</f>
        <v>72</v>
      </c>
      <c r="B226" s="9">
        <f>WEEKNUM(Tabla152[[#This Row],[FECHA DE COSECHA]],21)</f>
        <v>36</v>
      </c>
      <c r="C226" s="9"/>
      <c r="D226" s="17">
        <v>46268</v>
      </c>
      <c r="E226" s="17">
        <v>46268</v>
      </c>
      <c r="F226" s="9">
        <v>1</v>
      </c>
      <c r="G226" s="9" t="s">
        <v>77</v>
      </c>
      <c r="H226" s="9" t="s">
        <v>144</v>
      </c>
      <c r="I226" s="9" t="s">
        <v>134</v>
      </c>
      <c r="J226" s="9" t="s">
        <v>78</v>
      </c>
      <c r="K226" s="9" t="s">
        <v>153</v>
      </c>
      <c r="L226" s="9" t="s">
        <v>131</v>
      </c>
      <c r="M226" s="9" t="s">
        <v>239</v>
      </c>
      <c r="N226" s="9" t="s">
        <v>136</v>
      </c>
      <c r="O226" s="9" t="s">
        <v>244</v>
      </c>
      <c r="P226" s="9" t="s">
        <v>152</v>
      </c>
      <c r="Q226" s="9"/>
      <c r="R226" s="9">
        <v>8</v>
      </c>
      <c r="S226" s="9">
        <v>78114711</v>
      </c>
      <c r="T226" t="s">
        <v>233</v>
      </c>
      <c r="U226" s="9" t="s">
        <v>147</v>
      </c>
      <c r="V226" s="9"/>
      <c r="W226" s="19" t="s">
        <v>217</v>
      </c>
      <c r="X226" s="9">
        <v>69</v>
      </c>
      <c r="Y226" s="9">
        <v>1</v>
      </c>
      <c r="Z226" s="9">
        <v>15</v>
      </c>
      <c r="AA226" s="9" t="str">
        <f>IF(Tabla152[[#This Row],[NOTA]]=15,"CUMPLE","NO CUMPLE")</f>
        <v>CUMPLE</v>
      </c>
      <c r="AB226" s="9" t="str">
        <f>IF(COUNTIF($A$10:A226,A226)=1,IF(COUNTIFS($A:$A,A226,$AA:$AA,"NO CUMPLE")&gt;0,"NO CUMPLE","CUMPLE"),"")</f>
        <v>CUMPLE</v>
      </c>
      <c r="AC226" s="9" t="s">
        <v>140</v>
      </c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18"/>
      <c r="BX226" s="18">
        <f>IF($X226="","",AE226/$X$10)</f>
        <v>0</v>
      </c>
      <c r="BY226" s="18">
        <f>IF($X226="","",AF226/$X$10)</f>
        <v>0</v>
      </c>
      <c r="BZ226" s="18">
        <f>IF($X226="","",AG226/$X$10)</f>
        <v>0</v>
      </c>
      <c r="CA226" s="18">
        <f>IF($X226="","",AH226/$X$10)</f>
        <v>0</v>
      </c>
      <c r="CB226" s="18">
        <f t="shared" si="23"/>
        <v>0</v>
      </c>
      <c r="CC226" s="18">
        <f>IF($X226="","",AJ226/$X$10)</f>
        <v>0</v>
      </c>
      <c r="CD226" s="18">
        <f>IF($X226="","",AK226/$X$10)</f>
        <v>0</v>
      </c>
      <c r="CE226" s="18">
        <f>IF($X226="","",AL226/$X$10)</f>
        <v>0</v>
      </c>
      <c r="CF226" s="18">
        <f>IF($X226="","",AM226/$X$10)</f>
        <v>0</v>
      </c>
      <c r="CG226" s="18">
        <f>IF($X226="","",AN226/$X$10)</f>
        <v>0</v>
      </c>
      <c r="CH226" s="18">
        <f>IF($X226="","",AO226/$X$10)</f>
        <v>0</v>
      </c>
      <c r="CI226" s="18">
        <f>IF($X226="","",AP226/$X$10)</f>
        <v>0</v>
      </c>
      <c r="CJ226" s="18">
        <f>IF($X226="","",AQ226/$X$10)</f>
        <v>0</v>
      </c>
      <c r="CK226" s="18">
        <f>IF($X226="","",AR226/$X$10)</f>
        <v>0</v>
      </c>
      <c r="CL226" s="18">
        <f>IF($X226="","",AS226/$X$10)</f>
        <v>0</v>
      </c>
      <c r="CM226" s="18">
        <f>IF($X226="","",AT226/$X$10)</f>
        <v>0</v>
      </c>
      <c r="CN226" s="18">
        <f>IF($X226="","",AU226/$X$10)</f>
        <v>0</v>
      </c>
      <c r="CO226" s="18">
        <f>IF($X226="","",AV226/$X$10)</f>
        <v>0</v>
      </c>
      <c r="CP226" s="18">
        <f>IF($X226="","",AW226/$X$10)</f>
        <v>0</v>
      </c>
      <c r="CQ226" s="18">
        <f>IF($X226="","",AX226/$X$10)</f>
        <v>0</v>
      </c>
      <c r="CR226" s="18">
        <f>IF($X226="","",AY226/$X$10)</f>
        <v>0</v>
      </c>
      <c r="CS226" s="18">
        <f>IF($X226="","",AZ226/$X$10)</f>
        <v>0</v>
      </c>
      <c r="CT226" s="18">
        <f>IF($X226="","",BA226/$X$10)</f>
        <v>0</v>
      </c>
      <c r="CU226" s="18">
        <f>IF($X226="","",BB226/$X$10)</f>
        <v>0</v>
      </c>
      <c r="CV226" s="18">
        <f>IF($X226="","",BC226/$X$10)</f>
        <v>0</v>
      </c>
      <c r="CW226" s="18">
        <f>IF($X226="","",BD226/$X$10)</f>
        <v>0</v>
      </c>
      <c r="CX226" s="18">
        <f>IF($X226="","",BE226/$X$10)</f>
        <v>0</v>
      </c>
      <c r="CY226" s="18">
        <f>IF($X226="","",BF226/$X$10)</f>
        <v>0</v>
      </c>
      <c r="CZ226" s="18">
        <f>IF($X226="","",BG226/$X$10)</f>
        <v>0</v>
      </c>
      <c r="DA226" s="18">
        <f>IF($X226="","",BH226/$X$10)</f>
        <v>0</v>
      </c>
      <c r="DB226" s="18">
        <f>IF($X226="","",BI226/$X$10)</f>
        <v>0</v>
      </c>
      <c r="DC226" s="18">
        <f>IF($X226="","",BJ226/$X$10)</f>
        <v>0</v>
      </c>
      <c r="DD226" s="18">
        <f>IF($X226="","",BK226/$X$10)</f>
        <v>0</v>
      </c>
      <c r="DE226" s="18">
        <f>IF($X226="","",BL226/$X$10)</f>
        <v>0</v>
      </c>
      <c r="DF226" s="18">
        <f>IF($X226="","",BM226/$X$10)</f>
        <v>0</v>
      </c>
      <c r="DG226" s="18">
        <f t="shared" si="24"/>
        <v>0</v>
      </c>
      <c r="DH226" s="18">
        <f>IF($X226="","",BO226/$X$10)</f>
        <v>0</v>
      </c>
      <c r="DI226" s="18">
        <f>IF($X226="","",BP226/$X$10)</f>
        <v>0</v>
      </c>
      <c r="DJ226" s="18">
        <f>IF($X226="","",BQ226/$X$10)</f>
        <v>0</v>
      </c>
      <c r="DK226" s="18">
        <f>IF($X226="","",BR226/$X$10)</f>
        <v>0</v>
      </c>
      <c r="DL226" s="18">
        <f>IF($X226="","",BS226/$X$10)</f>
        <v>0</v>
      </c>
      <c r="DM226" s="18">
        <f>IF($X226="","",BT226/$X$10)</f>
        <v>0</v>
      </c>
      <c r="DN226" s="18">
        <f t="shared" si="20"/>
        <v>0</v>
      </c>
      <c r="DO226" s="16">
        <f>IF($X226="","",SUM(Tabla152[[#This Row],[PODRIDO]],Tabla152[[#This Row],[HONGO]],Tabla152[[#This Row],[PICADO DE AVE CON PUDRICIÓN]],Tabla152[[#This Row],[FUMAGINA]])/$X$10)</f>
        <v>0</v>
      </c>
      <c r="DP226" s="16">
        <f>IF($X226="","",SUM(Tabla152[[#This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26" s="16">
        <f>IF($X226="","",SUM(Tabla152[[#This Row],[BLANDO]:[COLAPSADO]])/$X$10)</f>
        <v>0</v>
      </c>
      <c r="DR226" s="16">
        <f>IF($X226="","",SUM(Tabla152[[#This Row],[DESHIDRATADO LEVE]:[DESHIDRATADO INMADURO]])/$X$10)</f>
        <v>0</v>
      </c>
      <c r="DS226" s="18">
        <f t="shared" si="21"/>
        <v>0</v>
      </c>
      <c r="DT226" s="16">
        <f>IF($X226="","",SUM(Tabla152[[#This Row],[PRESENCIA DE LARVA]],Tabla152[[#This Row],[CHANCHITO BLANCO]])/$X$10)</f>
        <v>0</v>
      </c>
      <c r="DU226" s="18">
        <f>IF($X226="","",SUM(Tabla152[[#This Row],[ROJO GRADO 2 A MÁS]],Tabla152[[#This Row],[IMMADURO VERDE]],Tabla152[[#This Row],[DESORDEN POR MADURACIÓN]],Tabla152[[#This Row],[ARO PEDICELAR VERDE EXTREMO]])/$X$10)</f>
        <v>0</v>
      </c>
      <c r="DV226" s="16">
        <f>IF($X226="","",SUM(Tabla152[[#This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26" s="16">
        <f t="shared" si="22"/>
        <v>0</v>
      </c>
      <c r="DX226" s="16">
        <f>IF($X226="","",AJ226/$X$10)</f>
        <v>0</v>
      </c>
      <c r="DY226" s="16">
        <f>IF($X226="","",SUM(Tabla152[[#This Row],[PRESENCIA DE COROLA]],Tabla152[[#This Row],[PRESENCIA DE RESTO FLORAL VERDE]],Tabla152[[#This Row],[PRESENCIA DE PEDÚNCULO]])/$X$10)</f>
        <v>0</v>
      </c>
      <c r="DZ226" s="16">
        <f>IF($X226="","",SUM(Tabla152[[#This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27" spans="1:130" x14ac:dyDescent="0.3">
      <c r="A227" s="9">
        <f>IF(W227="","",IF(ROW()=10,1,IF(W227=W226,A226,MAX($A$9:A226)+1)))</f>
        <v>72</v>
      </c>
      <c r="B227" s="9">
        <f>WEEKNUM(Tabla152[[#This Row],[FECHA DE COSECHA]],21)</f>
        <v>36</v>
      </c>
      <c r="C227" s="9"/>
      <c r="D227" s="17">
        <v>46268</v>
      </c>
      <c r="E227" s="17">
        <v>46268</v>
      </c>
      <c r="F227" s="9">
        <v>1</v>
      </c>
      <c r="G227" s="9" t="s">
        <v>77</v>
      </c>
      <c r="H227" s="9" t="s">
        <v>144</v>
      </c>
      <c r="I227" s="9" t="s">
        <v>134</v>
      </c>
      <c r="J227" s="9" t="s">
        <v>78</v>
      </c>
      <c r="K227" s="9" t="s">
        <v>153</v>
      </c>
      <c r="L227" s="9" t="s">
        <v>131</v>
      </c>
      <c r="M227" s="9" t="s">
        <v>239</v>
      </c>
      <c r="N227" s="9" t="s">
        <v>136</v>
      </c>
      <c r="O227" s="9" t="s">
        <v>244</v>
      </c>
      <c r="P227" s="9" t="s">
        <v>152</v>
      </c>
      <c r="Q227" s="9"/>
      <c r="R227" s="9">
        <v>8</v>
      </c>
      <c r="S227" s="9">
        <v>78114711</v>
      </c>
      <c r="T227" t="s">
        <v>233</v>
      </c>
      <c r="U227" s="9" t="s">
        <v>147</v>
      </c>
      <c r="V227" s="9"/>
      <c r="W227" s="19" t="s">
        <v>217</v>
      </c>
      <c r="X227" s="9">
        <v>69</v>
      </c>
      <c r="Y227" s="9">
        <v>2</v>
      </c>
      <c r="Z227" s="9">
        <v>15</v>
      </c>
      <c r="AA227" s="9" t="str">
        <f>IF(Tabla152[[#This Row],[NOTA]]=15,"CUMPLE","NO CUMPLE")</f>
        <v>CUMPLE</v>
      </c>
      <c r="AB227" s="9" t="str">
        <f>IF(COUNTIF($A$10:A227,A227)=1,IF(COUNTIFS($A:$A,A227,$AA:$AA,"NO CUMPLE")&gt;0,"NO CUMPLE","CUMPLE"),"")</f>
        <v/>
      </c>
      <c r="AC227" s="9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18"/>
      <c r="BX227" s="18">
        <f>IF($X227="","",AE227/$X$10)</f>
        <v>0</v>
      </c>
      <c r="BY227" s="18">
        <f>IF($X227="","",AF227/$X$10)</f>
        <v>0</v>
      </c>
      <c r="BZ227" s="18">
        <f>IF($X227="","",AG227/$X$10)</f>
        <v>0</v>
      </c>
      <c r="CA227" s="18">
        <f>IF($X227="","",AH227/$X$10)</f>
        <v>0</v>
      </c>
      <c r="CB227" s="18">
        <f t="shared" si="23"/>
        <v>0</v>
      </c>
      <c r="CC227" s="18">
        <f>IF($X227="","",AJ227/$X$10)</f>
        <v>0</v>
      </c>
      <c r="CD227" s="18">
        <f>IF($X227="","",AK227/$X$10)</f>
        <v>0</v>
      </c>
      <c r="CE227" s="18">
        <f>IF($X227="","",AL227/$X$10)</f>
        <v>0</v>
      </c>
      <c r="CF227" s="18">
        <f>IF($X227="","",AM227/$X$10)</f>
        <v>0</v>
      </c>
      <c r="CG227" s="18">
        <f>IF($X227="","",AN227/$X$10)</f>
        <v>0</v>
      </c>
      <c r="CH227" s="18">
        <f>IF($X227="","",AO227/$X$10)</f>
        <v>0</v>
      </c>
      <c r="CI227" s="18">
        <f>IF($X227="","",AP227/$X$10)</f>
        <v>0</v>
      </c>
      <c r="CJ227" s="18">
        <f>IF($X227="","",AQ227/$X$10)</f>
        <v>0</v>
      </c>
      <c r="CK227" s="18">
        <f>IF($X227="","",AR227/$X$10)</f>
        <v>0</v>
      </c>
      <c r="CL227" s="18">
        <f>IF($X227="","",AS227/$X$10)</f>
        <v>0</v>
      </c>
      <c r="CM227" s="18">
        <f>IF($X227="","",AT227/$X$10)</f>
        <v>0</v>
      </c>
      <c r="CN227" s="18">
        <f>IF($X227="","",AU227/$X$10)</f>
        <v>0</v>
      </c>
      <c r="CO227" s="18">
        <f>IF($X227="","",AV227/$X$10)</f>
        <v>0</v>
      </c>
      <c r="CP227" s="18">
        <f>IF($X227="","",AW227/$X$10)</f>
        <v>0</v>
      </c>
      <c r="CQ227" s="18">
        <f>IF($X227="","",AX227/$X$10)</f>
        <v>0</v>
      </c>
      <c r="CR227" s="18">
        <f>IF($X227="","",AY227/$X$10)</f>
        <v>0</v>
      </c>
      <c r="CS227" s="18">
        <f>IF($X227="","",AZ227/$X$10)</f>
        <v>0</v>
      </c>
      <c r="CT227" s="18">
        <f>IF($X227="","",BA227/$X$10)</f>
        <v>0</v>
      </c>
      <c r="CU227" s="18">
        <f>IF($X227="","",BB227/$X$10)</f>
        <v>0</v>
      </c>
      <c r="CV227" s="18">
        <f>IF($X227="","",BC227/$X$10)</f>
        <v>0</v>
      </c>
      <c r="CW227" s="18">
        <f>IF($X227="","",BD227/$X$10)</f>
        <v>0</v>
      </c>
      <c r="CX227" s="18">
        <f>IF($X227="","",BE227/$X$10)</f>
        <v>0</v>
      </c>
      <c r="CY227" s="18">
        <f>IF($X227="","",BF227/$X$10)</f>
        <v>0</v>
      </c>
      <c r="CZ227" s="18">
        <f>IF($X227="","",BG227/$X$10)</f>
        <v>0</v>
      </c>
      <c r="DA227" s="18">
        <f>IF($X227="","",BH227/$X$10)</f>
        <v>0</v>
      </c>
      <c r="DB227" s="18">
        <f>IF($X227="","",BI227/$X$10)</f>
        <v>0</v>
      </c>
      <c r="DC227" s="18">
        <f>IF($X227="","",BJ227/$X$10)</f>
        <v>0</v>
      </c>
      <c r="DD227" s="18">
        <f>IF($X227="","",BK227/$X$10)</f>
        <v>0</v>
      </c>
      <c r="DE227" s="18">
        <f>IF($X227="","",BL227/$X$10)</f>
        <v>0</v>
      </c>
      <c r="DF227" s="18">
        <f>IF($X227="","",BM227/$X$10)</f>
        <v>0</v>
      </c>
      <c r="DG227" s="18">
        <f t="shared" si="24"/>
        <v>0</v>
      </c>
      <c r="DH227" s="18">
        <f>IF($X227="","",BO227/$X$10)</f>
        <v>0</v>
      </c>
      <c r="DI227" s="18">
        <f>IF($X227="","",BP227/$X$10)</f>
        <v>0</v>
      </c>
      <c r="DJ227" s="18">
        <f>IF($X227="","",BQ227/$X$10)</f>
        <v>0</v>
      </c>
      <c r="DK227" s="18">
        <f>IF($X227="","",BR227/$X$10)</f>
        <v>0</v>
      </c>
      <c r="DL227" s="18">
        <f>IF($X227="","",BS227/$X$10)</f>
        <v>0</v>
      </c>
      <c r="DM227" s="18">
        <f>IF($X227="","",BT227/$X$10)</f>
        <v>0</v>
      </c>
      <c r="DN227" s="18">
        <f t="shared" si="20"/>
        <v>0</v>
      </c>
      <c r="DO227" s="16">
        <f>IF($X227="","",SUM(Tabla152[[#This Row],[PODRIDO]],Tabla152[[#This Row],[HONGO]],Tabla152[[#This Row],[PICADO DE AVE CON PUDRICIÓN]],Tabla152[[#This Row],[FUMAGINA]])/$X$10)</f>
        <v>0</v>
      </c>
      <c r="DP227" s="16">
        <f>IF($X227="","",SUM(Tabla152[[#This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27" s="16">
        <f>IF($X227="","",SUM(Tabla152[[#This Row],[BLANDO]:[COLAPSADO]])/$X$10)</f>
        <v>0</v>
      </c>
      <c r="DR227" s="16">
        <f>IF($X227="","",SUM(Tabla152[[#This Row],[DESHIDRATADO LEVE]:[DESHIDRATADO INMADURO]])/$X$10)</f>
        <v>0</v>
      </c>
      <c r="DS227" s="18">
        <f t="shared" si="21"/>
        <v>0</v>
      </c>
      <c r="DT227" s="16">
        <f>IF($X227="","",SUM(Tabla152[[#This Row],[PRESENCIA DE LARVA]],Tabla152[[#This Row],[CHANCHITO BLANCO]])/$X$10)</f>
        <v>0</v>
      </c>
      <c r="DU227" s="18">
        <f>IF($X227="","",SUM(Tabla152[[#This Row],[ROJO GRADO 2 A MÁS]],Tabla152[[#This Row],[IMMADURO VERDE]],Tabla152[[#This Row],[DESORDEN POR MADURACIÓN]],Tabla152[[#This Row],[ARO PEDICELAR VERDE EXTREMO]])/$X$10)</f>
        <v>0</v>
      </c>
      <c r="DV227" s="16">
        <f>IF($X227="","",SUM(Tabla152[[#This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27" s="16">
        <f t="shared" si="22"/>
        <v>0</v>
      </c>
      <c r="DX227" s="16">
        <f>IF($X227="","",AJ227/$X$10)</f>
        <v>0</v>
      </c>
      <c r="DY227" s="16">
        <f>IF($X227="","",SUM(Tabla152[[#This Row],[PRESENCIA DE COROLA]],Tabla152[[#This Row],[PRESENCIA DE RESTO FLORAL VERDE]],Tabla152[[#This Row],[PRESENCIA DE PEDÚNCULO]])/$X$10)</f>
        <v>0</v>
      </c>
      <c r="DZ227" s="16">
        <f>IF($X227="","",SUM(Tabla152[[#This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28" spans="1:130" x14ac:dyDescent="0.3">
      <c r="A228" s="9">
        <f>IF(W228="","",IF(ROW()=10,1,IF(W228=W227,A227,MAX($A$9:A227)+1)))</f>
        <v>72</v>
      </c>
      <c r="B228" s="9">
        <f>WEEKNUM(Tabla152[[#This Row],[FECHA DE COSECHA]],21)</f>
        <v>36</v>
      </c>
      <c r="C228" s="9"/>
      <c r="D228" s="17">
        <v>46268</v>
      </c>
      <c r="E228" s="17">
        <v>46268</v>
      </c>
      <c r="F228" s="9">
        <v>1</v>
      </c>
      <c r="G228" s="9" t="s">
        <v>77</v>
      </c>
      <c r="H228" s="9" t="s">
        <v>144</v>
      </c>
      <c r="I228" s="9" t="s">
        <v>134</v>
      </c>
      <c r="J228" s="9" t="s">
        <v>78</v>
      </c>
      <c r="K228" s="9" t="s">
        <v>153</v>
      </c>
      <c r="L228" s="9" t="s">
        <v>131</v>
      </c>
      <c r="M228" s="9" t="s">
        <v>239</v>
      </c>
      <c r="N228" s="9" t="s">
        <v>136</v>
      </c>
      <c r="O228" s="9" t="s">
        <v>244</v>
      </c>
      <c r="P228" s="9" t="s">
        <v>152</v>
      </c>
      <c r="Q228" s="9"/>
      <c r="R228" s="9">
        <v>8</v>
      </c>
      <c r="S228" s="9">
        <v>78114711</v>
      </c>
      <c r="T228" t="s">
        <v>233</v>
      </c>
      <c r="U228" s="9" t="s">
        <v>147</v>
      </c>
      <c r="V228" s="9"/>
      <c r="W228" s="19" t="s">
        <v>217</v>
      </c>
      <c r="X228" s="9">
        <v>69</v>
      </c>
      <c r="Y228" s="9">
        <v>3</v>
      </c>
      <c r="Z228" s="9">
        <v>15</v>
      </c>
      <c r="AA228" s="9" t="str">
        <f>IF(Tabla152[[#This Row],[NOTA]]=15,"CUMPLE","NO CUMPLE")</f>
        <v>CUMPLE</v>
      </c>
      <c r="AB228" s="9" t="str">
        <f>IF(COUNTIF($A$10:A228,A228)=1,IF(COUNTIFS($A:$A,A228,$AA:$AA,"NO CUMPLE")&gt;0,"NO CUMPLE","CUMPLE"),"")</f>
        <v/>
      </c>
      <c r="AC228" s="9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18"/>
      <c r="BX228" s="18">
        <f>IF($X228="","",AE228/$X$10)</f>
        <v>0</v>
      </c>
      <c r="BY228" s="18">
        <f>IF($X228="","",AF228/$X$10)</f>
        <v>0</v>
      </c>
      <c r="BZ228" s="18">
        <f>IF($X228="","",AG228/$X$10)</f>
        <v>0</v>
      </c>
      <c r="CA228" s="18">
        <f>IF($X228="","",AH228/$X$10)</f>
        <v>0</v>
      </c>
      <c r="CB228" s="18">
        <f t="shared" si="23"/>
        <v>0</v>
      </c>
      <c r="CC228" s="18">
        <f>IF($X228="","",AJ228/$X$10)</f>
        <v>0</v>
      </c>
      <c r="CD228" s="18">
        <f>IF($X228="","",AK228/$X$10)</f>
        <v>0</v>
      </c>
      <c r="CE228" s="18">
        <f>IF($X228="","",AL228/$X$10)</f>
        <v>0</v>
      </c>
      <c r="CF228" s="18">
        <f>IF($X228="","",AM228/$X$10)</f>
        <v>0</v>
      </c>
      <c r="CG228" s="18">
        <f>IF($X228="","",AN228/$X$10)</f>
        <v>0</v>
      </c>
      <c r="CH228" s="18">
        <f>IF($X228="","",AO228/$X$10)</f>
        <v>0</v>
      </c>
      <c r="CI228" s="18">
        <f>IF($X228="","",AP228/$X$10)</f>
        <v>0</v>
      </c>
      <c r="CJ228" s="18">
        <f>IF($X228="","",AQ228/$X$10)</f>
        <v>0</v>
      </c>
      <c r="CK228" s="18">
        <f>IF($X228="","",AR228/$X$10)</f>
        <v>0</v>
      </c>
      <c r="CL228" s="18">
        <f>IF($X228="","",AS228/$X$10)</f>
        <v>0</v>
      </c>
      <c r="CM228" s="18">
        <f>IF($X228="","",AT228/$X$10)</f>
        <v>0</v>
      </c>
      <c r="CN228" s="18">
        <f>IF($X228="","",AU228/$X$10)</f>
        <v>0</v>
      </c>
      <c r="CO228" s="18">
        <f>IF($X228="","",AV228/$X$10)</f>
        <v>0</v>
      </c>
      <c r="CP228" s="18">
        <f>IF($X228="","",AW228/$X$10)</f>
        <v>0</v>
      </c>
      <c r="CQ228" s="18">
        <f>IF($X228="","",AX228/$X$10)</f>
        <v>0</v>
      </c>
      <c r="CR228" s="18">
        <f>IF($X228="","",AY228/$X$10)</f>
        <v>0</v>
      </c>
      <c r="CS228" s="18">
        <f>IF($X228="","",AZ228/$X$10)</f>
        <v>0</v>
      </c>
      <c r="CT228" s="18">
        <f>IF($X228="","",BA228/$X$10)</f>
        <v>0</v>
      </c>
      <c r="CU228" s="18">
        <f>IF($X228="","",BB228/$X$10)</f>
        <v>0</v>
      </c>
      <c r="CV228" s="18">
        <f>IF($X228="","",BC228/$X$10)</f>
        <v>0</v>
      </c>
      <c r="CW228" s="18">
        <f>IF($X228="","",BD228/$X$10)</f>
        <v>0</v>
      </c>
      <c r="CX228" s="18">
        <f>IF($X228="","",BE228/$X$10)</f>
        <v>0</v>
      </c>
      <c r="CY228" s="18">
        <f>IF($X228="","",BF228/$X$10)</f>
        <v>0</v>
      </c>
      <c r="CZ228" s="18">
        <f>IF($X228="","",BG228/$X$10)</f>
        <v>0</v>
      </c>
      <c r="DA228" s="18">
        <f>IF($X228="","",BH228/$X$10)</f>
        <v>0</v>
      </c>
      <c r="DB228" s="18">
        <f>IF($X228="","",BI228/$X$10)</f>
        <v>0</v>
      </c>
      <c r="DC228" s="18">
        <f>IF($X228="","",BJ228/$X$10)</f>
        <v>0</v>
      </c>
      <c r="DD228" s="18">
        <f>IF($X228="","",BK228/$X$10)</f>
        <v>0</v>
      </c>
      <c r="DE228" s="18">
        <f>IF($X228="","",BL228/$X$10)</f>
        <v>0</v>
      </c>
      <c r="DF228" s="18">
        <f>IF($X228="","",BM228/$X$10)</f>
        <v>0</v>
      </c>
      <c r="DG228" s="18">
        <f t="shared" si="24"/>
        <v>0</v>
      </c>
      <c r="DH228" s="18">
        <f>IF($X228="","",BO228/$X$10)</f>
        <v>0</v>
      </c>
      <c r="DI228" s="18">
        <f>IF($X228="","",BP228/$X$10)</f>
        <v>0</v>
      </c>
      <c r="DJ228" s="18">
        <f>IF($X228="","",BQ228/$X$10)</f>
        <v>0</v>
      </c>
      <c r="DK228" s="18">
        <f>IF($X228="","",BR228/$X$10)</f>
        <v>0</v>
      </c>
      <c r="DL228" s="18">
        <f>IF($X228="","",BS228/$X$10)</f>
        <v>0</v>
      </c>
      <c r="DM228" s="18">
        <f>IF($X228="","",BT228/$X$10)</f>
        <v>0</v>
      </c>
      <c r="DN228" s="18">
        <f t="shared" si="20"/>
        <v>0</v>
      </c>
      <c r="DO228" s="16">
        <f>IF($X228="","",SUM(Tabla152[[#This Row],[PODRIDO]],Tabla152[[#This Row],[HONGO]],Tabla152[[#This Row],[PICADO DE AVE CON PUDRICIÓN]],Tabla152[[#This Row],[FUMAGINA]])/$X$10)</f>
        <v>0</v>
      </c>
      <c r="DP228" s="16">
        <f>IF($X228="","",SUM(Tabla152[[#This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28" s="16">
        <f>IF($X228="","",SUM(Tabla152[[#This Row],[BLANDO]:[COLAPSADO]])/$X$10)</f>
        <v>0</v>
      </c>
      <c r="DR228" s="16">
        <f>IF($X228="","",SUM(Tabla152[[#This Row],[DESHIDRATADO LEVE]:[DESHIDRATADO INMADURO]])/$X$10)</f>
        <v>0</v>
      </c>
      <c r="DS228" s="18">
        <f t="shared" si="21"/>
        <v>0</v>
      </c>
      <c r="DT228" s="16">
        <f>IF($X228="","",SUM(Tabla152[[#This Row],[PRESENCIA DE LARVA]],Tabla152[[#This Row],[CHANCHITO BLANCO]])/$X$10)</f>
        <v>0</v>
      </c>
      <c r="DU228" s="18">
        <f>IF($X228="","",SUM(Tabla152[[#This Row],[ROJO GRADO 2 A MÁS]],Tabla152[[#This Row],[IMMADURO VERDE]],Tabla152[[#This Row],[DESORDEN POR MADURACIÓN]],Tabla152[[#This Row],[ARO PEDICELAR VERDE EXTREMO]])/$X$10)</f>
        <v>0</v>
      </c>
      <c r="DV228" s="16">
        <f>IF($X228="","",SUM(Tabla152[[#This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28" s="16">
        <f t="shared" si="22"/>
        <v>0</v>
      </c>
      <c r="DX228" s="16">
        <f>IF($X228="","",AJ228/$X$10)</f>
        <v>0</v>
      </c>
      <c r="DY228" s="16">
        <f>IF($X228="","",SUM(Tabla152[[#This Row],[PRESENCIA DE COROLA]],Tabla152[[#This Row],[PRESENCIA DE RESTO FLORAL VERDE]],Tabla152[[#This Row],[PRESENCIA DE PEDÚNCULO]])/$X$10)</f>
        <v>0</v>
      </c>
      <c r="DZ228" s="16">
        <f>IF($X228="","",SUM(Tabla152[[#This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29" spans="1:130" x14ac:dyDescent="0.3">
      <c r="A229" s="9">
        <f>IF(W229="","",IF(ROW()=10,1,IF(W229=W228,A228,MAX($A$9:A228)+1)))</f>
        <v>73</v>
      </c>
      <c r="B229" s="9">
        <f>WEEKNUM(Tabla152[[#This Row],[FECHA DE COSECHA]],21)</f>
        <v>36</v>
      </c>
      <c r="C229" s="9"/>
      <c r="D229" s="17">
        <v>46268</v>
      </c>
      <c r="E229" s="17">
        <v>46268</v>
      </c>
      <c r="F229" s="9">
        <v>1</v>
      </c>
      <c r="G229" s="9" t="s">
        <v>77</v>
      </c>
      <c r="H229" s="9" t="s">
        <v>144</v>
      </c>
      <c r="I229" s="9" t="s">
        <v>134</v>
      </c>
      <c r="J229" s="9" t="s">
        <v>78</v>
      </c>
      <c r="K229" s="9" t="s">
        <v>153</v>
      </c>
      <c r="L229" s="9" t="s">
        <v>131</v>
      </c>
      <c r="M229" s="9" t="s">
        <v>239</v>
      </c>
      <c r="N229" s="9" t="s">
        <v>136</v>
      </c>
      <c r="O229" s="9" t="s">
        <v>244</v>
      </c>
      <c r="P229" s="9" t="s">
        <v>152</v>
      </c>
      <c r="Q229" s="9"/>
      <c r="R229" s="9">
        <v>8</v>
      </c>
      <c r="S229" s="9">
        <v>78114711</v>
      </c>
      <c r="T229" t="s">
        <v>233</v>
      </c>
      <c r="U229" s="9" t="s">
        <v>147</v>
      </c>
      <c r="V229" s="9"/>
      <c r="W229" s="19" t="s">
        <v>218</v>
      </c>
      <c r="X229" s="9">
        <v>69</v>
      </c>
      <c r="Y229" s="9">
        <v>1</v>
      </c>
      <c r="Z229" s="9">
        <v>15</v>
      </c>
      <c r="AA229" s="9" t="str">
        <f>IF(Tabla152[[#This Row],[NOTA]]=15,"CUMPLE","NO CUMPLE")</f>
        <v>CUMPLE</v>
      </c>
      <c r="AB229" s="9" t="str">
        <f>IF(COUNTIF($A$10:A229,A229)=1,IF(COUNTIFS($A:$A,A229,$AA:$AA,"NO CUMPLE")&gt;0,"NO CUMPLE","CUMPLE"),"")</f>
        <v>NO CUMPLE</v>
      </c>
      <c r="AC229" s="9" t="s">
        <v>140</v>
      </c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18"/>
      <c r="BX229" s="18">
        <f>IF($X229="","",AE229/$X$10)</f>
        <v>0</v>
      </c>
      <c r="BY229" s="18">
        <f>IF($X229="","",AF229/$X$10)</f>
        <v>0</v>
      </c>
      <c r="BZ229" s="18">
        <f>IF($X229="","",AG229/$X$10)</f>
        <v>0</v>
      </c>
      <c r="CA229" s="18">
        <f>IF($X229="","",AH229/$X$10)</f>
        <v>0</v>
      </c>
      <c r="CB229" s="18">
        <f t="shared" si="23"/>
        <v>0</v>
      </c>
      <c r="CC229" s="18">
        <f>IF($X229="","",AJ229/$X$10)</f>
        <v>0</v>
      </c>
      <c r="CD229" s="18">
        <f>IF($X229="","",AK229/$X$10)</f>
        <v>0</v>
      </c>
      <c r="CE229" s="18">
        <f>IF($X229="","",AL229/$X$10)</f>
        <v>0</v>
      </c>
      <c r="CF229" s="18">
        <f>IF($X229="","",AM229/$X$10)</f>
        <v>0</v>
      </c>
      <c r="CG229" s="18">
        <f>IF($X229="","",AN229/$X$10)</f>
        <v>0</v>
      </c>
      <c r="CH229" s="18">
        <f>IF($X229="","",AO229/$X$10)</f>
        <v>0</v>
      </c>
      <c r="CI229" s="18">
        <f>IF($X229="","",AP229/$X$10)</f>
        <v>0</v>
      </c>
      <c r="CJ229" s="18">
        <f>IF($X229="","",AQ229/$X$10)</f>
        <v>0</v>
      </c>
      <c r="CK229" s="18">
        <f>IF($X229="","",AR229/$X$10)</f>
        <v>0</v>
      </c>
      <c r="CL229" s="18">
        <f>IF($X229="","",AS229/$X$10)</f>
        <v>0</v>
      </c>
      <c r="CM229" s="18">
        <f>IF($X229="","",AT229/$X$10)</f>
        <v>0</v>
      </c>
      <c r="CN229" s="18">
        <f>IF($X229="","",AU229/$X$10)</f>
        <v>0</v>
      </c>
      <c r="CO229" s="18">
        <f>IF($X229="","",AV229/$X$10)</f>
        <v>0</v>
      </c>
      <c r="CP229" s="18">
        <f>IF($X229="","",AW229/$X$10)</f>
        <v>0</v>
      </c>
      <c r="CQ229" s="18">
        <f>IF($X229="","",AX229/$X$10)</f>
        <v>0</v>
      </c>
      <c r="CR229" s="18">
        <f>IF($X229="","",AY229/$X$10)</f>
        <v>0</v>
      </c>
      <c r="CS229" s="18">
        <f>IF($X229="","",AZ229/$X$10)</f>
        <v>0</v>
      </c>
      <c r="CT229" s="18">
        <f>IF($X229="","",BA229/$X$10)</f>
        <v>0</v>
      </c>
      <c r="CU229" s="18">
        <f>IF($X229="","",BB229/$X$10)</f>
        <v>0</v>
      </c>
      <c r="CV229" s="18">
        <f>IF($X229="","",BC229/$X$10)</f>
        <v>0</v>
      </c>
      <c r="CW229" s="18">
        <f>IF($X229="","",BD229/$X$10)</f>
        <v>0</v>
      </c>
      <c r="CX229" s="18">
        <f>IF($X229="","",BE229/$X$10)</f>
        <v>0</v>
      </c>
      <c r="CY229" s="18">
        <f>IF($X229="","",BF229/$X$10)</f>
        <v>0</v>
      </c>
      <c r="CZ229" s="18">
        <f>IF($X229="","",BG229/$X$10)</f>
        <v>0</v>
      </c>
      <c r="DA229" s="18">
        <f>IF($X229="","",BH229/$X$10)</f>
        <v>0</v>
      </c>
      <c r="DB229" s="18">
        <f>IF($X229="","",BI229/$X$10)</f>
        <v>0</v>
      </c>
      <c r="DC229" s="18">
        <f>IF($X229="","",BJ229/$X$10)</f>
        <v>0</v>
      </c>
      <c r="DD229" s="18">
        <f>IF($X229="","",BK229/$X$10)</f>
        <v>0</v>
      </c>
      <c r="DE229" s="18">
        <f>IF($X229="","",BL229/$X$10)</f>
        <v>0</v>
      </c>
      <c r="DF229" s="18">
        <f>IF($X229="","",BM229/$X$10)</f>
        <v>0</v>
      </c>
      <c r="DG229" s="18">
        <f t="shared" si="24"/>
        <v>0</v>
      </c>
      <c r="DH229" s="18">
        <f>IF($X229="","",BO229/$X$10)</f>
        <v>0</v>
      </c>
      <c r="DI229" s="18">
        <f>IF($X229="","",BP229/$X$10)</f>
        <v>0</v>
      </c>
      <c r="DJ229" s="18">
        <f>IF($X229="","",BQ229/$X$10)</f>
        <v>0</v>
      </c>
      <c r="DK229" s="18">
        <f>IF($X229="","",BR229/$X$10)</f>
        <v>0</v>
      </c>
      <c r="DL229" s="18">
        <f>IF($X229="","",BS229/$X$10)</f>
        <v>0</v>
      </c>
      <c r="DM229" s="18">
        <f>IF($X229="","",BT229/$X$10)</f>
        <v>0</v>
      </c>
      <c r="DN229" s="18">
        <f t="shared" si="20"/>
        <v>0</v>
      </c>
      <c r="DO229" s="16">
        <f>IF($X229="","",SUM(Tabla152[[#This Row],[PODRIDO]],Tabla152[[#This Row],[HONGO]],Tabla152[[#This Row],[PICADO DE AVE CON PUDRICIÓN]],Tabla152[[#This Row],[FUMAGINA]])/$X$10)</f>
        <v>0</v>
      </c>
      <c r="DP229" s="16">
        <f>IF($X229="","",SUM(Tabla152[[#This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29" s="16">
        <f>IF($X229="","",SUM(Tabla152[[#This Row],[BLANDO]:[COLAPSADO]])/$X$10)</f>
        <v>0</v>
      </c>
      <c r="DR229" s="16">
        <f>IF($X229="","",SUM(Tabla152[[#This Row],[DESHIDRATADO LEVE]:[DESHIDRATADO INMADURO]])/$X$10)</f>
        <v>0</v>
      </c>
      <c r="DS229" s="18">
        <f t="shared" si="21"/>
        <v>0</v>
      </c>
      <c r="DT229" s="16">
        <f>IF($X229="","",SUM(Tabla152[[#This Row],[PRESENCIA DE LARVA]],Tabla152[[#This Row],[CHANCHITO BLANCO]])/$X$10)</f>
        <v>0</v>
      </c>
      <c r="DU229" s="18">
        <f>IF($X229="","",SUM(Tabla152[[#This Row],[ROJO GRADO 2 A MÁS]],Tabla152[[#This Row],[IMMADURO VERDE]],Tabla152[[#This Row],[DESORDEN POR MADURACIÓN]],Tabla152[[#This Row],[ARO PEDICELAR VERDE EXTREMO]])/$X$10)</f>
        <v>0</v>
      </c>
      <c r="DV229" s="16">
        <f>IF($X229="","",SUM(Tabla152[[#This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29" s="16">
        <f t="shared" si="22"/>
        <v>0</v>
      </c>
      <c r="DX229" s="16">
        <f>IF($X229="","",AJ229/$X$10)</f>
        <v>0</v>
      </c>
      <c r="DY229" s="16">
        <f>IF($X229="","",SUM(Tabla152[[#This Row],[PRESENCIA DE COROLA]],Tabla152[[#This Row],[PRESENCIA DE RESTO FLORAL VERDE]],Tabla152[[#This Row],[PRESENCIA DE PEDÚNCULO]])/$X$10)</f>
        <v>0</v>
      </c>
      <c r="DZ229" s="16">
        <f>IF($X229="","",SUM(Tabla152[[#This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30" spans="1:130" x14ac:dyDescent="0.3">
      <c r="A230" s="9">
        <f>IF(W230="","",IF(ROW()=10,1,IF(W230=W229,A229,MAX($A$9:A229)+1)))</f>
        <v>73</v>
      </c>
      <c r="B230" s="9">
        <f>WEEKNUM(Tabla152[[#This Row],[FECHA DE COSECHA]],21)</f>
        <v>36</v>
      </c>
      <c r="C230" s="9"/>
      <c r="D230" s="17">
        <v>46268</v>
      </c>
      <c r="E230" s="17">
        <v>46268</v>
      </c>
      <c r="F230" s="9">
        <v>1</v>
      </c>
      <c r="G230" s="9" t="s">
        <v>77</v>
      </c>
      <c r="H230" s="9" t="s">
        <v>144</v>
      </c>
      <c r="I230" s="9" t="s">
        <v>134</v>
      </c>
      <c r="J230" s="9" t="s">
        <v>78</v>
      </c>
      <c r="K230" s="9" t="s">
        <v>153</v>
      </c>
      <c r="L230" s="9" t="s">
        <v>131</v>
      </c>
      <c r="M230" s="9" t="s">
        <v>239</v>
      </c>
      <c r="N230" s="9" t="s">
        <v>136</v>
      </c>
      <c r="O230" s="9" t="s">
        <v>244</v>
      </c>
      <c r="P230" s="9" t="s">
        <v>152</v>
      </c>
      <c r="Q230" s="9"/>
      <c r="R230" s="9">
        <v>8</v>
      </c>
      <c r="S230" s="9">
        <v>78114711</v>
      </c>
      <c r="T230" t="s">
        <v>233</v>
      </c>
      <c r="U230" s="9" t="s">
        <v>147</v>
      </c>
      <c r="V230" s="9"/>
      <c r="W230" s="19" t="s">
        <v>218</v>
      </c>
      <c r="X230" s="9">
        <v>69</v>
      </c>
      <c r="Y230" s="9">
        <v>2</v>
      </c>
      <c r="Z230" s="9">
        <v>15</v>
      </c>
      <c r="AA230" s="9" t="str">
        <f>IF(Tabla152[[#This Row],[NOTA]]=15,"CUMPLE","NO CUMPLE")</f>
        <v>CUMPLE</v>
      </c>
      <c r="AB230" s="9" t="str">
        <f>IF(COUNTIF($A$10:A230,A230)=1,IF(COUNTIFS($A:$A,A230,$AA:$AA,"NO CUMPLE")&gt;0,"NO CUMPLE","CUMPLE"),"")</f>
        <v/>
      </c>
      <c r="AC230" s="9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18"/>
      <c r="BX230" s="18">
        <f>IF($X230="","",AE230/$X$10)</f>
        <v>0</v>
      </c>
      <c r="BY230" s="18">
        <f>IF($X230="","",AF230/$X$10)</f>
        <v>0</v>
      </c>
      <c r="BZ230" s="18">
        <f>IF($X230="","",AG230/$X$10)</f>
        <v>0</v>
      </c>
      <c r="CA230" s="18">
        <f>IF($X230="","",AH230/$X$10)</f>
        <v>0</v>
      </c>
      <c r="CB230" s="18">
        <f t="shared" si="23"/>
        <v>0</v>
      </c>
      <c r="CC230" s="18">
        <f>IF($X230="","",AJ230/$X$10)</f>
        <v>0</v>
      </c>
      <c r="CD230" s="18">
        <f>IF($X230="","",AK230/$X$10)</f>
        <v>0</v>
      </c>
      <c r="CE230" s="18">
        <f>IF($X230="","",AL230/$X$10)</f>
        <v>0</v>
      </c>
      <c r="CF230" s="18">
        <f>IF($X230="","",AM230/$X$10)</f>
        <v>0</v>
      </c>
      <c r="CG230" s="18">
        <f>IF($X230="","",AN230/$X$10)</f>
        <v>0</v>
      </c>
      <c r="CH230" s="18">
        <f>IF($X230="","",AO230/$X$10)</f>
        <v>0</v>
      </c>
      <c r="CI230" s="18">
        <f>IF($X230="","",AP230/$X$10)</f>
        <v>0</v>
      </c>
      <c r="CJ230" s="18">
        <f>IF($X230="","",AQ230/$X$10)</f>
        <v>0</v>
      </c>
      <c r="CK230" s="18">
        <f>IF($X230="","",AR230/$X$10)</f>
        <v>0</v>
      </c>
      <c r="CL230" s="18">
        <f>IF($X230="","",AS230/$X$10)</f>
        <v>0</v>
      </c>
      <c r="CM230" s="18">
        <f>IF($X230="","",AT230/$X$10)</f>
        <v>0</v>
      </c>
      <c r="CN230" s="18">
        <f>IF($X230="","",AU230/$X$10)</f>
        <v>0</v>
      </c>
      <c r="CO230" s="18">
        <f>IF($X230="","",AV230/$X$10)</f>
        <v>0</v>
      </c>
      <c r="CP230" s="18">
        <f>IF($X230="","",AW230/$X$10)</f>
        <v>0</v>
      </c>
      <c r="CQ230" s="18">
        <f>IF($X230="","",AX230/$X$10)</f>
        <v>0</v>
      </c>
      <c r="CR230" s="18">
        <f>IF($X230="","",AY230/$X$10)</f>
        <v>0</v>
      </c>
      <c r="CS230" s="18">
        <f>IF($X230="","",AZ230/$X$10)</f>
        <v>0</v>
      </c>
      <c r="CT230" s="18">
        <f>IF($X230="","",BA230/$X$10)</f>
        <v>0</v>
      </c>
      <c r="CU230" s="18">
        <f>IF($X230="","",BB230/$X$10)</f>
        <v>0</v>
      </c>
      <c r="CV230" s="18">
        <f>IF($X230="","",BC230/$X$10)</f>
        <v>0</v>
      </c>
      <c r="CW230" s="18">
        <f>IF($X230="","",BD230/$X$10)</f>
        <v>0</v>
      </c>
      <c r="CX230" s="18">
        <f>IF($X230="","",BE230/$X$10)</f>
        <v>0</v>
      </c>
      <c r="CY230" s="18">
        <f>IF($X230="","",BF230/$X$10)</f>
        <v>0</v>
      </c>
      <c r="CZ230" s="18">
        <f>IF($X230="","",BG230/$X$10)</f>
        <v>0</v>
      </c>
      <c r="DA230" s="18">
        <f>IF($X230="","",BH230/$X$10)</f>
        <v>0</v>
      </c>
      <c r="DB230" s="18">
        <f>IF($X230="","",BI230/$X$10)</f>
        <v>0</v>
      </c>
      <c r="DC230" s="18">
        <f>IF($X230="","",BJ230/$X$10)</f>
        <v>0</v>
      </c>
      <c r="DD230" s="18">
        <f>IF($X230="","",BK230/$X$10)</f>
        <v>0</v>
      </c>
      <c r="DE230" s="18">
        <f>IF($X230="","",BL230/$X$10)</f>
        <v>0</v>
      </c>
      <c r="DF230" s="18">
        <f>IF($X230="","",BM230/$X$10)</f>
        <v>0</v>
      </c>
      <c r="DG230" s="18">
        <f t="shared" si="24"/>
        <v>0</v>
      </c>
      <c r="DH230" s="18">
        <f>IF($X230="","",BO230/$X$10)</f>
        <v>0</v>
      </c>
      <c r="DI230" s="18">
        <f>IF($X230="","",BP230/$X$10)</f>
        <v>0</v>
      </c>
      <c r="DJ230" s="18">
        <f>IF($X230="","",BQ230/$X$10)</f>
        <v>0</v>
      </c>
      <c r="DK230" s="18">
        <f>IF($X230="","",BR230/$X$10)</f>
        <v>0</v>
      </c>
      <c r="DL230" s="18">
        <f>IF($X230="","",BS230/$X$10)</f>
        <v>0</v>
      </c>
      <c r="DM230" s="18">
        <f>IF($X230="","",BT230/$X$10)</f>
        <v>0</v>
      </c>
      <c r="DN230" s="18">
        <f t="shared" si="20"/>
        <v>0</v>
      </c>
      <c r="DO230" s="16">
        <f>IF($X230="","",SUM(Tabla152[[#This Row],[PODRIDO]],Tabla152[[#This Row],[HONGO]],Tabla152[[#This Row],[PICADO DE AVE CON PUDRICIÓN]],Tabla152[[#This Row],[FUMAGINA]])/$X$10)</f>
        <v>0</v>
      </c>
      <c r="DP230" s="16">
        <f>IF($X230="","",SUM(Tabla152[[#This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30" s="16">
        <f>IF($X230="","",SUM(Tabla152[[#This Row],[BLANDO]:[COLAPSADO]])/$X$10)</f>
        <v>0</v>
      </c>
      <c r="DR230" s="16">
        <f>IF($X230="","",SUM(Tabla152[[#This Row],[DESHIDRATADO LEVE]:[DESHIDRATADO INMADURO]])/$X$10)</f>
        <v>0</v>
      </c>
      <c r="DS230" s="18">
        <f t="shared" si="21"/>
        <v>0</v>
      </c>
      <c r="DT230" s="16">
        <f>IF($X230="","",SUM(Tabla152[[#This Row],[PRESENCIA DE LARVA]],Tabla152[[#This Row],[CHANCHITO BLANCO]])/$X$10)</f>
        <v>0</v>
      </c>
      <c r="DU230" s="18">
        <f>IF($X230="","",SUM(Tabla152[[#This Row],[ROJO GRADO 2 A MÁS]],Tabla152[[#This Row],[IMMADURO VERDE]],Tabla152[[#This Row],[DESORDEN POR MADURACIÓN]],Tabla152[[#This Row],[ARO PEDICELAR VERDE EXTREMO]])/$X$10)</f>
        <v>0</v>
      </c>
      <c r="DV230" s="16">
        <f>IF($X230="","",SUM(Tabla152[[#This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30" s="16">
        <f t="shared" si="22"/>
        <v>0</v>
      </c>
      <c r="DX230" s="16">
        <f>IF($X230="","",AJ230/$X$10)</f>
        <v>0</v>
      </c>
      <c r="DY230" s="16">
        <f>IF($X230="","",SUM(Tabla152[[#This Row],[PRESENCIA DE COROLA]],Tabla152[[#This Row],[PRESENCIA DE RESTO FLORAL VERDE]],Tabla152[[#This Row],[PRESENCIA DE PEDÚNCULO]])/$X$10)</f>
        <v>0</v>
      </c>
      <c r="DZ230" s="16">
        <f>IF($X230="","",SUM(Tabla152[[#This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31" spans="1:130" x14ac:dyDescent="0.3">
      <c r="A231" s="9">
        <f>IF(W231="","",IF(ROW()=10,1,IF(W231=W230,A230,MAX($A$9:A230)+1)))</f>
        <v>73</v>
      </c>
      <c r="B231" s="9">
        <f>WEEKNUM(Tabla152[[#This Row],[FECHA DE COSECHA]],21)</f>
        <v>36</v>
      </c>
      <c r="C231" s="9"/>
      <c r="D231" s="17">
        <v>46268</v>
      </c>
      <c r="E231" s="17">
        <v>46268</v>
      </c>
      <c r="F231" s="9">
        <v>1</v>
      </c>
      <c r="G231" s="9" t="s">
        <v>77</v>
      </c>
      <c r="H231" s="9" t="s">
        <v>144</v>
      </c>
      <c r="I231" s="9" t="s">
        <v>134</v>
      </c>
      <c r="J231" s="9" t="s">
        <v>78</v>
      </c>
      <c r="K231" s="9" t="s">
        <v>153</v>
      </c>
      <c r="L231" s="9" t="s">
        <v>131</v>
      </c>
      <c r="M231" s="9" t="s">
        <v>239</v>
      </c>
      <c r="N231" s="9" t="s">
        <v>136</v>
      </c>
      <c r="O231" s="9" t="s">
        <v>244</v>
      </c>
      <c r="P231" s="9" t="s">
        <v>152</v>
      </c>
      <c r="Q231" s="9"/>
      <c r="R231" s="9">
        <v>8</v>
      </c>
      <c r="S231" s="9">
        <v>78114711</v>
      </c>
      <c r="T231" t="s">
        <v>233</v>
      </c>
      <c r="U231" s="9" t="s">
        <v>147</v>
      </c>
      <c r="V231" s="9"/>
      <c r="W231" s="19" t="s">
        <v>218</v>
      </c>
      <c r="X231" s="9">
        <v>69</v>
      </c>
      <c r="Y231" s="9">
        <v>3</v>
      </c>
      <c r="Z231" s="9">
        <v>5</v>
      </c>
      <c r="AA231" s="9" t="str">
        <f>IF(Tabla152[[#This Row],[NOTA]]=15,"CUMPLE","NO CUMPLE")</f>
        <v>NO CUMPLE</v>
      </c>
      <c r="AB231" s="9" t="str">
        <f>IF(COUNTIF($A$10:A231,A231)=1,IF(COUNTIFS($A:$A,A231,$AA:$AA,"NO CUMPLE")&gt;0,"NO CUMPLE","CUMPLE"),"")</f>
        <v/>
      </c>
      <c r="AC231" s="9"/>
      <c r="AD231" s="8"/>
      <c r="AE231" s="8">
        <v>2</v>
      </c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18"/>
      <c r="BX231" s="18">
        <f>IF($X231="","",AE231/$X$10)</f>
        <v>3.1746031746031744E-2</v>
      </c>
      <c r="BY231" s="18">
        <f>IF($X231="","",AF231/$X$10)</f>
        <v>0</v>
      </c>
      <c r="BZ231" s="18">
        <f>IF($X231="","",AG231/$X$10)</f>
        <v>0</v>
      </c>
      <c r="CA231" s="18">
        <f>IF($X231="","",AH231/$X$10)</f>
        <v>0</v>
      </c>
      <c r="CB231" s="18">
        <f t="shared" si="23"/>
        <v>0</v>
      </c>
      <c r="CC231" s="18">
        <f>IF($X231="","",AJ231/$X$10)</f>
        <v>0</v>
      </c>
      <c r="CD231" s="18">
        <f>IF($X231="","",AK231/$X$10)</f>
        <v>0</v>
      </c>
      <c r="CE231" s="18">
        <f>IF($X231="","",AL231/$X$10)</f>
        <v>0</v>
      </c>
      <c r="CF231" s="18">
        <f>IF($X231="","",AM231/$X$10)</f>
        <v>0</v>
      </c>
      <c r="CG231" s="18">
        <f>IF($X231="","",AN231/$X$10)</f>
        <v>0</v>
      </c>
      <c r="CH231" s="18">
        <f>IF($X231="","",AO231/$X$10)</f>
        <v>0</v>
      </c>
      <c r="CI231" s="18">
        <f>IF($X231="","",AP231/$X$10)</f>
        <v>0</v>
      </c>
      <c r="CJ231" s="18">
        <f>IF($X231="","",AQ231/$X$10)</f>
        <v>0</v>
      </c>
      <c r="CK231" s="18">
        <f>IF($X231="","",AR231/$X$10)</f>
        <v>0</v>
      </c>
      <c r="CL231" s="18">
        <f>IF($X231="","",AS231/$X$10)</f>
        <v>0</v>
      </c>
      <c r="CM231" s="18">
        <f>IF($X231="","",AT231/$X$10)</f>
        <v>0</v>
      </c>
      <c r="CN231" s="18">
        <f>IF($X231="","",AU231/$X$10)</f>
        <v>0</v>
      </c>
      <c r="CO231" s="18">
        <f>IF($X231="","",AV231/$X$10)</f>
        <v>0</v>
      </c>
      <c r="CP231" s="18">
        <f>IF($X231="","",AW231/$X$10)</f>
        <v>0</v>
      </c>
      <c r="CQ231" s="18">
        <f>IF($X231="","",AX231/$X$10)</f>
        <v>0</v>
      </c>
      <c r="CR231" s="18">
        <f>IF($X231="","",AY231/$X$10)</f>
        <v>0</v>
      </c>
      <c r="CS231" s="18">
        <f>IF($X231="","",AZ231/$X$10)</f>
        <v>0</v>
      </c>
      <c r="CT231" s="18">
        <f>IF($X231="","",BA231/$X$10)</f>
        <v>0</v>
      </c>
      <c r="CU231" s="18">
        <f>IF($X231="","",BB231/$X$10)</f>
        <v>0</v>
      </c>
      <c r="CV231" s="18">
        <f>IF($X231="","",BC231/$X$10)</f>
        <v>0</v>
      </c>
      <c r="CW231" s="18">
        <f>IF($X231="","",BD231/$X$10)</f>
        <v>0</v>
      </c>
      <c r="CX231" s="18">
        <f>IF($X231="","",BE231/$X$10)</f>
        <v>0</v>
      </c>
      <c r="CY231" s="18">
        <f>IF($X231="","",BF231/$X$10)</f>
        <v>0</v>
      </c>
      <c r="CZ231" s="18">
        <f>IF($X231="","",BG231/$X$10)</f>
        <v>0</v>
      </c>
      <c r="DA231" s="18">
        <f>IF($X231="","",BH231/$X$10)</f>
        <v>0</v>
      </c>
      <c r="DB231" s="18">
        <f>IF($X231="","",BI231/$X$10)</f>
        <v>0</v>
      </c>
      <c r="DC231" s="18">
        <f>IF($X231="","",BJ231/$X$10)</f>
        <v>0</v>
      </c>
      <c r="DD231" s="18">
        <f>IF($X231="","",BK231/$X$10)</f>
        <v>0</v>
      </c>
      <c r="DE231" s="18">
        <f>IF($X231="","",BL231/$X$10)</f>
        <v>0</v>
      </c>
      <c r="DF231" s="18">
        <f>IF($X231="","",BM231/$X$10)</f>
        <v>0</v>
      </c>
      <c r="DG231" s="18">
        <f t="shared" si="24"/>
        <v>0</v>
      </c>
      <c r="DH231" s="18">
        <f>IF($X231="","",BO231/$X$10)</f>
        <v>0</v>
      </c>
      <c r="DI231" s="18">
        <f>IF($X231="","",BP231/$X$10)</f>
        <v>0</v>
      </c>
      <c r="DJ231" s="18">
        <f>IF($X231="","",BQ231/$X$10)</f>
        <v>0</v>
      </c>
      <c r="DK231" s="18">
        <f>IF($X231="","",BR231/$X$10)</f>
        <v>0</v>
      </c>
      <c r="DL231" s="18">
        <f>IF($X231="","",BS231/$X$10)</f>
        <v>0</v>
      </c>
      <c r="DM231" s="18">
        <f>IF($X231="","",BT231/$X$10)</f>
        <v>0</v>
      </c>
      <c r="DN231" s="18">
        <f t="shared" si="20"/>
        <v>0</v>
      </c>
      <c r="DO231" s="16">
        <f>IF($X231="","",SUM(Tabla152[[#This Row],[PODRIDO]],Tabla152[[#This Row],[HONGO]],Tabla152[[#This Row],[PICADO DE AVE CON PUDRICIÓN]],Tabla152[[#This Row],[FUMAGINA]])/$X$10)</f>
        <v>0</v>
      </c>
      <c r="DP231" s="16">
        <f>IF($X231="","",SUM(Tabla152[[#This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31" s="16">
        <f>IF($X231="","",SUM(Tabla152[[#This Row],[BLANDO]:[COLAPSADO]])/$X$10)</f>
        <v>0</v>
      </c>
      <c r="DR231" s="16">
        <f>IF($X231="","",SUM(Tabla152[[#This Row],[DESHIDRATADO LEVE]:[DESHIDRATADO INMADURO]])/$X$10)</f>
        <v>0</v>
      </c>
      <c r="DS231" s="18">
        <f t="shared" si="21"/>
        <v>0</v>
      </c>
      <c r="DT231" s="16">
        <f>IF($X231="","",SUM(Tabla152[[#This Row],[PRESENCIA DE LARVA]],Tabla152[[#This Row],[CHANCHITO BLANCO]])/$X$10)</f>
        <v>0</v>
      </c>
      <c r="DU231" s="18">
        <f>IF($X231="","",SUM(Tabla152[[#This Row],[ROJO GRADO 2 A MÁS]],Tabla152[[#This Row],[IMMADURO VERDE]],Tabla152[[#This Row],[DESORDEN POR MADURACIÓN]],Tabla152[[#This Row],[ARO PEDICELAR VERDE EXTREMO]])/$X$10)</f>
        <v>0</v>
      </c>
      <c r="DV231" s="16">
        <f>IF($X231="","",SUM(Tabla152[[#This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31" s="16">
        <f t="shared" si="22"/>
        <v>0</v>
      </c>
      <c r="DX231" s="16">
        <f>IF($X231="","",AJ231/$X$10)</f>
        <v>0</v>
      </c>
      <c r="DY231" s="16">
        <f>IF($X231="","",SUM(Tabla152[[#This Row],[PRESENCIA DE COROLA]],Tabla152[[#This Row],[PRESENCIA DE RESTO FLORAL VERDE]],Tabla152[[#This Row],[PRESENCIA DE PEDÚNCULO]])/$X$10)</f>
        <v>3.1746031746031744E-2</v>
      </c>
      <c r="DZ231" s="16">
        <f>IF($X231="","",SUM(Tabla152[[#This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32" spans="1:130" x14ac:dyDescent="0.3">
      <c r="A232" s="9">
        <f>IF(W232="","",IF(ROW()=10,1,IF(W232=W231,A231,MAX($A$9:A231)+1)))</f>
        <v>74</v>
      </c>
      <c r="B232" s="9">
        <f>WEEKNUM(Tabla152[[#This Row],[FECHA DE COSECHA]],21)</f>
        <v>36</v>
      </c>
      <c r="C232" s="9"/>
      <c r="D232" s="17">
        <v>46268</v>
      </c>
      <c r="E232" s="17">
        <v>46268</v>
      </c>
      <c r="F232" s="9">
        <v>1</v>
      </c>
      <c r="G232" s="9" t="s">
        <v>77</v>
      </c>
      <c r="H232" s="9" t="s">
        <v>144</v>
      </c>
      <c r="I232" s="9" t="s">
        <v>134</v>
      </c>
      <c r="J232" s="9" t="s">
        <v>78</v>
      </c>
      <c r="K232" s="9" t="s">
        <v>153</v>
      </c>
      <c r="L232" s="9" t="s">
        <v>131</v>
      </c>
      <c r="M232" s="9" t="s">
        <v>239</v>
      </c>
      <c r="N232" s="9" t="s">
        <v>136</v>
      </c>
      <c r="O232" s="9" t="s">
        <v>244</v>
      </c>
      <c r="P232" s="9" t="s">
        <v>152</v>
      </c>
      <c r="Q232" s="9"/>
      <c r="R232" s="9">
        <v>8</v>
      </c>
      <c r="S232" s="9">
        <v>78114711</v>
      </c>
      <c r="T232" t="s">
        <v>233</v>
      </c>
      <c r="U232" s="9" t="s">
        <v>147</v>
      </c>
      <c r="V232" s="9"/>
      <c r="W232" s="19" t="s">
        <v>219</v>
      </c>
      <c r="X232" s="9">
        <v>69</v>
      </c>
      <c r="Y232" s="9">
        <v>1</v>
      </c>
      <c r="Z232" s="9">
        <v>5</v>
      </c>
      <c r="AA232" s="9" t="str">
        <f>IF(Tabla152[[#This Row],[NOTA]]=15,"CUMPLE","NO CUMPLE")</f>
        <v>NO CUMPLE</v>
      </c>
      <c r="AB232" s="9" t="str">
        <f>IF(COUNTIF($A$10:A232,A232)=1,IF(COUNTIFS($A:$A,A232,$AA:$AA,"NO CUMPLE")&gt;0,"NO CUMPLE","CUMPLE"),"")</f>
        <v>NO CUMPLE</v>
      </c>
      <c r="AC232" s="9" t="s">
        <v>140</v>
      </c>
      <c r="AD232" s="8">
        <v>1</v>
      </c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18"/>
      <c r="BX232" s="18">
        <f>IF($X232="","",AE232/$X$10)</f>
        <v>0</v>
      </c>
      <c r="BY232" s="18">
        <f>IF($X232="","",AF232/$X$10)</f>
        <v>0</v>
      </c>
      <c r="BZ232" s="18">
        <f>IF($X232="","",AG232/$X$10)</f>
        <v>0</v>
      </c>
      <c r="CA232" s="18">
        <f>IF($X232="","",AH232/$X$10)</f>
        <v>0</v>
      </c>
      <c r="CB232" s="18">
        <f t="shared" si="23"/>
        <v>0</v>
      </c>
      <c r="CC232" s="18">
        <f>IF($X232="","",AJ232/$X$10)</f>
        <v>0</v>
      </c>
      <c r="CD232" s="18">
        <f>IF($X232="","",AK232/$X$10)</f>
        <v>0</v>
      </c>
      <c r="CE232" s="18">
        <f>IF($X232="","",AL232/$X$10)</f>
        <v>0</v>
      </c>
      <c r="CF232" s="18">
        <f>IF($X232="","",AM232/$X$10)</f>
        <v>0</v>
      </c>
      <c r="CG232" s="18">
        <f>IF($X232="","",AN232/$X$10)</f>
        <v>0</v>
      </c>
      <c r="CH232" s="18">
        <f>IF($X232="","",AO232/$X$10)</f>
        <v>0</v>
      </c>
      <c r="CI232" s="18">
        <f>IF($X232="","",AP232/$X$10)</f>
        <v>0</v>
      </c>
      <c r="CJ232" s="18">
        <f>IF($X232="","",AQ232/$X$10)</f>
        <v>0</v>
      </c>
      <c r="CK232" s="18">
        <f>IF($X232="","",AR232/$X$10)</f>
        <v>0</v>
      </c>
      <c r="CL232" s="18">
        <f>IF($X232="","",AS232/$X$10)</f>
        <v>0</v>
      </c>
      <c r="CM232" s="18">
        <f>IF($X232="","",AT232/$X$10)</f>
        <v>0</v>
      </c>
      <c r="CN232" s="18">
        <f>IF($X232="","",AU232/$X$10)</f>
        <v>0</v>
      </c>
      <c r="CO232" s="18">
        <f>IF($X232="","",AV232/$X$10)</f>
        <v>0</v>
      </c>
      <c r="CP232" s="18">
        <f>IF($X232="","",AW232/$X$10)</f>
        <v>0</v>
      </c>
      <c r="CQ232" s="18">
        <f>IF($X232="","",AX232/$X$10)</f>
        <v>0</v>
      </c>
      <c r="CR232" s="18">
        <f>IF($X232="","",AY232/$X$10)</f>
        <v>0</v>
      </c>
      <c r="CS232" s="18">
        <f>IF($X232="","",AZ232/$X$10)</f>
        <v>0</v>
      </c>
      <c r="CT232" s="18">
        <f>IF($X232="","",BA232/$X$10)</f>
        <v>0</v>
      </c>
      <c r="CU232" s="18">
        <f>IF($X232="","",BB232/$X$10)</f>
        <v>0</v>
      </c>
      <c r="CV232" s="18">
        <f>IF($X232="","",BC232/$X$10)</f>
        <v>0</v>
      </c>
      <c r="CW232" s="18">
        <f>IF($X232="","",BD232/$X$10)</f>
        <v>0</v>
      </c>
      <c r="CX232" s="18">
        <f>IF($X232="","",BE232/$X$10)</f>
        <v>0</v>
      </c>
      <c r="CY232" s="18">
        <f>IF($X232="","",BF232/$X$10)</f>
        <v>0</v>
      </c>
      <c r="CZ232" s="18">
        <f>IF($X232="","",BG232/$X$10)</f>
        <v>0</v>
      </c>
      <c r="DA232" s="18">
        <f>IF($X232="","",BH232/$X$10)</f>
        <v>0</v>
      </c>
      <c r="DB232" s="18">
        <f>IF($X232="","",BI232/$X$10)</f>
        <v>0</v>
      </c>
      <c r="DC232" s="18">
        <f>IF($X232="","",BJ232/$X$10)</f>
        <v>0</v>
      </c>
      <c r="DD232" s="18">
        <f>IF($X232="","",BK232/$X$10)</f>
        <v>0</v>
      </c>
      <c r="DE232" s="18">
        <f>IF($X232="","",BL232/$X$10)</f>
        <v>0</v>
      </c>
      <c r="DF232" s="18">
        <f>IF($X232="","",BM232/$X$10)</f>
        <v>0</v>
      </c>
      <c r="DG232" s="18">
        <f t="shared" si="24"/>
        <v>0</v>
      </c>
      <c r="DH232" s="18">
        <f>IF($X232="","",BO232/$X$10)</f>
        <v>0</v>
      </c>
      <c r="DI232" s="18">
        <f>IF($X232="","",BP232/$X$10)</f>
        <v>0</v>
      </c>
      <c r="DJ232" s="18">
        <f>IF($X232="","",BQ232/$X$10)</f>
        <v>0</v>
      </c>
      <c r="DK232" s="18">
        <f>IF($X232="","",BR232/$X$10)</f>
        <v>0</v>
      </c>
      <c r="DL232" s="18">
        <f>IF($X232="","",BS232/$X$10)</f>
        <v>0</v>
      </c>
      <c r="DM232" s="18">
        <f>IF($X232="","",BT232/$X$10)</f>
        <v>0</v>
      </c>
      <c r="DN232" s="18">
        <f t="shared" si="20"/>
        <v>0</v>
      </c>
      <c r="DO232" s="16">
        <f>IF($X232="","",SUM(Tabla152[[#This Row],[PODRIDO]],Tabla152[[#This Row],[HONGO]],Tabla152[[#This Row],[PICADO DE AVE CON PUDRICIÓN]],Tabla152[[#This Row],[FUMAGINA]])/$X$10)</f>
        <v>0</v>
      </c>
      <c r="DP232" s="16">
        <f>IF($X232="","",SUM(Tabla152[[#This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32" s="16">
        <f>IF($X232="","",SUM(Tabla152[[#This Row],[BLANDO]:[COLAPSADO]])/$X$10)</f>
        <v>0</v>
      </c>
      <c r="DR232" s="16">
        <f>IF($X232="","",SUM(Tabla152[[#This Row],[DESHIDRATADO LEVE]:[DESHIDRATADO INMADURO]])/$X$10)</f>
        <v>0</v>
      </c>
      <c r="DS232" s="18">
        <f t="shared" si="21"/>
        <v>0</v>
      </c>
      <c r="DT232" s="16">
        <f>IF($X232="","",SUM(Tabla152[[#This Row],[PRESENCIA DE LARVA]],Tabla152[[#This Row],[CHANCHITO BLANCO]])/$X$10)</f>
        <v>0</v>
      </c>
      <c r="DU232" s="18">
        <f>IF($X232="","",SUM(Tabla152[[#This Row],[ROJO GRADO 2 A MÁS]],Tabla152[[#This Row],[IMMADURO VERDE]],Tabla152[[#This Row],[DESORDEN POR MADURACIÓN]],Tabla152[[#This Row],[ARO PEDICELAR VERDE EXTREMO]])/$X$10)</f>
        <v>0</v>
      </c>
      <c r="DV232" s="16">
        <f>IF($X232="","",SUM(Tabla152[[#This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32" s="16">
        <f t="shared" si="22"/>
        <v>0</v>
      </c>
      <c r="DX232" s="16">
        <f>IF($X232="","",AJ232/$X$10)</f>
        <v>0</v>
      </c>
      <c r="DY232" s="16">
        <f>IF($X232="","",SUM(Tabla152[[#This Row],[PRESENCIA DE COROLA]],Tabla152[[#This Row],[PRESENCIA DE RESTO FLORAL VERDE]],Tabla152[[#This Row],[PRESENCIA DE PEDÚNCULO]])/$X$10)</f>
        <v>0</v>
      </c>
      <c r="DZ232" s="16">
        <f>IF($X232="","",SUM(Tabla152[[#This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1.5873015873015872E-2</v>
      </c>
    </row>
    <row r="233" spans="1:130" x14ac:dyDescent="0.3">
      <c r="A233" s="9">
        <f>IF(W233="","",IF(ROW()=10,1,IF(W233=W232,A232,MAX($A$9:A232)+1)))</f>
        <v>74</v>
      </c>
      <c r="B233" s="9">
        <f>WEEKNUM(Tabla152[[#This Row],[FECHA DE COSECHA]],21)</f>
        <v>36</v>
      </c>
      <c r="C233" s="9"/>
      <c r="D233" s="17">
        <v>46268</v>
      </c>
      <c r="E233" s="17">
        <v>46268</v>
      </c>
      <c r="F233" s="9">
        <v>1</v>
      </c>
      <c r="G233" s="9" t="s">
        <v>77</v>
      </c>
      <c r="H233" s="9" t="s">
        <v>144</v>
      </c>
      <c r="I233" s="9" t="s">
        <v>134</v>
      </c>
      <c r="J233" s="9" t="s">
        <v>78</v>
      </c>
      <c r="K233" s="9" t="s">
        <v>153</v>
      </c>
      <c r="L233" s="9" t="s">
        <v>131</v>
      </c>
      <c r="M233" s="9" t="s">
        <v>239</v>
      </c>
      <c r="N233" s="9" t="s">
        <v>136</v>
      </c>
      <c r="O233" s="9" t="s">
        <v>244</v>
      </c>
      <c r="P233" s="9" t="s">
        <v>152</v>
      </c>
      <c r="Q233" s="9"/>
      <c r="R233" s="9">
        <v>8</v>
      </c>
      <c r="S233" s="9">
        <v>78114711</v>
      </c>
      <c r="T233" t="s">
        <v>233</v>
      </c>
      <c r="U233" s="9" t="s">
        <v>147</v>
      </c>
      <c r="V233" s="9"/>
      <c r="W233" s="19" t="s">
        <v>219</v>
      </c>
      <c r="X233" s="9">
        <v>69</v>
      </c>
      <c r="Y233" s="9">
        <v>2</v>
      </c>
      <c r="Z233" s="9">
        <v>15</v>
      </c>
      <c r="AA233" s="9" t="str">
        <f>IF(Tabla152[[#This Row],[NOTA]]=15,"CUMPLE","NO CUMPLE")</f>
        <v>CUMPLE</v>
      </c>
      <c r="AB233" s="9" t="str">
        <f>IF(COUNTIF($A$10:A233,A233)=1,IF(COUNTIFS($A:$A,A233,$AA:$AA,"NO CUMPLE")&gt;0,"NO CUMPLE","CUMPLE"),"")</f>
        <v/>
      </c>
      <c r="AC233" s="9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18"/>
      <c r="BX233" s="18">
        <f>IF($X233="","",AE233/$X$10)</f>
        <v>0</v>
      </c>
      <c r="BY233" s="18">
        <f>IF($X233="","",AF233/$X$10)</f>
        <v>0</v>
      </c>
      <c r="BZ233" s="18">
        <f>IF($X233="","",AG233/$X$10)</f>
        <v>0</v>
      </c>
      <c r="CA233" s="18">
        <f>IF($X233="","",AH233/$X$10)</f>
        <v>0</v>
      </c>
      <c r="CB233" s="18">
        <f t="shared" si="23"/>
        <v>0</v>
      </c>
      <c r="CC233" s="18">
        <f>IF($X233="","",AJ233/$X$10)</f>
        <v>0</v>
      </c>
      <c r="CD233" s="18">
        <f>IF($X233="","",AK233/$X$10)</f>
        <v>0</v>
      </c>
      <c r="CE233" s="18">
        <f>IF($X233="","",AL233/$X$10)</f>
        <v>0</v>
      </c>
      <c r="CF233" s="18">
        <f>IF($X233="","",AM233/$X$10)</f>
        <v>0</v>
      </c>
      <c r="CG233" s="18">
        <f>IF($X233="","",AN233/$X$10)</f>
        <v>0</v>
      </c>
      <c r="CH233" s="18">
        <f>IF($X233="","",AO233/$X$10)</f>
        <v>0</v>
      </c>
      <c r="CI233" s="18">
        <f>IF($X233="","",AP233/$X$10)</f>
        <v>0</v>
      </c>
      <c r="CJ233" s="18">
        <f>IF($X233="","",AQ233/$X$10)</f>
        <v>0</v>
      </c>
      <c r="CK233" s="18">
        <f>IF($X233="","",AR233/$X$10)</f>
        <v>0</v>
      </c>
      <c r="CL233" s="18">
        <f>IF($X233="","",AS233/$X$10)</f>
        <v>0</v>
      </c>
      <c r="CM233" s="18">
        <f>IF($X233="","",AT233/$X$10)</f>
        <v>0</v>
      </c>
      <c r="CN233" s="18">
        <f>IF($X233="","",AU233/$X$10)</f>
        <v>0</v>
      </c>
      <c r="CO233" s="18">
        <f>IF($X233="","",AV233/$X$10)</f>
        <v>0</v>
      </c>
      <c r="CP233" s="18">
        <f>IF($X233="","",AW233/$X$10)</f>
        <v>0</v>
      </c>
      <c r="CQ233" s="18">
        <f>IF($X233="","",AX233/$X$10)</f>
        <v>0</v>
      </c>
      <c r="CR233" s="18">
        <f>IF($X233="","",AY233/$X$10)</f>
        <v>0</v>
      </c>
      <c r="CS233" s="18">
        <f>IF($X233="","",AZ233/$X$10)</f>
        <v>0</v>
      </c>
      <c r="CT233" s="18">
        <f>IF($X233="","",BA233/$X$10)</f>
        <v>0</v>
      </c>
      <c r="CU233" s="18">
        <f>IF($X233="","",BB233/$X$10)</f>
        <v>0</v>
      </c>
      <c r="CV233" s="18">
        <f>IF($X233="","",BC233/$X$10)</f>
        <v>0</v>
      </c>
      <c r="CW233" s="18">
        <f>IF($X233="","",BD233/$X$10)</f>
        <v>0</v>
      </c>
      <c r="CX233" s="18">
        <f>IF($X233="","",BE233/$X$10)</f>
        <v>0</v>
      </c>
      <c r="CY233" s="18">
        <f>IF($X233="","",BF233/$X$10)</f>
        <v>0</v>
      </c>
      <c r="CZ233" s="18">
        <f>IF($X233="","",BG233/$X$10)</f>
        <v>0</v>
      </c>
      <c r="DA233" s="18">
        <f>IF($X233="","",BH233/$X$10)</f>
        <v>0</v>
      </c>
      <c r="DB233" s="18">
        <f>IF($X233="","",BI233/$X$10)</f>
        <v>0</v>
      </c>
      <c r="DC233" s="18">
        <f>IF($X233="","",BJ233/$X$10)</f>
        <v>0</v>
      </c>
      <c r="DD233" s="18">
        <f>IF($X233="","",BK233/$X$10)</f>
        <v>0</v>
      </c>
      <c r="DE233" s="18">
        <f>IF($X233="","",BL233/$X$10)</f>
        <v>0</v>
      </c>
      <c r="DF233" s="18">
        <f>IF($X233="","",BM233/$X$10)</f>
        <v>0</v>
      </c>
      <c r="DG233" s="18">
        <f t="shared" si="24"/>
        <v>0</v>
      </c>
      <c r="DH233" s="18">
        <f>IF($X233="","",BO233/$X$10)</f>
        <v>0</v>
      </c>
      <c r="DI233" s="18">
        <f>IF($X233="","",BP233/$X$10)</f>
        <v>0</v>
      </c>
      <c r="DJ233" s="18">
        <f>IF($X233="","",BQ233/$X$10)</f>
        <v>0</v>
      </c>
      <c r="DK233" s="18">
        <f>IF($X233="","",BR233/$X$10)</f>
        <v>0</v>
      </c>
      <c r="DL233" s="18">
        <f>IF($X233="","",BS233/$X$10)</f>
        <v>0</v>
      </c>
      <c r="DM233" s="18">
        <f>IF($X233="","",BT233/$X$10)</f>
        <v>0</v>
      </c>
      <c r="DN233" s="18">
        <f t="shared" ref="DN233:DN264" si="25">IF($X233="","",BU233/$X$10)</f>
        <v>0</v>
      </c>
      <c r="DO233" s="16">
        <f>IF($X233="","",SUM(Tabla152[[#This Row],[PODRIDO]],Tabla152[[#This Row],[HONGO]],Tabla152[[#This Row],[PICADO DE AVE CON PUDRICIÓN]],Tabla152[[#This Row],[FUMAGINA]])/$X$10)</f>
        <v>0</v>
      </c>
      <c r="DP233" s="16">
        <f>IF($X233="","",SUM(Tabla152[[#This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33" s="16">
        <f>IF($X233="","",SUM(Tabla152[[#This Row],[BLANDO]:[COLAPSADO]])/$X$10)</f>
        <v>0</v>
      </c>
      <c r="DR233" s="16">
        <f>IF($X233="","",SUM(Tabla152[[#This Row],[DESHIDRATADO LEVE]:[DESHIDRATADO INMADURO]])/$X$10)</f>
        <v>0</v>
      </c>
      <c r="DS233" s="18">
        <f t="shared" si="21"/>
        <v>0</v>
      </c>
      <c r="DT233" s="16">
        <f>IF($X233="","",SUM(Tabla152[[#This Row],[PRESENCIA DE LARVA]],Tabla152[[#This Row],[CHANCHITO BLANCO]])/$X$10)</f>
        <v>0</v>
      </c>
      <c r="DU233" s="18">
        <f>IF($X233="","",SUM(Tabla152[[#This Row],[ROJO GRADO 2 A MÁS]],Tabla152[[#This Row],[IMMADURO VERDE]],Tabla152[[#This Row],[DESORDEN POR MADURACIÓN]],Tabla152[[#This Row],[ARO PEDICELAR VERDE EXTREMO]])/$X$10)</f>
        <v>0</v>
      </c>
      <c r="DV233" s="16">
        <f>IF($X233="","",SUM(Tabla152[[#This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33" s="16">
        <f t="shared" si="22"/>
        <v>0</v>
      </c>
      <c r="DX233" s="16">
        <f>IF($X233="","",AJ233/$X$10)</f>
        <v>0</v>
      </c>
      <c r="DY233" s="16">
        <f>IF($X233="","",SUM(Tabla152[[#This Row],[PRESENCIA DE COROLA]],Tabla152[[#This Row],[PRESENCIA DE RESTO FLORAL VERDE]],Tabla152[[#This Row],[PRESENCIA DE PEDÚNCULO]])/$X$10)</f>
        <v>0</v>
      </c>
      <c r="DZ233" s="16">
        <f>IF($X233="","",SUM(Tabla152[[#This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34" spans="1:130" x14ac:dyDescent="0.3">
      <c r="A234" s="9">
        <f>IF(W234="","",IF(ROW()=10,1,IF(W234=W233,A233,MAX($A$9:A233)+1)))</f>
        <v>74</v>
      </c>
      <c r="B234" s="9">
        <f>WEEKNUM(Tabla152[[#This Row],[FECHA DE COSECHA]],21)</f>
        <v>36</v>
      </c>
      <c r="C234" s="9"/>
      <c r="D234" s="17">
        <v>46268</v>
      </c>
      <c r="E234" s="17">
        <v>46268</v>
      </c>
      <c r="F234" s="9">
        <v>1</v>
      </c>
      <c r="G234" s="9" t="s">
        <v>77</v>
      </c>
      <c r="H234" s="9" t="s">
        <v>144</v>
      </c>
      <c r="I234" s="9" t="s">
        <v>134</v>
      </c>
      <c r="J234" s="9" t="s">
        <v>78</v>
      </c>
      <c r="K234" s="9" t="s">
        <v>153</v>
      </c>
      <c r="L234" s="9" t="s">
        <v>131</v>
      </c>
      <c r="M234" s="9" t="s">
        <v>239</v>
      </c>
      <c r="N234" s="9" t="s">
        <v>136</v>
      </c>
      <c r="O234" s="9" t="s">
        <v>244</v>
      </c>
      <c r="P234" s="9" t="s">
        <v>152</v>
      </c>
      <c r="Q234" s="9"/>
      <c r="R234" s="9">
        <v>8</v>
      </c>
      <c r="S234" s="9">
        <v>78114711</v>
      </c>
      <c r="T234" t="s">
        <v>233</v>
      </c>
      <c r="U234" s="9" t="s">
        <v>147</v>
      </c>
      <c r="V234" s="9"/>
      <c r="W234" s="19" t="s">
        <v>219</v>
      </c>
      <c r="X234" s="9">
        <v>69</v>
      </c>
      <c r="Y234" s="9">
        <v>3</v>
      </c>
      <c r="Z234" s="9">
        <v>5</v>
      </c>
      <c r="AA234" s="9" t="str">
        <f>IF(Tabla152[[#This Row],[NOTA]]=15,"CUMPLE","NO CUMPLE")</f>
        <v>NO CUMPLE</v>
      </c>
      <c r="AB234" s="9" t="str">
        <f>IF(COUNTIF($A$10:A234,A234)=1,IF(COUNTIFS($A:$A,A234,$AA:$AA,"NO CUMPLE")&gt;0,"NO CUMPLE","CUMPLE"),"")</f>
        <v/>
      </c>
      <c r="AC234" s="9"/>
      <c r="AD234" s="8">
        <v>1</v>
      </c>
      <c r="AE234" s="8">
        <v>2</v>
      </c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18"/>
      <c r="BX234" s="18">
        <f>IF($X234="","",AE234/$X$10)</f>
        <v>3.1746031746031744E-2</v>
      </c>
      <c r="BY234" s="18">
        <f>IF($X234="","",AF234/$X$10)</f>
        <v>0</v>
      </c>
      <c r="BZ234" s="18">
        <f>IF($X234="","",AG234/$X$10)</f>
        <v>0</v>
      </c>
      <c r="CA234" s="18">
        <f>IF($X234="","",AH234/$X$10)</f>
        <v>0</v>
      </c>
      <c r="CB234" s="18">
        <f t="shared" si="23"/>
        <v>0</v>
      </c>
      <c r="CC234" s="18">
        <f>IF($X234="","",AJ234/$X$10)</f>
        <v>0</v>
      </c>
      <c r="CD234" s="18">
        <f>IF($X234="","",AK234/$X$10)</f>
        <v>0</v>
      </c>
      <c r="CE234" s="18">
        <f>IF($X234="","",AL234/$X$10)</f>
        <v>0</v>
      </c>
      <c r="CF234" s="18">
        <f>IF($X234="","",AM234/$X$10)</f>
        <v>0</v>
      </c>
      <c r="CG234" s="18">
        <f>IF($X234="","",AN234/$X$10)</f>
        <v>0</v>
      </c>
      <c r="CH234" s="18">
        <f>IF($X234="","",AO234/$X$10)</f>
        <v>0</v>
      </c>
      <c r="CI234" s="18">
        <f>IF($X234="","",AP234/$X$10)</f>
        <v>0</v>
      </c>
      <c r="CJ234" s="18">
        <f>IF($X234="","",AQ234/$X$10)</f>
        <v>0</v>
      </c>
      <c r="CK234" s="18">
        <f>IF($X234="","",AR234/$X$10)</f>
        <v>0</v>
      </c>
      <c r="CL234" s="18">
        <f>IF($X234="","",AS234/$X$10)</f>
        <v>0</v>
      </c>
      <c r="CM234" s="18">
        <f>IF($X234="","",AT234/$X$10)</f>
        <v>0</v>
      </c>
      <c r="CN234" s="18">
        <f>IF($X234="","",AU234/$X$10)</f>
        <v>0</v>
      </c>
      <c r="CO234" s="18">
        <f>IF($X234="","",AV234/$X$10)</f>
        <v>0</v>
      </c>
      <c r="CP234" s="18">
        <f>IF($X234="","",AW234/$X$10)</f>
        <v>0</v>
      </c>
      <c r="CQ234" s="18">
        <f>IF($X234="","",AX234/$X$10)</f>
        <v>0</v>
      </c>
      <c r="CR234" s="18">
        <f>IF($X234="","",AY234/$X$10)</f>
        <v>0</v>
      </c>
      <c r="CS234" s="18">
        <f>IF($X234="","",AZ234/$X$10)</f>
        <v>0</v>
      </c>
      <c r="CT234" s="18">
        <f>IF($X234="","",BA234/$X$10)</f>
        <v>0</v>
      </c>
      <c r="CU234" s="18">
        <f>IF($X234="","",BB234/$X$10)</f>
        <v>0</v>
      </c>
      <c r="CV234" s="18">
        <f>IF($X234="","",BC234/$X$10)</f>
        <v>0</v>
      </c>
      <c r="CW234" s="18">
        <f>IF($X234="","",BD234/$X$10)</f>
        <v>0</v>
      </c>
      <c r="CX234" s="18">
        <f>IF($X234="","",BE234/$X$10)</f>
        <v>0</v>
      </c>
      <c r="CY234" s="18">
        <f>IF($X234="","",BF234/$X$10)</f>
        <v>0</v>
      </c>
      <c r="CZ234" s="18">
        <f>IF($X234="","",BG234/$X$10)</f>
        <v>0</v>
      </c>
      <c r="DA234" s="18">
        <f>IF($X234="","",BH234/$X$10)</f>
        <v>0</v>
      </c>
      <c r="DB234" s="18">
        <f>IF($X234="","",BI234/$X$10)</f>
        <v>0</v>
      </c>
      <c r="DC234" s="18">
        <f>IF($X234="","",BJ234/$X$10)</f>
        <v>0</v>
      </c>
      <c r="DD234" s="18">
        <f>IF($X234="","",BK234/$X$10)</f>
        <v>0</v>
      </c>
      <c r="DE234" s="18">
        <f>IF($X234="","",BL234/$X$10)</f>
        <v>0</v>
      </c>
      <c r="DF234" s="18">
        <f>IF($X234="","",BM234/$X$10)</f>
        <v>0</v>
      </c>
      <c r="DG234" s="18">
        <f t="shared" si="24"/>
        <v>0</v>
      </c>
      <c r="DH234" s="18">
        <f>IF($X234="","",BO234/$X$10)</f>
        <v>0</v>
      </c>
      <c r="DI234" s="18">
        <f>IF($X234="","",BP234/$X$10)</f>
        <v>0</v>
      </c>
      <c r="DJ234" s="18">
        <f>IF($X234="","",BQ234/$X$10)</f>
        <v>0</v>
      </c>
      <c r="DK234" s="18">
        <f>IF($X234="","",BR234/$X$10)</f>
        <v>0</v>
      </c>
      <c r="DL234" s="18">
        <f>IF($X234="","",BS234/$X$10)</f>
        <v>0</v>
      </c>
      <c r="DM234" s="18">
        <f>IF($X234="","",BT234/$X$10)</f>
        <v>0</v>
      </c>
      <c r="DN234" s="18">
        <f t="shared" si="25"/>
        <v>0</v>
      </c>
      <c r="DO234" s="16">
        <f>IF($X234="","",SUM(Tabla152[[#This Row],[PODRIDO]],Tabla152[[#This Row],[HONGO]],Tabla152[[#This Row],[PICADO DE AVE CON PUDRICIÓN]],Tabla152[[#This Row],[FUMAGINA]])/$X$10)</f>
        <v>0</v>
      </c>
      <c r="DP234" s="16">
        <f>IF($X234="","",SUM(Tabla152[[#This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34" s="16">
        <f>IF($X234="","",SUM(Tabla152[[#This Row],[BLANDO]:[COLAPSADO]])/$X$10)</f>
        <v>0</v>
      </c>
      <c r="DR234" s="16">
        <f>IF($X234="","",SUM(Tabla152[[#This Row],[DESHIDRATADO LEVE]:[DESHIDRATADO INMADURO]])/$X$10)</f>
        <v>0</v>
      </c>
      <c r="DS234" s="18">
        <f t="shared" si="21"/>
        <v>0</v>
      </c>
      <c r="DT234" s="16">
        <f>IF($X234="","",SUM(Tabla152[[#This Row],[PRESENCIA DE LARVA]],Tabla152[[#This Row],[CHANCHITO BLANCO]])/$X$10)</f>
        <v>0</v>
      </c>
      <c r="DU234" s="18">
        <f>IF($X234="","",SUM(Tabla152[[#This Row],[ROJO GRADO 2 A MÁS]],Tabla152[[#This Row],[IMMADURO VERDE]],Tabla152[[#This Row],[DESORDEN POR MADURACIÓN]],Tabla152[[#This Row],[ARO PEDICELAR VERDE EXTREMO]])/$X$10)</f>
        <v>0</v>
      </c>
      <c r="DV234" s="16">
        <f>IF($X234="","",SUM(Tabla152[[#This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34" s="16">
        <f t="shared" si="22"/>
        <v>0</v>
      </c>
      <c r="DX234" s="16">
        <f>IF($X234="","",AJ234/$X$10)</f>
        <v>0</v>
      </c>
      <c r="DY234" s="16">
        <f>IF($X234="","",SUM(Tabla152[[#This Row],[PRESENCIA DE COROLA]],Tabla152[[#This Row],[PRESENCIA DE RESTO FLORAL VERDE]],Tabla152[[#This Row],[PRESENCIA DE PEDÚNCULO]])/$X$10)</f>
        <v>3.1746031746031744E-2</v>
      </c>
      <c r="DZ234" s="16">
        <f>IF($X234="","",SUM(Tabla152[[#This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1.5873015873015872E-2</v>
      </c>
    </row>
    <row r="235" spans="1:130" x14ac:dyDescent="0.3">
      <c r="A235" s="9">
        <f>IF(W235="","",IF(ROW()=10,1,IF(W235=W234,A234,MAX($A$9:A234)+1)))</f>
        <v>75</v>
      </c>
      <c r="B235" s="9">
        <f>WEEKNUM(Tabla152[[#This Row],[FECHA DE COSECHA]],21)</f>
        <v>36</v>
      </c>
      <c r="C235" s="9"/>
      <c r="D235" s="17">
        <v>46268</v>
      </c>
      <c r="E235" s="17">
        <v>46268</v>
      </c>
      <c r="F235" s="9">
        <v>1</v>
      </c>
      <c r="G235" s="9" t="s">
        <v>77</v>
      </c>
      <c r="H235" s="9" t="s">
        <v>144</v>
      </c>
      <c r="I235" s="9" t="s">
        <v>134</v>
      </c>
      <c r="J235" s="9" t="s">
        <v>78</v>
      </c>
      <c r="K235" s="9" t="s">
        <v>153</v>
      </c>
      <c r="L235" s="9" t="s">
        <v>131</v>
      </c>
      <c r="M235" s="9" t="s">
        <v>239</v>
      </c>
      <c r="N235" s="9" t="s">
        <v>136</v>
      </c>
      <c r="O235" s="9" t="s">
        <v>244</v>
      </c>
      <c r="P235" s="9" t="s">
        <v>152</v>
      </c>
      <c r="Q235" s="9"/>
      <c r="R235" s="9">
        <v>8</v>
      </c>
      <c r="S235" s="9">
        <v>78114711</v>
      </c>
      <c r="T235" t="s">
        <v>233</v>
      </c>
      <c r="U235" s="9" t="s">
        <v>147</v>
      </c>
      <c r="V235" s="9"/>
      <c r="W235" s="19" t="s">
        <v>220</v>
      </c>
      <c r="X235" s="9">
        <v>69</v>
      </c>
      <c r="Y235" s="9">
        <v>1</v>
      </c>
      <c r="Z235" s="9">
        <v>15</v>
      </c>
      <c r="AA235" s="9" t="str">
        <f>IF(Tabla152[[#This Row],[NOTA]]=15,"CUMPLE","NO CUMPLE")</f>
        <v>CUMPLE</v>
      </c>
      <c r="AB235" s="9" t="str">
        <f>IF(COUNTIF($A$10:A235,A235)=1,IF(COUNTIFS($A:$A,A235,$AA:$AA,"NO CUMPLE")&gt;0,"NO CUMPLE","CUMPLE"),"")</f>
        <v>CUMPLE</v>
      </c>
      <c r="AC235" s="9" t="s">
        <v>140</v>
      </c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18"/>
      <c r="BX235" s="18">
        <f>IF($X235="","",AE235/$X$10)</f>
        <v>0</v>
      </c>
      <c r="BY235" s="18">
        <f>IF($X235="","",AF235/$X$10)</f>
        <v>0</v>
      </c>
      <c r="BZ235" s="18">
        <f>IF($X235="","",AG235/$X$10)</f>
        <v>0</v>
      </c>
      <c r="CA235" s="18">
        <f>IF($X235="","",AH235/$X$10)</f>
        <v>0</v>
      </c>
      <c r="CB235" s="18">
        <f t="shared" si="23"/>
        <v>0</v>
      </c>
      <c r="CC235" s="18">
        <f>IF($X235="","",AJ235/$X$10)</f>
        <v>0</v>
      </c>
      <c r="CD235" s="18">
        <f>IF($X235="","",AK235/$X$10)</f>
        <v>0</v>
      </c>
      <c r="CE235" s="18">
        <f>IF($X235="","",AL235/$X$10)</f>
        <v>0</v>
      </c>
      <c r="CF235" s="18">
        <f>IF($X235="","",AM235/$X$10)</f>
        <v>0</v>
      </c>
      <c r="CG235" s="18">
        <f>IF($X235="","",AN235/$X$10)</f>
        <v>0</v>
      </c>
      <c r="CH235" s="18">
        <f>IF($X235="","",AO235/$X$10)</f>
        <v>0</v>
      </c>
      <c r="CI235" s="18">
        <f>IF($X235="","",AP235/$X$10)</f>
        <v>0</v>
      </c>
      <c r="CJ235" s="18">
        <f>IF($X235="","",AQ235/$X$10)</f>
        <v>0</v>
      </c>
      <c r="CK235" s="18">
        <f>IF($X235="","",AR235/$X$10)</f>
        <v>0</v>
      </c>
      <c r="CL235" s="18">
        <f>IF($X235="","",AS235/$X$10)</f>
        <v>0</v>
      </c>
      <c r="CM235" s="18">
        <f>IF($X235="","",AT235/$X$10)</f>
        <v>0</v>
      </c>
      <c r="CN235" s="18">
        <f>IF($X235="","",AU235/$X$10)</f>
        <v>0</v>
      </c>
      <c r="CO235" s="18">
        <f>IF($X235="","",AV235/$X$10)</f>
        <v>0</v>
      </c>
      <c r="CP235" s="18">
        <f>IF($X235="","",AW235/$X$10)</f>
        <v>0</v>
      </c>
      <c r="CQ235" s="18">
        <f>IF($X235="","",AX235/$X$10)</f>
        <v>0</v>
      </c>
      <c r="CR235" s="18">
        <f>IF($X235="","",AY235/$X$10)</f>
        <v>0</v>
      </c>
      <c r="CS235" s="18">
        <f>IF($X235="","",AZ235/$X$10)</f>
        <v>0</v>
      </c>
      <c r="CT235" s="18">
        <f>IF($X235="","",BA235/$X$10)</f>
        <v>0</v>
      </c>
      <c r="CU235" s="18">
        <f>IF($X235="","",BB235/$X$10)</f>
        <v>0</v>
      </c>
      <c r="CV235" s="18">
        <f>IF($X235="","",BC235/$X$10)</f>
        <v>0</v>
      </c>
      <c r="CW235" s="18">
        <f>IF($X235="","",BD235/$X$10)</f>
        <v>0</v>
      </c>
      <c r="CX235" s="18">
        <f>IF($X235="","",BE235/$X$10)</f>
        <v>0</v>
      </c>
      <c r="CY235" s="18">
        <f>IF($X235="","",BF235/$X$10)</f>
        <v>0</v>
      </c>
      <c r="CZ235" s="18">
        <f>IF($X235="","",BG235/$X$10)</f>
        <v>0</v>
      </c>
      <c r="DA235" s="18">
        <f>IF($X235="","",BH235/$X$10)</f>
        <v>0</v>
      </c>
      <c r="DB235" s="18">
        <f>IF($X235="","",BI235/$X$10)</f>
        <v>0</v>
      </c>
      <c r="DC235" s="18">
        <f>IF($X235="","",BJ235/$X$10)</f>
        <v>0</v>
      </c>
      <c r="DD235" s="18">
        <f>IF($X235="","",BK235/$X$10)</f>
        <v>0</v>
      </c>
      <c r="DE235" s="18">
        <f>IF($X235="","",BL235/$X$10)</f>
        <v>0</v>
      </c>
      <c r="DF235" s="18">
        <f>IF($X235="","",BM235/$X$10)</f>
        <v>0</v>
      </c>
      <c r="DG235" s="18">
        <f t="shared" si="24"/>
        <v>0</v>
      </c>
      <c r="DH235" s="18">
        <f>IF($X235="","",BO235/$X$10)</f>
        <v>0</v>
      </c>
      <c r="DI235" s="18">
        <f>IF($X235="","",BP235/$X$10)</f>
        <v>0</v>
      </c>
      <c r="DJ235" s="18">
        <f>IF($X235="","",BQ235/$X$10)</f>
        <v>0</v>
      </c>
      <c r="DK235" s="18">
        <f>IF($X235="","",BR235/$X$10)</f>
        <v>0</v>
      </c>
      <c r="DL235" s="18">
        <f>IF($X235="","",BS235/$X$10)</f>
        <v>0</v>
      </c>
      <c r="DM235" s="18">
        <f>IF($X235="","",BT235/$X$10)</f>
        <v>0</v>
      </c>
      <c r="DN235" s="18">
        <f t="shared" si="25"/>
        <v>0</v>
      </c>
      <c r="DO235" s="16">
        <f>IF($X235="","",SUM(Tabla152[[#This Row],[PODRIDO]],Tabla152[[#This Row],[HONGO]],Tabla152[[#This Row],[PICADO DE AVE CON PUDRICIÓN]],Tabla152[[#This Row],[FUMAGINA]])/$X$10)</f>
        <v>0</v>
      </c>
      <c r="DP235" s="16">
        <f>IF($X235="","",SUM(Tabla152[[#This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35" s="16">
        <f>IF($X235="","",SUM(Tabla152[[#This Row],[BLANDO]:[COLAPSADO]])/$X$10)</f>
        <v>0</v>
      </c>
      <c r="DR235" s="16">
        <f>IF($X235="","",SUM(Tabla152[[#This Row],[DESHIDRATADO LEVE]:[DESHIDRATADO INMADURO]])/$X$10)</f>
        <v>0</v>
      </c>
      <c r="DS235" s="18">
        <f t="shared" si="21"/>
        <v>0</v>
      </c>
      <c r="DT235" s="16">
        <f>IF($X235="","",SUM(Tabla152[[#This Row],[PRESENCIA DE LARVA]],Tabla152[[#This Row],[CHANCHITO BLANCO]])/$X$10)</f>
        <v>0</v>
      </c>
      <c r="DU235" s="18">
        <f>IF($X235="","",SUM(Tabla152[[#This Row],[ROJO GRADO 2 A MÁS]],Tabla152[[#This Row],[IMMADURO VERDE]],Tabla152[[#This Row],[DESORDEN POR MADURACIÓN]],Tabla152[[#This Row],[ARO PEDICELAR VERDE EXTREMO]])/$X$10)</f>
        <v>0</v>
      </c>
      <c r="DV235" s="16">
        <f>IF($X235="","",SUM(Tabla152[[#This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35" s="16">
        <f t="shared" si="22"/>
        <v>0</v>
      </c>
      <c r="DX235" s="16">
        <f>IF($X235="","",AJ235/$X$10)</f>
        <v>0</v>
      </c>
      <c r="DY235" s="16">
        <f>IF($X235="","",SUM(Tabla152[[#This Row],[PRESENCIA DE COROLA]],Tabla152[[#This Row],[PRESENCIA DE RESTO FLORAL VERDE]],Tabla152[[#This Row],[PRESENCIA DE PEDÚNCULO]])/$X$10)</f>
        <v>0</v>
      </c>
      <c r="DZ235" s="16">
        <f>IF($X235="","",SUM(Tabla152[[#This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36" spans="1:130" x14ac:dyDescent="0.3">
      <c r="A236" s="9">
        <f>IF(W236="","",IF(ROW()=10,1,IF(W236=W235,A235,MAX($A$9:A235)+1)))</f>
        <v>75</v>
      </c>
      <c r="B236" s="9">
        <f>WEEKNUM(Tabla152[[#This Row],[FECHA DE COSECHA]],21)</f>
        <v>36</v>
      </c>
      <c r="C236" s="9"/>
      <c r="D236" s="17">
        <v>46268</v>
      </c>
      <c r="E236" s="17">
        <v>46268</v>
      </c>
      <c r="F236" s="9">
        <v>1</v>
      </c>
      <c r="G236" s="9" t="s">
        <v>77</v>
      </c>
      <c r="H236" s="9" t="s">
        <v>144</v>
      </c>
      <c r="I236" s="9" t="s">
        <v>134</v>
      </c>
      <c r="J236" s="9" t="s">
        <v>78</v>
      </c>
      <c r="K236" s="9" t="s">
        <v>153</v>
      </c>
      <c r="L236" s="9" t="s">
        <v>131</v>
      </c>
      <c r="M236" s="9" t="s">
        <v>239</v>
      </c>
      <c r="N236" s="9" t="s">
        <v>136</v>
      </c>
      <c r="O236" s="9" t="s">
        <v>244</v>
      </c>
      <c r="P236" s="9" t="s">
        <v>152</v>
      </c>
      <c r="Q236" s="9"/>
      <c r="R236" s="9">
        <v>8</v>
      </c>
      <c r="S236" s="9">
        <v>78114711</v>
      </c>
      <c r="T236" t="s">
        <v>233</v>
      </c>
      <c r="U236" s="9" t="s">
        <v>147</v>
      </c>
      <c r="V236" s="9"/>
      <c r="W236" s="19" t="s">
        <v>220</v>
      </c>
      <c r="X236" s="9">
        <v>69</v>
      </c>
      <c r="Y236" s="9">
        <v>2</v>
      </c>
      <c r="Z236" s="9">
        <v>15</v>
      </c>
      <c r="AA236" s="9" t="str">
        <f>IF(Tabla152[[#This Row],[NOTA]]=15,"CUMPLE","NO CUMPLE")</f>
        <v>CUMPLE</v>
      </c>
      <c r="AB236" s="9" t="str">
        <f>IF(COUNTIF($A$10:A236,A236)=1,IF(COUNTIFS($A:$A,A236,$AA:$AA,"NO CUMPLE")&gt;0,"NO CUMPLE","CUMPLE"),"")</f>
        <v/>
      </c>
      <c r="AC236" s="9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18"/>
      <c r="BX236" s="18">
        <f>IF($X236="","",AE236/$X$10)</f>
        <v>0</v>
      </c>
      <c r="BY236" s="18">
        <f>IF($X236="","",AF236/$X$10)</f>
        <v>0</v>
      </c>
      <c r="BZ236" s="18">
        <f>IF($X236="","",AG236/$X$10)</f>
        <v>0</v>
      </c>
      <c r="CA236" s="18">
        <f>IF($X236="","",AH236/$X$10)</f>
        <v>0</v>
      </c>
      <c r="CB236" s="18">
        <f t="shared" si="23"/>
        <v>0</v>
      </c>
      <c r="CC236" s="18">
        <f>IF($X236="","",AJ236/$X$10)</f>
        <v>0</v>
      </c>
      <c r="CD236" s="18">
        <f>IF($X236="","",AK236/$X$10)</f>
        <v>0</v>
      </c>
      <c r="CE236" s="18">
        <f>IF($X236="","",AL236/$X$10)</f>
        <v>0</v>
      </c>
      <c r="CF236" s="18">
        <f>IF($X236="","",AM236/$X$10)</f>
        <v>0</v>
      </c>
      <c r="CG236" s="18">
        <f>IF($X236="","",AN236/$X$10)</f>
        <v>0</v>
      </c>
      <c r="CH236" s="18">
        <f>IF($X236="","",AO236/$X$10)</f>
        <v>0</v>
      </c>
      <c r="CI236" s="18">
        <f>IF($X236="","",AP236/$X$10)</f>
        <v>0</v>
      </c>
      <c r="CJ236" s="18">
        <f>IF($X236="","",AQ236/$X$10)</f>
        <v>0</v>
      </c>
      <c r="CK236" s="18">
        <f>IF($X236="","",AR236/$X$10)</f>
        <v>0</v>
      </c>
      <c r="CL236" s="18">
        <f>IF($X236="","",AS236/$X$10)</f>
        <v>0</v>
      </c>
      <c r="CM236" s="18">
        <f>IF($X236="","",AT236/$X$10)</f>
        <v>0</v>
      </c>
      <c r="CN236" s="18">
        <f>IF($X236="","",AU236/$X$10)</f>
        <v>0</v>
      </c>
      <c r="CO236" s="18">
        <f>IF($X236="","",AV236/$X$10)</f>
        <v>0</v>
      </c>
      <c r="CP236" s="18">
        <f>IF($X236="","",AW236/$X$10)</f>
        <v>0</v>
      </c>
      <c r="CQ236" s="18">
        <f>IF($X236="","",AX236/$X$10)</f>
        <v>0</v>
      </c>
      <c r="CR236" s="18">
        <f>IF($X236="","",AY236/$X$10)</f>
        <v>0</v>
      </c>
      <c r="CS236" s="18">
        <f>IF($X236="","",AZ236/$X$10)</f>
        <v>0</v>
      </c>
      <c r="CT236" s="18">
        <f>IF($X236="","",BA236/$X$10)</f>
        <v>0</v>
      </c>
      <c r="CU236" s="18">
        <f>IF($X236="","",BB236/$X$10)</f>
        <v>0</v>
      </c>
      <c r="CV236" s="18">
        <f>IF($X236="","",BC236/$X$10)</f>
        <v>0</v>
      </c>
      <c r="CW236" s="18">
        <f>IF($X236="","",BD236/$X$10)</f>
        <v>0</v>
      </c>
      <c r="CX236" s="18">
        <f>IF($X236="","",BE236/$X$10)</f>
        <v>0</v>
      </c>
      <c r="CY236" s="18">
        <f>IF($X236="","",BF236/$X$10)</f>
        <v>0</v>
      </c>
      <c r="CZ236" s="18">
        <f>IF($X236="","",BG236/$X$10)</f>
        <v>0</v>
      </c>
      <c r="DA236" s="18">
        <f>IF($X236="","",BH236/$X$10)</f>
        <v>0</v>
      </c>
      <c r="DB236" s="18">
        <f>IF($X236="","",BI236/$X$10)</f>
        <v>0</v>
      </c>
      <c r="DC236" s="18">
        <f>IF($X236="","",BJ236/$X$10)</f>
        <v>0</v>
      </c>
      <c r="DD236" s="18">
        <f>IF($X236="","",BK236/$X$10)</f>
        <v>0</v>
      </c>
      <c r="DE236" s="18">
        <f>IF($X236="","",BL236/$X$10)</f>
        <v>0</v>
      </c>
      <c r="DF236" s="18">
        <f>IF($X236="","",BM236/$X$10)</f>
        <v>0</v>
      </c>
      <c r="DG236" s="18">
        <f t="shared" si="24"/>
        <v>0</v>
      </c>
      <c r="DH236" s="18">
        <f>IF($X236="","",BO236/$X$10)</f>
        <v>0</v>
      </c>
      <c r="DI236" s="18">
        <f>IF($X236="","",BP236/$X$10)</f>
        <v>0</v>
      </c>
      <c r="DJ236" s="18">
        <f>IF($X236="","",BQ236/$X$10)</f>
        <v>0</v>
      </c>
      <c r="DK236" s="18">
        <f>IF($X236="","",BR236/$X$10)</f>
        <v>0</v>
      </c>
      <c r="DL236" s="18">
        <f>IF($X236="","",BS236/$X$10)</f>
        <v>0</v>
      </c>
      <c r="DM236" s="18">
        <f>IF($X236="","",BT236/$X$10)</f>
        <v>0</v>
      </c>
      <c r="DN236" s="18">
        <f t="shared" si="25"/>
        <v>0</v>
      </c>
      <c r="DO236" s="16">
        <f>IF($X236="","",SUM(Tabla152[[#This Row],[PODRIDO]],Tabla152[[#This Row],[HONGO]],Tabla152[[#This Row],[PICADO DE AVE CON PUDRICIÓN]],Tabla152[[#This Row],[FUMAGINA]])/$X$10)</f>
        <v>0</v>
      </c>
      <c r="DP236" s="16">
        <f>IF($X236="","",SUM(Tabla152[[#This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36" s="16">
        <f>IF($X236="","",SUM(Tabla152[[#This Row],[BLANDO]:[COLAPSADO]])/$X$10)</f>
        <v>0</v>
      </c>
      <c r="DR236" s="16">
        <f>IF($X236="","",SUM(Tabla152[[#This Row],[DESHIDRATADO LEVE]:[DESHIDRATADO INMADURO]])/$X$10)</f>
        <v>0</v>
      </c>
      <c r="DS236" s="18">
        <f t="shared" si="21"/>
        <v>0</v>
      </c>
      <c r="DT236" s="16">
        <f>IF($X236="","",SUM(Tabla152[[#This Row],[PRESENCIA DE LARVA]],Tabla152[[#This Row],[CHANCHITO BLANCO]])/$X$10)</f>
        <v>0</v>
      </c>
      <c r="DU236" s="18">
        <f>IF($X236="","",SUM(Tabla152[[#This Row],[ROJO GRADO 2 A MÁS]],Tabla152[[#This Row],[IMMADURO VERDE]],Tabla152[[#This Row],[DESORDEN POR MADURACIÓN]],Tabla152[[#This Row],[ARO PEDICELAR VERDE EXTREMO]])/$X$10)</f>
        <v>0</v>
      </c>
      <c r="DV236" s="16">
        <f>IF($X236="","",SUM(Tabla152[[#This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36" s="16">
        <f t="shared" si="22"/>
        <v>0</v>
      </c>
      <c r="DX236" s="16">
        <f>IF($X236="","",AJ236/$X$10)</f>
        <v>0</v>
      </c>
      <c r="DY236" s="16">
        <f>IF($X236="","",SUM(Tabla152[[#This Row],[PRESENCIA DE COROLA]],Tabla152[[#This Row],[PRESENCIA DE RESTO FLORAL VERDE]],Tabla152[[#This Row],[PRESENCIA DE PEDÚNCULO]])/$X$10)</f>
        <v>0</v>
      </c>
      <c r="DZ236" s="16">
        <f>IF($X236="","",SUM(Tabla152[[#This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37" spans="1:130" x14ac:dyDescent="0.3">
      <c r="A237" s="9">
        <f>IF(W237="","",IF(ROW()=10,1,IF(W237=W236,A236,MAX($A$9:A236)+1)))</f>
        <v>75</v>
      </c>
      <c r="B237" s="9">
        <f>WEEKNUM(Tabla152[[#This Row],[FECHA DE COSECHA]],21)</f>
        <v>36</v>
      </c>
      <c r="C237" s="9"/>
      <c r="D237" s="17">
        <v>46268</v>
      </c>
      <c r="E237" s="17">
        <v>46268</v>
      </c>
      <c r="F237" s="9">
        <v>1</v>
      </c>
      <c r="G237" s="9" t="s">
        <v>77</v>
      </c>
      <c r="H237" s="9" t="s">
        <v>144</v>
      </c>
      <c r="I237" s="9" t="s">
        <v>134</v>
      </c>
      <c r="J237" s="9" t="s">
        <v>78</v>
      </c>
      <c r="K237" s="9" t="s">
        <v>153</v>
      </c>
      <c r="L237" s="9" t="s">
        <v>131</v>
      </c>
      <c r="M237" s="9" t="s">
        <v>239</v>
      </c>
      <c r="N237" s="9" t="s">
        <v>136</v>
      </c>
      <c r="O237" s="9" t="s">
        <v>244</v>
      </c>
      <c r="P237" s="9" t="s">
        <v>152</v>
      </c>
      <c r="Q237" s="9"/>
      <c r="R237" s="9">
        <v>8</v>
      </c>
      <c r="S237" s="9">
        <v>78114711</v>
      </c>
      <c r="T237" t="s">
        <v>233</v>
      </c>
      <c r="U237" s="9" t="s">
        <v>147</v>
      </c>
      <c r="V237" s="9"/>
      <c r="W237" s="19" t="s">
        <v>220</v>
      </c>
      <c r="X237" s="9">
        <v>69</v>
      </c>
      <c r="Y237" s="9">
        <v>3</v>
      </c>
      <c r="Z237" s="9">
        <v>15</v>
      </c>
      <c r="AA237" s="9" t="str">
        <f>IF(Tabla152[[#This Row],[NOTA]]=15,"CUMPLE","NO CUMPLE")</f>
        <v>CUMPLE</v>
      </c>
      <c r="AB237" s="9" t="str">
        <f>IF(COUNTIF($A$10:A237,A237)=1,IF(COUNTIFS($A:$A,A237,$AA:$AA,"NO CUMPLE")&gt;0,"NO CUMPLE","CUMPLE"),"")</f>
        <v/>
      </c>
      <c r="AC237" s="9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18"/>
      <c r="BX237" s="18">
        <f>IF($X237="","",AE237/$X$10)</f>
        <v>0</v>
      </c>
      <c r="BY237" s="18">
        <f>IF($X237="","",AF237/$X$10)</f>
        <v>0</v>
      </c>
      <c r="BZ237" s="18">
        <f>IF($X237="","",AG237/$X$10)</f>
        <v>0</v>
      </c>
      <c r="CA237" s="18">
        <f>IF($X237="","",AH237/$X$10)</f>
        <v>0</v>
      </c>
      <c r="CB237" s="18">
        <f t="shared" si="23"/>
        <v>0</v>
      </c>
      <c r="CC237" s="18">
        <f>IF($X237="","",AJ237/$X$10)</f>
        <v>0</v>
      </c>
      <c r="CD237" s="18">
        <f>IF($X237="","",AK237/$X$10)</f>
        <v>0</v>
      </c>
      <c r="CE237" s="18">
        <f>IF($X237="","",AL237/$X$10)</f>
        <v>0</v>
      </c>
      <c r="CF237" s="18">
        <f>IF($X237="","",AM237/$X$10)</f>
        <v>0</v>
      </c>
      <c r="CG237" s="18">
        <f>IF($X237="","",AN237/$X$10)</f>
        <v>0</v>
      </c>
      <c r="CH237" s="18">
        <f>IF($X237="","",AO237/$X$10)</f>
        <v>0</v>
      </c>
      <c r="CI237" s="18">
        <f>IF($X237="","",AP237/$X$10)</f>
        <v>0</v>
      </c>
      <c r="CJ237" s="18">
        <f>IF($X237="","",AQ237/$X$10)</f>
        <v>0</v>
      </c>
      <c r="CK237" s="18">
        <f>IF($X237="","",AR237/$X$10)</f>
        <v>0</v>
      </c>
      <c r="CL237" s="18">
        <f>IF($X237="","",AS237/$X$10)</f>
        <v>0</v>
      </c>
      <c r="CM237" s="18">
        <f>IF($X237="","",AT237/$X$10)</f>
        <v>0</v>
      </c>
      <c r="CN237" s="18">
        <f>IF($X237="","",AU237/$X$10)</f>
        <v>0</v>
      </c>
      <c r="CO237" s="18">
        <f>IF($X237="","",AV237/$X$10)</f>
        <v>0</v>
      </c>
      <c r="CP237" s="18">
        <f>IF($X237="","",AW237/$X$10)</f>
        <v>0</v>
      </c>
      <c r="CQ237" s="18">
        <f>IF($X237="","",AX237/$X$10)</f>
        <v>0</v>
      </c>
      <c r="CR237" s="18">
        <f>IF($X237="","",AY237/$X$10)</f>
        <v>0</v>
      </c>
      <c r="CS237" s="18">
        <f>IF($X237="","",AZ237/$X$10)</f>
        <v>0</v>
      </c>
      <c r="CT237" s="18">
        <f>IF($X237="","",BA237/$X$10)</f>
        <v>0</v>
      </c>
      <c r="CU237" s="18">
        <f>IF($X237="","",BB237/$X$10)</f>
        <v>0</v>
      </c>
      <c r="CV237" s="18">
        <f>IF($X237="","",BC237/$X$10)</f>
        <v>0</v>
      </c>
      <c r="CW237" s="18">
        <f>IF($X237="","",BD237/$X$10)</f>
        <v>0</v>
      </c>
      <c r="CX237" s="18">
        <f>IF($X237="","",BE237/$X$10)</f>
        <v>0</v>
      </c>
      <c r="CY237" s="18">
        <f>IF($X237="","",BF237/$X$10)</f>
        <v>0</v>
      </c>
      <c r="CZ237" s="18">
        <f>IF($X237="","",BG237/$X$10)</f>
        <v>0</v>
      </c>
      <c r="DA237" s="18">
        <f>IF($X237="","",BH237/$X$10)</f>
        <v>0</v>
      </c>
      <c r="DB237" s="18">
        <f>IF($X237="","",BI237/$X$10)</f>
        <v>0</v>
      </c>
      <c r="DC237" s="18">
        <f>IF($X237="","",BJ237/$X$10)</f>
        <v>0</v>
      </c>
      <c r="DD237" s="18">
        <f>IF($X237="","",BK237/$X$10)</f>
        <v>0</v>
      </c>
      <c r="DE237" s="18">
        <f>IF($X237="","",BL237/$X$10)</f>
        <v>0</v>
      </c>
      <c r="DF237" s="18">
        <f>IF($X237="","",BM237/$X$10)</f>
        <v>0</v>
      </c>
      <c r="DG237" s="18">
        <f t="shared" si="24"/>
        <v>0</v>
      </c>
      <c r="DH237" s="18">
        <f>IF($X237="","",BO237/$X$10)</f>
        <v>0</v>
      </c>
      <c r="DI237" s="18">
        <f>IF($X237="","",BP237/$X$10)</f>
        <v>0</v>
      </c>
      <c r="DJ237" s="18">
        <f>IF($X237="","",BQ237/$X$10)</f>
        <v>0</v>
      </c>
      <c r="DK237" s="18">
        <f>IF($X237="","",BR237/$X$10)</f>
        <v>0</v>
      </c>
      <c r="DL237" s="18">
        <f>IF($X237="","",BS237/$X$10)</f>
        <v>0</v>
      </c>
      <c r="DM237" s="18">
        <f>IF($X237="","",BT237/$X$10)</f>
        <v>0</v>
      </c>
      <c r="DN237" s="18">
        <f t="shared" si="25"/>
        <v>0</v>
      </c>
      <c r="DO237" s="16">
        <f>IF($X237="","",SUM(Tabla152[[#This Row],[PODRIDO]],Tabla152[[#This Row],[HONGO]],Tabla152[[#This Row],[PICADO DE AVE CON PUDRICIÓN]],Tabla152[[#This Row],[FUMAGINA]])/$X$10)</f>
        <v>0</v>
      </c>
      <c r="DP237" s="16">
        <f>IF($X237="","",SUM(Tabla152[[#This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37" s="16">
        <f>IF($X237="","",SUM(Tabla152[[#This Row],[BLANDO]:[COLAPSADO]])/$X$10)</f>
        <v>0</v>
      </c>
      <c r="DR237" s="16">
        <f>IF($X237="","",SUM(Tabla152[[#This Row],[DESHIDRATADO LEVE]:[DESHIDRATADO INMADURO]])/$X$10)</f>
        <v>0</v>
      </c>
      <c r="DS237" s="18">
        <f t="shared" si="21"/>
        <v>0</v>
      </c>
      <c r="DT237" s="16">
        <f>IF($X237="","",SUM(Tabla152[[#This Row],[PRESENCIA DE LARVA]],Tabla152[[#This Row],[CHANCHITO BLANCO]])/$X$10)</f>
        <v>0</v>
      </c>
      <c r="DU237" s="18">
        <f>IF($X237="","",SUM(Tabla152[[#This Row],[ROJO GRADO 2 A MÁS]],Tabla152[[#This Row],[IMMADURO VERDE]],Tabla152[[#This Row],[DESORDEN POR MADURACIÓN]],Tabla152[[#This Row],[ARO PEDICELAR VERDE EXTREMO]])/$X$10)</f>
        <v>0</v>
      </c>
      <c r="DV237" s="16">
        <f>IF($X237="","",SUM(Tabla152[[#This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37" s="16">
        <f t="shared" si="22"/>
        <v>0</v>
      </c>
      <c r="DX237" s="16">
        <f>IF($X237="","",AJ237/$X$10)</f>
        <v>0</v>
      </c>
      <c r="DY237" s="16">
        <f>IF($X237="","",SUM(Tabla152[[#This Row],[PRESENCIA DE COROLA]],Tabla152[[#This Row],[PRESENCIA DE RESTO FLORAL VERDE]],Tabla152[[#This Row],[PRESENCIA DE PEDÚNCULO]])/$X$10)</f>
        <v>0</v>
      </c>
      <c r="DZ237" s="16">
        <f>IF($X237="","",SUM(Tabla152[[#This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38" spans="1:130" x14ac:dyDescent="0.3">
      <c r="A238" s="9">
        <f>IF(W238="","",IF(ROW()=10,1,IF(W238=W237,A237,MAX($A$9:A237)+1)))</f>
        <v>76</v>
      </c>
      <c r="B238" s="9">
        <f>WEEKNUM(Tabla152[[#This Row],[FECHA DE COSECHA]],21)</f>
        <v>36</v>
      </c>
      <c r="C238" s="9"/>
      <c r="D238" s="17">
        <v>46268</v>
      </c>
      <c r="E238" s="17">
        <v>46268</v>
      </c>
      <c r="F238" s="9">
        <v>1</v>
      </c>
      <c r="G238" s="9" t="s">
        <v>77</v>
      </c>
      <c r="H238" s="9" t="s">
        <v>144</v>
      </c>
      <c r="I238" s="9" t="s">
        <v>134</v>
      </c>
      <c r="J238" s="9" t="s">
        <v>78</v>
      </c>
      <c r="K238" s="9" t="s">
        <v>153</v>
      </c>
      <c r="L238" s="9" t="s">
        <v>131</v>
      </c>
      <c r="M238" s="9" t="s">
        <v>239</v>
      </c>
      <c r="N238" s="9" t="s">
        <v>136</v>
      </c>
      <c r="O238" s="9" t="s">
        <v>244</v>
      </c>
      <c r="P238" s="9" t="s">
        <v>152</v>
      </c>
      <c r="Q238" s="9"/>
      <c r="R238" s="9">
        <v>8</v>
      </c>
      <c r="S238" s="9">
        <v>78114711</v>
      </c>
      <c r="T238" t="s">
        <v>233</v>
      </c>
      <c r="U238" s="9" t="s">
        <v>147</v>
      </c>
      <c r="V238" s="9"/>
      <c r="W238" s="19" t="s">
        <v>221</v>
      </c>
      <c r="X238" s="9">
        <v>69</v>
      </c>
      <c r="Y238" s="9">
        <v>1</v>
      </c>
      <c r="Z238" s="9">
        <v>15</v>
      </c>
      <c r="AA238" s="9" t="str">
        <f>IF(Tabla152[[#This Row],[NOTA]]=15,"CUMPLE","NO CUMPLE")</f>
        <v>CUMPLE</v>
      </c>
      <c r="AB238" s="9" t="str">
        <f>IF(COUNTIF($A$10:A238,A238)=1,IF(COUNTIFS($A:$A,A238,$AA:$AA,"NO CUMPLE")&gt;0,"NO CUMPLE","CUMPLE"),"")</f>
        <v>NO CUMPLE</v>
      </c>
      <c r="AC238" s="9" t="s">
        <v>140</v>
      </c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18"/>
      <c r="BX238" s="18">
        <f>IF($X238="","",AE238/$X$10)</f>
        <v>0</v>
      </c>
      <c r="BY238" s="18">
        <f>IF($X238="","",AF238/$X$10)</f>
        <v>0</v>
      </c>
      <c r="BZ238" s="18">
        <f>IF($X238="","",AG238/$X$10)</f>
        <v>0</v>
      </c>
      <c r="CA238" s="18">
        <f>IF($X238="","",AH238/$X$10)</f>
        <v>0</v>
      </c>
      <c r="CB238" s="18">
        <f t="shared" si="23"/>
        <v>0</v>
      </c>
      <c r="CC238" s="18">
        <f>IF($X238="","",AJ238/$X$10)</f>
        <v>0</v>
      </c>
      <c r="CD238" s="18">
        <f>IF($X238="","",AK238/$X$10)</f>
        <v>0</v>
      </c>
      <c r="CE238" s="18">
        <f>IF($X238="","",AL238/$X$10)</f>
        <v>0</v>
      </c>
      <c r="CF238" s="18">
        <f>IF($X238="","",AM238/$X$10)</f>
        <v>0</v>
      </c>
      <c r="CG238" s="18">
        <f>IF($X238="","",AN238/$X$10)</f>
        <v>0</v>
      </c>
      <c r="CH238" s="18">
        <f>IF($X238="","",AO238/$X$10)</f>
        <v>0</v>
      </c>
      <c r="CI238" s="18">
        <f>IF($X238="","",AP238/$X$10)</f>
        <v>0</v>
      </c>
      <c r="CJ238" s="18">
        <f>IF($X238="","",AQ238/$X$10)</f>
        <v>0</v>
      </c>
      <c r="CK238" s="18">
        <f>IF($X238="","",AR238/$X$10)</f>
        <v>0</v>
      </c>
      <c r="CL238" s="18">
        <f>IF($X238="","",AS238/$X$10)</f>
        <v>0</v>
      </c>
      <c r="CM238" s="18">
        <f>IF($X238="","",AT238/$X$10)</f>
        <v>0</v>
      </c>
      <c r="CN238" s="18">
        <f>IF($X238="","",AU238/$X$10)</f>
        <v>0</v>
      </c>
      <c r="CO238" s="18">
        <f>IF($X238="","",AV238/$X$10)</f>
        <v>0</v>
      </c>
      <c r="CP238" s="18">
        <f>IF($X238="","",AW238/$X$10)</f>
        <v>0</v>
      </c>
      <c r="CQ238" s="18">
        <f>IF($X238="","",AX238/$X$10)</f>
        <v>0</v>
      </c>
      <c r="CR238" s="18">
        <f>IF($X238="","",AY238/$X$10)</f>
        <v>0</v>
      </c>
      <c r="CS238" s="18">
        <f>IF($X238="","",AZ238/$X$10)</f>
        <v>0</v>
      </c>
      <c r="CT238" s="18">
        <f>IF($X238="","",BA238/$X$10)</f>
        <v>0</v>
      </c>
      <c r="CU238" s="18">
        <f>IF($X238="","",BB238/$X$10)</f>
        <v>0</v>
      </c>
      <c r="CV238" s="18">
        <f>IF($X238="","",BC238/$X$10)</f>
        <v>0</v>
      </c>
      <c r="CW238" s="18">
        <f>IF($X238="","",BD238/$X$10)</f>
        <v>0</v>
      </c>
      <c r="CX238" s="18">
        <f>IF($X238="","",BE238/$X$10)</f>
        <v>0</v>
      </c>
      <c r="CY238" s="18">
        <f>IF($X238="","",BF238/$X$10)</f>
        <v>0</v>
      </c>
      <c r="CZ238" s="18">
        <f>IF($X238="","",BG238/$X$10)</f>
        <v>0</v>
      </c>
      <c r="DA238" s="18">
        <f>IF($X238="","",BH238/$X$10)</f>
        <v>0</v>
      </c>
      <c r="DB238" s="18">
        <f>IF($X238="","",BI238/$X$10)</f>
        <v>0</v>
      </c>
      <c r="DC238" s="18">
        <f>IF($X238="","",BJ238/$X$10)</f>
        <v>0</v>
      </c>
      <c r="DD238" s="18">
        <f>IF($X238="","",BK238/$X$10)</f>
        <v>0</v>
      </c>
      <c r="DE238" s="18">
        <f>IF($X238="","",BL238/$X$10)</f>
        <v>0</v>
      </c>
      <c r="DF238" s="18">
        <f>IF($X238="","",BM238/$X$10)</f>
        <v>0</v>
      </c>
      <c r="DG238" s="18">
        <f t="shared" si="24"/>
        <v>0</v>
      </c>
      <c r="DH238" s="18">
        <f>IF($X238="","",BO238/$X$10)</f>
        <v>0</v>
      </c>
      <c r="DI238" s="18">
        <f>IF($X238="","",BP238/$X$10)</f>
        <v>0</v>
      </c>
      <c r="DJ238" s="18">
        <f>IF($X238="","",BQ238/$X$10)</f>
        <v>0</v>
      </c>
      <c r="DK238" s="18">
        <f>IF($X238="","",BR238/$X$10)</f>
        <v>0</v>
      </c>
      <c r="DL238" s="18">
        <f>IF($X238="","",BS238/$X$10)</f>
        <v>0</v>
      </c>
      <c r="DM238" s="18">
        <f>IF($X238="","",BT238/$X$10)</f>
        <v>0</v>
      </c>
      <c r="DN238" s="18">
        <f t="shared" si="25"/>
        <v>0</v>
      </c>
      <c r="DO238" s="16">
        <f>IF($X238="","",SUM(Tabla152[[#This Row],[PODRIDO]],Tabla152[[#This Row],[HONGO]],Tabla152[[#This Row],[PICADO DE AVE CON PUDRICIÓN]],Tabla152[[#This Row],[FUMAGINA]])/$X$10)</f>
        <v>0</v>
      </c>
      <c r="DP238" s="16">
        <f>IF($X238="","",SUM(Tabla152[[#This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38" s="16">
        <f>IF($X238="","",SUM(Tabla152[[#This Row],[BLANDO]:[COLAPSADO]])/$X$10)</f>
        <v>0</v>
      </c>
      <c r="DR238" s="16">
        <f>IF($X238="","",SUM(Tabla152[[#This Row],[DESHIDRATADO LEVE]:[DESHIDRATADO INMADURO]])/$X$10)</f>
        <v>0</v>
      </c>
      <c r="DS238" s="18">
        <f t="shared" si="21"/>
        <v>0</v>
      </c>
      <c r="DT238" s="16">
        <f>IF($X238="","",SUM(Tabla152[[#This Row],[PRESENCIA DE LARVA]],Tabla152[[#This Row],[CHANCHITO BLANCO]])/$X$10)</f>
        <v>0</v>
      </c>
      <c r="DU238" s="18">
        <f>IF($X238="","",SUM(Tabla152[[#This Row],[ROJO GRADO 2 A MÁS]],Tabla152[[#This Row],[IMMADURO VERDE]],Tabla152[[#This Row],[DESORDEN POR MADURACIÓN]],Tabla152[[#This Row],[ARO PEDICELAR VERDE EXTREMO]])/$X$10)</f>
        <v>0</v>
      </c>
      <c r="DV238" s="16">
        <f>IF($X238="","",SUM(Tabla152[[#This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38" s="16">
        <f t="shared" si="22"/>
        <v>0</v>
      </c>
      <c r="DX238" s="16">
        <f>IF($X238="","",AJ238/$X$10)</f>
        <v>0</v>
      </c>
      <c r="DY238" s="16">
        <f>IF($X238="","",SUM(Tabla152[[#This Row],[PRESENCIA DE COROLA]],Tabla152[[#This Row],[PRESENCIA DE RESTO FLORAL VERDE]],Tabla152[[#This Row],[PRESENCIA DE PEDÚNCULO]])/$X$10)</f>
        <v>0</v>
      </c>
      <c r="DZ238" s="16">
        <f>IF($X238="","",SUM(Tabla152[[#This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39" spans="1:130" x14ac:dyDescent="0.3">
      <c r="A239" s="9">
        <f>IF(W239="","",IF(ROW()=10,1,IF(W239=W238,A238,MAX($A$9:A238)+1)))</f>
        <v>76</v>
      </c>
      <c r="B239" s="9">
        <f>WEEKNUM(Tabla152[[#This Row],[FECHA DE COSECHA]],21)</f>
        <v>36</v>
      </c>
      <c r="C239" s="9"/>
      <c r="D239" s="17">
        <v>46268</v>
      </c>
      <c r="E239" s="17">
        <v>46268</v>
      </c>
      <c r="F239" s="9">
        <v>1</v>
      </c>
      <c r="G239" s="9" t="s">
        <v>77</v>
      </c>
      <c r="H239" s="9" t="s">
        <v>144</v>
      </c>
      <c r="I239" s="9" t="s">
        <v>134</v>
      </c>
      <c r="J239" s="9" t="s">
        <v>78</v>
      </c>
      <c r="K239" s="9" t="s">
        <v>153</v>
      </c>
      <c r="L239" s="9" t="s">
        <v>131</v>
      </c>
      <c r="M239" s="9" t="s">
        <v>239</v>
      </c>
      <c r="N239" s="9" t="s">
        <v>136</v>
      </c>
      <c r="O239" s="9" t="s">
        <v>244</v>
      </c>
      <c r="P239" s="9" t="s">
        <v>152</v>
      </c>
      <c r="Q239" s="9"/>
      <c r="R239" s="9">
        <v>8</v>
      </c>
      <c r="S239" s="9">
        <v>78114711</v>
      </c>
      <c r="T239" t="s">
        <v>233</v>
      </c>
      <c r="U239" s="9" t="s">
        <v>147</v>
      </c>
      <c r="V239" s="9"/>
      <c r="W239" s="19" t="s">
        <v>221</v>
      </c>
      <c r="X239" s="9">
        <v>69</v>
      </c>
      <c r="Y239" s="9">
        <v>2</v>
      </c>
      <c r="Z239" s="9">
        <v>15</v>
      </c>
      <c r="AA239" s="9" t="str">
        <f>IF(Tabla152[[#This Row],[NOTA]]=15,"CUMPLE","NO CUMPLE")</f>
        <v>CUMPLE</v>
      </c>
      <c r="AB239" s="9" t="str">
        <f>IF(COUNTIF($A$10:A239,A239)=1,IF(COUNTIFS($A:$A,A239,$AA:$AA,"NO CUMPLE")&gt;0,"NO CUMPLE","CUMPLE"),"")</f>
        <v/>
      </c>
      <c r="AC239" s="9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18"/>
      <c r="BX239" s="18">
        <f>IF($X239="","",AE239/$X$10)</f>
        <v>0</v>
      </c>
      <c r="BY239" s="18">
        <f>IF($X239="","",AF239/$X$10)</f>
        <v>0</v>
      </c>
      <c r="BZ239" s="18">
        <f>IF($X239="","",AG239/$X$10)</f>
        <v>0</v>
      </c>
      <c r="CA239" s="18">
        <f>IF($X239="","",AH239/$X$10)</f>
        <v>0</v>
      </c>
      <c r="CB239" s="18">
        <f t="shared" si="23"/>
        <v>0</v>
      </c>
      <c r="CC239" s="18">
        <f>IF($X239="","",AJ239/$X$10)</f>
        <v>0</v>
      </c>
      <c r="CD239" s="18">
        <f>IF($X239="","",AK239/$X$10)</f>
        <v>0</v>
      </c>
      <c r="CE239" s="18">
        <f>IF($X239="","",AL239/$X$10)</f>
        <v>0</v>
      </c>
      <c r="CF239" s="18">
        <f>IF($X239="","",AM239/$X$10)</f>
        <v>0</v>
      </c>
      <c r="CG239" s="18">
        <f>IF($X239="","",AN239/$X$10)</f>
        <v>0</v>
      </c>
      <c r="CH239" s="18">
        <f>IF($X239="","",AO239/$X$10)</f>
        <v>0</v>
      </c>
      <c r="CI239" s="18">
        <f>IF($X239="","",AP239/$X$10)</f>
        <v>0</v>
      </c>
      <c r="CJ239" s="18">
        <f>IF($X239="","",AQ239/$X$10)</f>
        <v>0</v>
      </c>
      <c r="CK239" s="18">
        <f>IF($X239="","",AR239/$X$10)</f>
        <v>0</v>
      </c>
      <c r="CL239" s="18">
        <f>IF($X239="","",AS239/$X$10)</f>
        <v>0</v>
      </c>
      <c r="CM239" s="18">
        <f>IF($X239="","",AT239/$X$10)</f>
        <v>0</v>
      </c>
      <c r="CN239" s="18">
        <f>IF($X239="","",AU239/$X$10)</f>
        <v>0</v>
      </c>
      <c r="CO239" s="18">
        <f>IF($X239="","",AV239/$X$10)</f>
        <v>0</v>
      </c>
      <c r="CP239" s="18">
        <f>IF($X239="","",AW239/$X$10)</f>
        <v>0</v>
      </c>
      <c r="CQ239" s="18">
        <f>IF($X239="","",AX239/$X$10)</f>
        <v>0</v>
      </c>
      <c r="CR239" s="18">
        <f>IF($X239="","",AY239/$X$10)</f>
        <v>0</v>
      </c>
      <c r="CS239" s="18">
        <f>IF($X239="","",AZ239/$X$10)</f>
        <v>0</v>
      </c>
      <c r="CT239" s="18">
        <f>IF($X239="","",BA239/$X$10)</f>
        <v>0</v>
      </c>
      <c r="CU239" s="18">
        <f>IF($X239="","",BB239/$X$10)</f>
        <v>0</v>
      </c>
      <c r="CV239" s="18">
        <f>IF($X239="","",BC239/$X$10)</f>
        <v>0</v>
      </c>
      <c r="CW239" s="18">
        <f>IF($X239="","",BD239/$X$10)</f>
        <v>0</v>
      </c>
      <c r="CX239" s="18">
        <f>IF($X239="","",BE239/$X$10)</f>
        <v>0</v>
      </c>
      <c r="CY239" s="18">
        <f>IF($X239="","",BF239/$X$10)</f>
        <v>0</v>
      </c>
      <c r="CZ239" s="18">
        <f>IF($X239="","",BG239/$X$10)</f>
        <v>0</v>
      </c>
      <c r="DA239" s="18">
        <f>IF($X239="","",BH239/$X$10)</f>
        <v>0</v>
      </c>
      <c r="DB239" s="18">
        <f>IF($X239="","",BI239/$X$10)</f>
        <v>0</v>
      </c>
      <c r="DC239" s="18">
        <f>IF($X239="","",BJ239/$X$10)</f>
        <v>0</v>
      </c>
      <c r="DD239" s="18">
        <f>IF($X239="","",BK239/$X$10)</f>
        <v>0</v>
      </c>
      <c r="DE239" s="18">
        <f>IF($X239="","",BL239/$X$10)</f>
        <v>0</v>
      </c>
      <c r="DF239" s="18">
        <f>IF($X239="","",BM239/$X$10)</f>
        <v>0</v>
      </c>
      <c r="DG239" s="18">
        <f t="shared" si="24"/>
        <v>0</v>
      </c>
      <c r="DH239" s="18">
        <f>IF($X239="","",BO239/$X$10)</f>
        <v>0</v>
      </c>
      <c r="DI239" s="18">
        <f>IF($X239="","",BP239/$X$10)</f>
        <v>0</v>
      </c>
      <c r="DJ239" s="18">
        <f>IF($X239="","",BQ239/$X$10)</f>
        <v>0</v>
      </c>
      <c r="DK239" s="18">
        <f>IF($X239="","",BR239/$X$10)</f>
        <v>0</v>
      </c>
      <c r="DL239" s="18">
        <f>IF($X239="","",BS239/$X$10)</f>
        <v>0</v>
      </c>
      <c r="DM239" s="18">
        <f>IF($X239="","",BT239/$X$10)</f>
        <v>0</v>
      </c>
      <c r="DN239" s="18">
        <f t="shared" si="25"/>
        <v>0</v>
      </c>
      <c r="DO239" s="16">
        <f>IF($X239="","",SUM(Tabla152[[#This Row],[PODRIDO]],Tabla152[[#This Row],[HONGO]],Tabla152[[#This Row],[PICADO DE AVE CON PUDRICIÓN]],Tabla152[[#This Row],[FUMAGINA]])/$X$10)</f>
        <v>0</v>
      </c>
      <c r="DP239" s="16">
        <f>IF($X239="","",SUM(Tabla152[[#This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39" s="16">
        <f>IF($X239="","",SUM(Tabla152[[#This Row],[BLANDO]:[COLAPSADO]])/$X$10)</f>
        <v>0</v>
      </c>
      <c r="DR239" s="16">
        <f>IF($X239="","",SUM(Tabla152[[#This Row],[DESHIDRATADO LEVE]:[DESHIDRATADO INMADURO]])/$X$10)</f>
        <v>0</v>
      </c>
      <c r="DS239" s="18">
        <f t="shared" si="21"/>
        <v>0</v>
      </c>
      <c r="DT239" s="16">
        <f>IF($X239="","",SUM(Tabla152[[#This Row],[PRESENCIA DE LARVA]],Tabla152[[#This Row],[CHANCHITO BLANCO]])/$X$10)</f>
        <v>0</v>
      </c>
      <c r="DU239" s="18">
        <f>IF($X239="","",SUM(Tabla152[[#This Row],[ROJO GRADO 2 A MÁS]],Tabla152[[#This Row],[IMMADURO VERDE]],Tabla152[[#This Row],[DESORDEN POR MADURACIÓN]],Tabla152[[#This Row],[ARO PEDICELAR VERDE EXTREMO]])/$X$10)</f>
        <v>0</v>
      </c>
      <c r="DV239" s="16">
        <f>IF($X239="","",SUM(Tabla152[[#This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39" s="16">
        <f t="shared" si="22"/>
        <v>0</v>
      </c>
      <c r="DX239" s="16">
        <f>IF($X239="","",AJ239/$X$10)</f>
        <v>0</v>
      </c>
      <c r="DY239" s="16">
        <f>IF($X239="","",SUM(Tabla152[[#This Row],[PRESENCIA DE COROLA]],Tabla152[[#This Row],[PRESENCIA DE RESTO FLORAL VERDE]],Tabla152[[#This Row],[PRESENCIA DE PEDÚNCULO]])/$X$10)</f>
        <v>0</v>
      </c>
      <c r="DZ239" s="16">
        <f>IF($X239="","",SUM(Tabla152[[#This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40" spans="1:130" x14ac:dyDescent="0.3">
      <c r="A240" s="9">
        <f>IF(W240="","",IF(ROW()=10,1,IF(W240=W239,A239,MAX($A$9:A239)+1)))</f>
        <v>76</v>
      </c>
      <c r="B240" s="9">
        <f>WEEKNUM(Tabla152[[#This Row],[FECHA DE COSECHA]],21)</f>
        <v>36</v>
      </c>
      <c r="C240" s="9"/>
      <c r="D240" s="17">
        <v>46268</v>
      </c>
      <c r="E240" s="17">
        <v>46268</v>
      </c>
      <c r="F240" s="9">
        <v>1</v>
      </c>
      <c r="G240" s="9" t="s">
        <v>77</v>
      </c>
      <c r="H240" s="9" t="s">
        <v>144</v>
      </c>
      <c r="I240" s="9" t="s">
        <v>134</v>
      </c>
      <c r="J240" s="9" t="s">
        <v>78</v>
      </c>
      <c r="K240" s="9" t="s">
        <v>153</v>
      </c>
      <c r="L240" s="9" t="s">
        <v>131</v>
      </c>
      <c r="M240" s="9" t="s">
        <v>239</v>
      </c>
      <c r="N240" s="9" t="s">
        <v>136</v>
      </c>
      <c r="O240" s="9" t="s">
        <v>244</v>
      </c>
      <c r="P240" s="9" t="s">
        <v>152</v>
      </c>
      <c r="Q240" s="9"/>
      <c r="R240" s="9">
        <v>8</v>
      </c>
      <c r="S240" s="9">
        <v>78114711</v>
      </c>
      <c r="T240" t="s">
        <v>233</v>
      </c>
      <c r="U240" s="9" t="s">
        <v>147</v>
      </c>
      <c r="V240" s="9"/>
      <c r="W240" s="19" t="s">
        <v>221</v>
      </c>
      <c r="X240" s="9">
        <v>69</v>
      </c>
      <c r="Y240" s="9">
        <v>3</v>
      </c>
      <c r="Z240" s="9">
        <v>5</v>
      </c>
      <c r="AA240" s="9" t="str">
        <f>IF(Tabla152[[#This Row],[NOTA]]=15,"CUMPLE","NO CUMPLE")</f>
        <v>NO CUMPLE</v>
      </c>
      <c r="AB240" s="9" t="str">
        <f>IF(COUNTIF($A$10:A240,A240)=1,IF(COUNTIFS($A:$A,A240,$AA:$AA,"NO CUMPLE")&gt;0,"NO CUMPLE","CUMPLE"),"")</f>
        <v/>
      </c>
      <c r="AC240" s="9"/>
      <c r="AD240" s="8">
        <v>1</v>
      </c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18"/>
      <c r="BX240" s="18">
        <f>IF($X240="","",AE240/$X$10)</f>
        <v>0</v>
      </c>
      <c r="BY240" s="18">
        <f>IF($X240="","",AF240/$X$10)</f>
        <v>0</v>
      </c>
      <c r="BZ240" s="18">
        <f>IF($X240="","",AG240/$X$10)</f>
        <v>0</v>
      </c>
      <c r="CA240" s="18">
        <f>IF($X240="","",AH240/$X$10)</f>
        <v>0</v>
      </c>
      <c r="CB240" s="18">
        <f t="shared" si="23"/>
        <v>0</v>
      </c>
      <c r="CC240" s="18">
        <f>IF($X240="","",AJ240/$X$10)</f>
        <v>0</v>
      </c>
      <c r="CD240" s="18">
        <f>IF($X240="","",AK240/$X$10)</f>
        <v>0</v>
      </c>
      <c r="CE240" s="18">
        <f>IF($X240="","",AL240/$X$10)</f>
        <v>0</v>
      </c>
      <c r="CF240" s="18">
        <f>IF($X240="","",AM240/$X$10)</f>
        <v>0</v>
      </c>
      <c r="CG240" s="18">
        <f>IF($X240="","",AN240/$X$10)</f>
        <v>0</v>
      </c>
      <c r="CH240" s="18">
        <f>IF($X240="","",AO240/$X$10)</f>
        <v>0</v>
      </c>
      <c r="CI240" s="18">
        <f>IF($X240="","",AP240/$X$10)</f>
        <v>0</v>
      </c>
      <c r="CJ240" s="18">
        <f>IF($X240="","",AQ240/$X$10)</f>
        <v>0</v>
      </c>
      <c r="CK240" s="18">
        <f>IF($X240="","",AR240/$X$10)</f>
        <v>0</v>
      </c>
      <c r="CL240" s="18">
        <f>IF($X240="","",AS240/$X$10)</f>
        <v>0</v>
      </c>
      <c r="CM240" s="18">
        <f>IF($X240="","",AT240/$X$10)</f>
        <v>0</v>
      </c>
      <c r="CN240" s="18">
        <f>IF($X240="","",AU240/$X$10)</f>
        <v>0</v>
      </c>
      <c r="CO240" s="18">
        <f>IF($X240="","",AV240/$X$10)</f>
        <v>0</v>
      </c>
      <c r="CP240" s="18">
        <f>IF($X240="","",AW240/$X$10)</f>
        <v>0</v>
      </c>
      <c r="CQ240" s="18">
        <f>IF($X240="","",AX240/$X$10)</f>
        <v>0</v>
      </c>
      <c r="CR240" s="18">
        <f>IF($X240="","",AY240/$X$10)</f>
        <v>0</v>
      </c>
      <c r="CS240" s="18">
        <f>IF($X240="","",AZ240/$X$10)</f>
        <v>0</v>
      </c>
      <c r="CT240" s="18">
        <f>IF($X240="","",BA240/$X$10)</f>
        <v>0</v>
      </c>
      <c r="CU240" s="18">
        <f>IF($X240="","",BB240/$X$10)</f>
        <v>0</v>
      </c>
      <c r="CV240" s="18">
        <f>IF($X240="","",BC240/$X$10)</f>
        <v>0</v>
      </c>
      <c r="CW240" s="18">
        <f>IF($X240="","",BD240/$X$10)</f>
        <v>0</v>
      </c>
      <c r="CX240" s="18">
        <f>IF($X240="","",BE240/$X$10)</f>
        <v>0</v>
      </c>
      <c r="CY240" s="18">
        <f>IF($X240="","",BF240/$X$10)</f>
        <v>0</v>
      </c>
      <c r="CZ240" s="18">
        <f>IF($X240="","",BG240/$X$10)</f>
        <v>0</v>
      </c>
      <c r="DA240" s="18">
        <f>IF($X240="","",BH240/$X$10)</f>
        <v>0</v>
      </c>
      <c r="DB240" s="18">
        <f>IF($X240="","",BI240/$X$10)</f>
        <v>0</v>
      </c>
      <c r="DC240" s="18">
        <f>IF($X240="","",BJ240/$X$10)</f>
        <v>0</v>
      </c>
      <c r="DD240" s="18">
        <f>IF($X240="","",BK240/$X$10)</f>
        <v>0</v>
      </c>
      <c r="DE240" s="18">
        <f>IF($X240="","",BL240/$X$10)</f>
        <v>0</v>
      </c>
      <c r="DF240" s="18">
        <f>IF($X240="","",BM240/$X$10)</f>
        <v>0</v>
      </c>
      <c r="DG240" s="18">
        <f t="shared" si="24"/>
        <v>0</v>
      </c>
      <c r="DH240" s="18">
        <f>IF($X240="","",BO240/$X$10)</f>
        <v>0</v>
      </c>
      <c r="DI240" s="18">
        <f>IF($X240="","",BP240/$X$10)</f>
        <v>0</v>
      </c>
      <c r="DJ240" s="18">
        <f>IF($X240="","",BQ240/$X$10)</f>
        <v>0</v>
      </c>
      <c r="DK240" s="18">
        <f>IF($X240="","",BR240/$X$10)</f>
        <v>0</v>
      </c>
      <c r="DL240" s="18">
        <f>IF($X240="","",BS240/$X$10)</f>
        <v>0</v>
      </c>
      <c r="DM240" s="18">
        <f>IF($X240="","",BT240/$X$10)</f>
        <v>0</v>
      </c>
      <c r="DN240" s="18">
        <f t="shared" si="25"/>
        <v>0</v>
      </c>
      <c r="DO240" s="16">
        <f>IF($X240="","",SUM(Tabla152[[#This Row],[PODRIDO]],Tabla152[[#This Row],[HONGO]],Tabla152[[#This Row],[PICADO DE AVE CON PUDRICIÓN]],Tabla152[[#This Row],[FUMAGINA]])/$X$10)</f>
        <v>0</v>
      </c>
      <c r="DP240" s="16">
        <f>IF($X240="","",SUM(Tabla152[[#This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40" s="16">
        <f>IF($X240="","",SUM(Tabla152[[#This Row],[BLANDO]:[COLAPSADO]])/$X$10)</f>
        <v>0</v>
      </c>
      <c r="DR240" s="16">
        <f>IF($X240="","",SUM(Tabla152[[#This Row],[DESHIDRATADO LEVE]:[DESHIDRATADO INMADURO]])/$X$10)</f>
        <v>0</v>
      </c>
      <c r="DS240" s="18">
        <f t="shared" si="21"/>
        <v>0</v>
      </c>
      <c r="DT240" s="16">
        <f>IF($X240="","",SUM(Tabla152[[#This Row],[PRESENCIA DE LARVA]],Tabla152[[#This Row],[CHANCHITO BLANCO]])/$X$10)</f>
        <v>0</v>
      </c>
      <c r="DU240" s="18">
        <f>IF($X240="","",SUM(Tabla152[[#This Row],[ROJO GRADO 2 A MÁS]],Tabla152[[#This Row],[IMMADURO VERDE]],Tabla152[[#This Row],[DESORDEN POR MADURACIÓN]],Tabla152[[#This Row],[ARO PEDICELAR VERDE EXTREMO]])/$X$10)</f>
        <v>0</v>
      </c>
      <c r="DV240" s="16">
        <f>IF($X240="","",SUM(Tabla152[[#This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40" s="16">
        <f t="shared" si="22"/>
        <v>0</v>
      </c>
      <c r="DX240" s="16">
        <f>IF($X240="","",AJ240/$X$10)</f>
        <v>0</v>
      </c>
      <c r="DY240" s="16">
        <f>IF($X240="","",SUM(Tabla152[[#This Row],[PRESENCIA DE COROLA]],Tabla152[[#This Row],[PRESENCIA DE RESTO FLORAL VERDE]],Tabla152[[#This Row],[PRESENCIA DE PEDÚNCULO]])/$X$10)</f>
        <v>0</v>
      </c>
      <c r="DZ240" s="16">
        <f>IF($X240="","",SUM(Tabla152[[#This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1.5873015873015872E-2</v>
      </c>
    </row>
    <row r="241" spans="1:130" x14ac:dyDescent="0.3">
      <c r="A241" s="9">
        <f>IF(W241="","",IF(ROW()=10,1,IF(W241=W240,A240,MAX($A$9:A240)+1)))</f>
        <v>77</v>
      </c>
      <c r="B241" s="9">
        <f>WEEKNUM(Tabla152[[#This Row],[FECHA DE COSECHA]],21)</f>
        <v>36</v>
      </c>
      <c r="C241" s="9"/>
      <c r="D241" s="17">
        <v>46268</v>
      </c>
      <c r="E241" s="17">
        <v>46268</v>
      </c>
      <c r="F241" s="9">
        <v>1</v>
      </c>
      <c r="G241" s="9" t="s">
        <v>77</v>
      </c>
      <c r="H241" s="9" t="s">
        <v>144</v>
      </c>
      <c r="I241" s="9" t="s">
        <v>134</v>
      </c>
      <c r="J241" s="9" t="s">
        <v>78</v>
      </c>
      <c r="K241" s="9" t="s">
        <v>153</v>
      </c>
      <c r="L241" s="9" t="s">
        <v>131</v>
      </c>
      <c r="M241" s="9" t="s">
        <v>239</v>
      </c>
      <c r="N241" s="9" t="s">
        <v>136</v>
      </c>
      <c r="O241" s="9" t="s">
        <v>244</v>
      </c>
      <c r="P241" s="9" t="s">
        <v>152</v>
      </c>
      <c r="Q241" s="9"/>
      <c r="R241" s="9">
        <v>8</v>
      </c>
      <c r="S241" s="9">
        <v>78114711</v>
      </c>
      <c r="T241" t="s">
        <v>233</v>
      </c>
      <c r="U241" s="9" t="s">
        <v>147</v>
      </c>
      <c r="V241" s="9"/>
      <c r="W241" s="19" t="s">
        <v>222</v>
      </c>
      <c r="X241" s="9">
        <v>69</v>
      </c>
      <c r="Y241" s="9">
        <v>1</v>
      </c>
      <c r="Z241" s="9">
        <v>15</v>
      </c>
      <c r="AA241" s="9" t="str">
        <f>IF(Tabla152[[#This Row],[NOTA]]=15,"CUMPLE","NO CUMPLE")</f>
        <v>CUMPLE</v>
      </c>
      <c r="AB241" s="9" t="str">
        <f>IF(COUNTIF($A$10:A241,A241)=1,IF(COUNTIFS($A:$A,A241,$AA:$AA,"NO CUMPLE")&gt;0,"NO CUMPLE","CUMPLE"),"")</f>
        <v>CUMPLE</v>
      </c>
      <c r="AC241" s="9" t="s">
        <v>140</v>
      </c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18"/>
      <c r="BX241" s="18">
        <f>IF($X241="","",AE241/$X$10)</f>
        <v>0</v>
      </c>
      <c r="BY241" s="18">
        <f>IF($X241="","",AF241/$X$10)</f>
        <v>0</v>
      </c>
      <c r="BZ241" s="18">
        <f>IF($X241="","",AG241/$X$10)</f>
        <v>0</v>
      </c>
      <c r="CA241" s="18">
        <f>IF($X241="","",AH241/$X$10)</f>
        <v>0</v>
      </c>
      <c r="CB241" s="18">
        <f t="shared" si="23"/>
        <v>0</v>
      </c>
      <c r="CC241" s="18">
        <f>IF($X241="","",AJ241/$X$10)</f>
        <v>0</v>
      </c>
      <c r="CD241" s="18">
        <f>IF($X241="","",AK241/$X$10)</f>
        <v>0</v>
      </c>
      <c r="CE241" s="18">
        <f>IF($X241="","",AL241/$X$10)</f>
        <v>0</v>
      </c>
      <c r="CF241" s="18">
        <f>IF($X241="","",AM241/$X$10)</f>
        <v>0</v>
      </c>
      <c r="CG241" s="18">
        <f>IF($X241="","",AN241/$X$10)</f>
        <v>0</v>
      </c>
      <c r="CH241" s="18">
        <f>IF($X241="","",AO241/$X$10)</f>
        <v>0</v>
      </c>
      <c r="CI241" s="18">
        <f>IF($X241="","",AP241/$X$10)</f>
        <v>0</v>
      </c>
      <c r="CJ241" s="18">
        <f>IF($X241="","",AQ241/$X$10)</f>
        <v>0</v>
      </c>
      <c r="CK241" s="18">
        <f>IF($X241="","",AR241/$X$10)</f>
        <v>0</v>
      </c>
      <c r="CL241" s="18">
        <f>IF($X241="","",AS241/$X$10)</f>
        <v>0</v>
      </c>
      <c r="CM241" s="18">
        <f>IF($X241="","",AT241/$X$10)</f>
        <v>0</v>
      </c>
      <c r="CN241" s="18">
        <f>IF($X241="","",AU241/$X$10)</f>
        <v>0</v>
      </c>
      <c r="CO241" s="18">
        <f>IF($X241="","",AV241/$X$10)</f>
        <v>0</v>
      </c>
      <c r="CP241" s="18">
        <f>IF($X241="","",AW241/$X$10)</f>
        <v>0</v>
      </c>
      <c r="CQ241" s="18">
        <f>IF($X241="","",AX241/$X$10)</f>
        <v>0</v>
      </c>
      <c r="CR241" s="18">
        <f>IF($X241="","",AY241/$X$10)</f>
        <v>0</v>
      </c>
      <c r="CS241" s="18">
        <f>IF($X241="","",AZ241/$X$10)</f>
        <v>0</v>
      </c>
      <c r="CT241" s="18">
        <f>IF($X241="","",BA241/$X$10)</f>
        <v>0</v>
      </c>
      <c r="CU241" s="18">
        <f>IF($X241="","",BB241/$X$10)</f>
        <v>0</v>
      </c>
      <c r="CV241" s="18">
        <f>IF($X241="","",BC241/$X$10)</f>
        <v>0</v>
      </c>
      <c r="CW241" s="18">
        <f>IF($X241="","",BD241/$X$10)</f>
        <v>0</v>
      </c>
      <c r="CX241" s="18">
        <f>IF($X241="","",BE241/$X$10)</f>
        <v>0</v>
      </c>
      <c r="CY241" s="18">
        <f>IF($X241="","",BF241/$X$10)</f>
        <v>0</v>
      </c>
      <c r="CZ241" s="18">
        <f>IF($X241="","",BG241/$X$10)</f>
        <v>0</v>
      </c>
      <c r="DA241" s="18">
        <f>IF($X241="","",BH241/$X$10)</f>
        <v>0</v>
      </c>
      <c r="DB241" s="18">
        <f>IF($X241="","",BI241/$X$10)</f>
        <v>0</v>
      </c>
      <c r="DC241" s="18">
        <f>IF($X241="","",BJ241/$X$10)</f>
        <v>0</v>
      </c>
      <c r="DD241" s="18">
        <f>IF($X241="","",BK241/$X$10)</f>
        <v>0</v>
      </c>
      <c r="DE241" s="18">
        <f>IF($X241="","",BL241/$X$10)</f>
        <v>0</v>
      </c>
      <c r="DF241" s="18">
        <f>IF($X241="","",BM241/$X$10)</f>
        <v>0</v>
      </c>
      <c r="DG241" s="18">
        <f t="shared" si="24"/>
        <v>0</v>
      </c>
      <c r="DH241" s="18">
        <f>IF($X241="","",BO241/$X$10)</f>
        <v>0</v>
      </c>
      <c r="DI241" s="18">
        <f>IF($X241="","",BP241/$X$10)</f>
        <v>0</v>
      </c>
      <c r="DJ241" s="18">
        <f>IF($X241="","",BQ241/$X$10)</f>
        <v>0</v>
      </c>
      <c r="DK241" s="18">
        <f>IF($X241="","",BR241/$X$10)</f>
        <v>0</v>
      </c>
      <c r="DL241" s="18">
        <f>IF($X241="","",BS241/$X$10)</f>
        <v>0</v>
      </c>
      <c r="DM241" s="18">
        <f>IF($X241="","",BT241/$X$10)</f>
        <v>0</v>
      </c>
      <c r="DN241" s="18">
        <f t="shared" si="25"/>
        <v>0</v>
      </c>
      <c r="DO241" s="16">
        <f>IF($X241="","",SUM(Tabla152[[#This Row],[PODRIDO]],Tabla152[[#This Row],[HONGO]],Tabla152[[#This Row],[PICADO DE AVE CON PUDRICIÓN]],Tabla152[[#This Row],[FUMAGINA]])/$X$10)</f>
        <v>0</v>
      </c>
      <c r="DP241" s="16">
        <f>IF($X241="","",SUM(Tabla152[[#This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41" s="16">
        <f>IF($X241="","",SUM(Tabla152[[#This Row],[BLANDO]:[COLAPSADO]])/$X$10)</f>
        <v>0</v>
      </c>
      <c r="DR241" s="16">
        <f>IF($X241="","",SUM(Tabla152[[#This Row],[DESHIDRATADO LEVE]:[DESHIDRATADO INMADURO]])/$X$10)</f>
        <v>0</v>
      </c>
      <c r="DS241" s="18">
        <f t="shared" si="21"/>
        <v>0</v>
      </c>
      <c r="DT241" s="16">
        <f>IF($X241="","",SUM(Tabla152[[#This Row],[PRESENCIA DE LARVA]],Tabla152[[#This Row],[CHANCHITO BLANCO]])/$X$10)</f>
        <v>0</v>
      </c>
      <c r="DU241" s="18">
        <f>IF($X241="","",SUM(Tabla152[[#This Row],[ROJO GRADO 2 A MÁS]],Tabla152[[#This Row],[IMMADURO VERDE]],Tabla152[[#This Row],[DESORDEN POR MADURACIÓN]],Tabla152[[#This Row],[ARO PEDICELAR VERDE EXTREMO]])/$X$10)</f>
        <v>0</v>
      </c>
      <c r="DV241" s="16">
        <f>IF($X241="","",SUM(Tabla152[[#This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41" s="16">
        <f t="shared" si="22"/>
        <v>0</v>
      </c>
      <c r="DX241" s="16">
        <f>IF($X241="","",AJ241/$X$10)</f>
        <v>0</v>
      </c>
      <c r="DY241" s="16">
        <f>IF($X241="","",SUM(Tabla152[[#This Row],[PRESENCIA DE COROLA]],Tabla152[[#This Row],[PRESENCIA DE RESTO FLORAL VERDE]],Tabla152[[#This Row],[PRESENCIA DE PEDÚNCULO]])/$X$10)</f>
        <v>0</v>
      </c>
      <c r="DZ241" s="16">
        <f>IF($X241="","",SUM(Tabla152[[#This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42" spans="1:130" x14ac:dyDescent="0.3">
      <c r="A242" s="9">
        <f>IF(W242="","",IF(ROW()=10,1,IF(W242=W241,A241,MAX($A$9:A241)+1)))</f>
        <v>77</v>
      </c>
      <c r="B242" s="9">
        <f>WEEKNUM(Tabla152[[#This Row],[FECHA DE COSECHA]],21)</f>
        <v>36</v>
      </c>
      <c r="C242" s="9"/>
      <c r="D242" s="17">
        <v>46268</v>
      </c>
      <c r="E242" s="17">
        <v>46268</v>
      </c>
      <c r="F242" s="9">
        <v>1</v>
      </c>
      <c r="G242" s="9" t="s">
        <v>77</v>
      </c>
      <c r="H242" s="9" t="s">
        <v>144</v>
      </c>
      <c r="I242" s="9" t="s">
        <v>134</v>
      </c>
      <c r="J242" s="9" t="s">
        <v>78</v>
      </c>
      <c r="K242" s="9" t="s">
        <v>153</v>
      </c>
      <c r="L242" s="9" t="s">
        <v>131</v>
      </c>
      <c r="M242" s="9" t="s">
        <v>239</v>
      </c>
      <c r="N242" s="9" t="s">
        <v>136</v>
      </c>
      <c r="O242" s="9" t="s">
        <v>244</v>
      </c>
      <c r="P242" s="9" t="s">
        <v>152</v>
      </c>
      <c r="Q242" s="9"/>
      <c r="R242" s="9">
        <v>8</v>
      </c>
      <c r="S242" s="9">
        <v>78114711</v>
      </c>
      <c r="T242" t="s">
        <v>233</v>
      </c>
      <c r="U242" s="9" t="s">
        <v>147</v>
      </c>
      <c r="V242" s="9"/>
      <c r="W242" s="19" t="s">
        <v>222</v>
      </c>
      <c r="X242" s="9">
        <v>69</v>
      </c>
      <c r="Y242" s="9">
        <v>2</v>
      </c>
      <c r="Z242" s="9">
        <v>15</v>
      </c>
      <c r="AA242" s="9" t="str">
        <f>IF(Tabla152[[#This Row],[NOTA]]=15,"CUMPLE","NO CUMPLE")</f>
        <v>CUMPLE</v>
      </c>
      <c r="AB242" s="9" t="str">
        <f>IF(COUNTIF($A$10:A242,A242)=1,IF(COUNTIFS($A:$A,A242,$AA:$AA,"NO CUMPLE")&gt;0,"NO CUMPLE","CUMPLE"),"")</f>
        <v/>
      </c>
      <c r="AC242" s="9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18"/>
      <c r="BX242" s="18">
        <f>IF($X242="","",AE242/$X$10)</f>
        <v>0</v>
      </c>
      <c r="BY242" s="18">
        <f>IF($X242="","",AF242/$X$10)</f>
        <v>0</v>
      </c>
      <c r="BZ242" s="18">
        <f>IF($X242="","",AG242/$X$10)</f>
        <v>0</v>
      </c>
      <c r="CA242" s="18">
        <f>IF($X242="","",AH242/$X$10)</f>
        <v>0</v>
      </c>
      <c r="CB242" s="18">
        <f t="shared" si="23"/>
        <v>0</v>
      </c>
      <c r="CC242" s="18">
        <f>IF($X242="","",AJ242/$X$10)</f>
        <v>0</v>
      </c>
      <c r="CD242" s="18">
        <f>IF($X242="","",AK242/$X$10)</f>
        <v>0</v>
      </c>
      <c r="CE242" s="18">
        <f>IF($X242="","",AL242/$X$10)</f>
        <v>0</v>
      </c>
      <c r="CF242" s="18">
        <f>IF($X242="","",AM242/$X$10)</f>
        <v>0</v>
      </c>
      <c r="CG242" s="18">
        <f>IF($X242="","",AN242/$X$10)</f>
        <v>0</v>
      </c>
      <c r="CH242" s="18">
        <f>IF($X242="","",AO242/$X$10)</f>
        <v>0</v>
      </c>
      <c r="CI242" s="18">
        <f>IF($X242="","",AP242/$X$10)</f>
        <v>0</v>
      </c>
      <c r="CJ242" s="18">
        <f>IF($X242="","",AQ242/$X$10)</f>
        <v>0</v>
      </c>
      <c r="CK242" s="18">
        <f>IF($X242="","",AR242/$X$10)</f>
        <v>0</v>
      </c>
      <c r="CL242" s="18">
        <f>IF($X242="","",AS242/$X$10)</f>
        <v>0</v>
      </c>
      <c r="CM242" s="18">
        <f>IF($X242="","",AT242/$X$10)</f>
        <v>0</v>
      </c>
      <c r="CN242" s="18">
        <f>IF($X242="","",AU242/$X$10)</f>
        <v>0</v>
      </c>
      <c r="CO242" s="18">
        <f>IF($X242="","",AV242/$X$10)</f>
        <v>0</v>
      </c>
      <c r="CP242" s="18">
        <f>IF($X242="","",AW242/$X$10)</f>
        <v>0</v>
      </c>
      <c r="CQ242" s="18">
        <f>IF($X242="","",AX242/$X$10)</f>
        <v>0</v>
      </c>
      <c r="CR242" s="18">
        <f>IF($X242="","",AY242/$X$10)</f>
        <v>0</v>
      </c>
      <c r="CS242" s="18">
        <f>IF($X242="","",AZ242/$X$10)</f>
        <v>0</v>
      </c>
      <c r="CT242" s="18">
        <f>IF($X242="","",BA242/$X$10)</f>
        <v>0</v>
      </c>
      <c r="CU242" s="18">
        <f>IF($X242="","",BB242/$X$10)</f>
        <v>0</v>
      </c>
      <c r="CV242" s="18">
        <f>IF($X242="","",BC242/$X$10)</f>
        <v>0</v>
      </c>
      <c r="CW242" s="18">
        <f>IF($X242="","",BD242/$X$10)</f>
        <v>0</v>
      </c>
      <c r="CX242" s="18">
        <f>IF($X242="","",BE242/$X$10)</f>
        <v>0</v>
      </c>
      <c r="CY242" s="18">
        <f>IF($X242="","",BF242/$X$10)</f>
        <v>0</v>
      </c>
      <c r="CZ242" s="18">
        <f>IF($X242="","",BG242/$X$10)</f>
        <v>0</v>
      </c>
      <c r="DA242" s="18">
        <f>IF($X242="","",BH242/$X$10)</f>
        <v>0</v>
      </c>
      <c r="DB242" s="18">
        <f>IF($X242="","",BI242/$X$10)</f>
        <v>0</v>
      </c>
      <c r="DC242" s="18">
        <f>IF($X242="","",BJ242/$X$10)</f>
        <v>0</v>
      </c>
      <c r="DD242" s="18">
        <f>IF($X242="","",BK242/$X$10)</f>
        <v>0</v>
      </c>
      <c r="DE242" s="18">
        <f>IF($X242="","",BL242/$X$10)</f>
        <v>0</v>
      </c>
      <c r="DF242" s="18">
        <f>IF($X242="","",BM242/$X$10)</f>
        <v>0</v>
      </c>
      <c r="DG242" s="18">
        <f t="shared" si="24"/>
        <v>0</v>
      </c>
      <c r="DH242" s="18">
        <f>IF($X242="","",BO242/$X$10)</f>
        <v>0</v>
      </c>
      <c r="DI242" s="18">
        <f>IF($X242="","",BP242/$X$10)</f>
        <v>0</v>
      </c>
      <c r="DJ242" s="18">
        <f>IF($X242="","",BQ242/$X$10)</f>
        <v>0</v>
      </c>
      <c r="DK242" s="18">
        <f>IF($X242="","",BR242/$X$10)</f>
        <v>0</v>
      </c>
      <c r="DL242" s="18">
        <f>IF($X242="","",BS242/$X$10)</f>
        <v>0</v>
      </c>
      <c r="DM242" s="18">
        <f>IF($X242="","",BT242/$X$10)</f>
        <v>0</v>
      </c>
      <c r="DN242" s="18">
        <f t="shared" si="25"/>
        <v>0</v>
      </c>
      <c r="DO242" s="16">
        <f>IF($X242="","",SUM(Tabla152[[#This Row],[PODRIDO]],Tabla152[[#This Row],[HONGO]],Tabla152[[#This Row],[PICADO DE AVE CON PUDRICIÓN]],Tabla152[[#This Row],[FUMAGINA]])/$X$10)</f>
        <v>0</v>
      </c>
      <c r="DP242" s="16">
        <f>IF($X242="","",SUM(Tabla152[[#This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42" s="16">
        <f>IF($X242="","",SUM(Tabla152[[#This Row],[BLANDO]:[COLAPSADO]])/$X$10)</f>
        <v>0</v>
      </c>
      <c r="DR242" s="16">
        <f>IF($X242="","",SUM(Tabla152[[#This Row],[DESHIDRATADO LEVE]:[DESHIDRATADO INMADURO]])/$X$10)</f>
        <v>0</v>
      </c>
      <c r="DS242" s="18">
        <f t="shared" si="21"/>
        <v>0</v>
      </c>
      <c r="DT242" s="16">
        <f>IF($X242="","",SUM(Tabla152[[#This Row],[PRESENCIA DE LARVA]],Tabla152[[#This Row],[CHANCHITO BLANCO]])/$X$10)</f>
        <v>0</v>
      </c>
      <c r="DU242" s="18">
        <f>IF($X242="","",SUM(Tabla152[[#This Row],[ROJO GRADO 2 A MÁS]],Tabla152[[#This Row],[IMMADURO VERDE]],Tabla152[[#This Row],[DESORDEN POR MADURACIÓN]],Tabla152[[#This Row],[ARO PEDICELAR VERDE EXTREMO]])/$X$10)</f>
        <v>0</v>
      </c>
      <c r="DV242" s="16">
        <f>IF($X242="","",SUM(Tabla152[[#This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42" s="16">
        <f t="shared" si="22"/>
        <v>0</v>
      </c>
      <c r="DX242" s="16">
        <f>IF($X242="","",AJ242/$X$10)</f>
        <v>0</v>
      </c>
      <c r="DY242" s="16">
        <f>IF($X242="","",SUM(Tabla152[[#This Row],[PRESENCIA DE COROLA]],Tabla152[[#This Row],[PRESENCIA DE RESTO FLORAL VERDE]],Tabla152[[#This Row],[PRESENCIA DE PEDÚNCULO]])/$X$10)</f>
        <v>0</v>
      </c>
      <c r="DZ242" s="16">
        <f>IF($X242="","",SUM(Tabla152[[#This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43" spans="1:130" x14ac:dyDescent="0.3">
      <c r="A243" s="9">
        <f>IF(W243="","",IF(ROW()=10,1,IF(W243=W242,A242,MAX($A$9:A242)+1)))</f>
        <v>77</v>
      </c>
      <c r="B243" s="9">
        <f>WEEKNUM(Tabla152[[#This Row],[FECHA DE COSECHA]],21)</f>
        <v>36</v>
      </c>
      <c r="C243" s="9"/>
      <c r="D243" s="17">
        <v>46268</v>
      </c>
      <c r="E243" s="17">
        <v>46268</v>
      </c>
      <c r="F243" s="9">
        <v>1</v>
      </c>
      <c r="G243" s="9" t="s">
        <v>77</v>
      </c>
      <c r="H243" s="9" t="s">
        <v>144</v>
      </c>
      <c r="I243" s="9" t="s">
        <v>134</v>
      </c>
      <c r="J243" s="9" t="s">
        <v>78</v>
      </c>
      <c r="K243" s="9" t="s">
        <v>153</v>
      </c>
      <c r="L243" s="9" t="s">
        <v>131</v>
      </c>
      <c r="M243" s="9" t="s">
        <v>239</v>
      </c>
      <c r="N243" s="9" t="s">
        <v>136</v>
      </c>
      <c r="O243" s="9" t="s">
        <v>244</v>
      </c>
      <c r="P243" s="9" t="s">
        <v>152</v>
      </c>
      <c r="Q243" s="9"/>
      <c r="R243" s="9">
        <v>8</v>
      </c>
      <c r="S243" s="9">
        <v>78114711</v>
      </c>
      <c r="T243" t="s">
        <v>233</v>
      </c>
      <c r="U243" s="9" t="s">
        <v>147</v>
      </c>
      <c r="V243" s="9"/>
      <c r="W243" s="19" t="s">
        <v>222</v>
      </c>
      <c r="X243" s="9">
        <v>69</v>
      </c>
      <c r="Y243" s="9">
        <v>3</v>
      </c>
      <c r="Z243" s="9">
        <v>15</v>
      </c>
      <c r="AA243" s="9" t="str">
        <f>IF(Tabla152[[#This Row],[NOTA]]=15,"CUMPLE","NO CUMPLE")</f>
        <v>CUMPLE</v>
      </c>
      <c r="AB243" s="9" t="str">
        <f>IF(COUNTIF($A$10:A243,A243)=1,IF(COUNTIFS($A:$A,A243,$AA:$AA,"NO CUMPLE")&gt;0,"NO CUMPLE","CUMPLE"),"")</f>
        <v/>
      </c>
      <c r="AC243" s="9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18"/>
      <c r="BX243" s="18">
        <f>IF($X243="","",AE243/$X$10)</f>
        <v>0</v>
      </c>
      <c r="BY243" s="18">
        <f>IF($X243="","",AF243/$X$10)</f>
        <v>0</v>
      </c>
      <c r="BZ243" s="18">
        <f>IF($X243="","",AG243/$X$10)</f>
        <v>0</v>
      </c>
      <c r="CA243" s="18">
        <f>IF($X243="","",AH243/$X$10)</f>
        <v>0</v>
      </c>
      <c r="CB243" s="18">
        <f t="shared" si="23"/>
        <v>0</v>
      </c>
      <c r="CC243" s="18">
        <f>IF($X243="","",AJ243/$X$10)</f>
        <v>0</v>
      </c>
      <c r="CD243" s="18">
        <f>IF($X243="","",AK243/$X$10)</f>
        <v>0</v>
      </c>
      <c r="CE243" s="18">
        <f>IF($X243="","",AL243/$X$10)</f>
        <v>0</v>
      </c>
      <c r="CF243" s="18">
        <f>IF($X243="","",AM243/$X$10)</f>
        <v>0</v>
      </c>
      <c r="CG243" s="18">
        <f>IF($X243="","",AN243/$X$10)</f>
        <v>0</v>
      </c>
      <c r="CH243" s="18">
        <f>IF($X243="","",AO243/$X$10)</f>
        <v>0</v>
      </c>
      <c r="CI243" s="18">
        <f>IF($X243="","",AP243/$X$10)</f>
        <v>0</v>
      </c>
      <c r="CJ243" s="18">
        <f>IF($X243="","",AQ243/$X$10)</f>
        <v>0</v>
      </c>
      <c r="CK243" s="18">
        <f>IF($X243="","",AR243/$X$10)</f>
        <v>0</v>
      </c>
      <c r="CL243" s="18">
        <f>IF($X243="","",AS243/$X$10)</f>
        <v>0</v>
      </c>
      <c r="CM243" s="18">
        <f>IF($X243="","",AT243/$X$10)</f>
        <v>0</v>
      </c>
      <c r="CN243" s="18">
        <f>IF($X243="","",AU243/$X$10)</f>
        <v>0</v>
      </c>
      <c r="CO243" s="18">
        <f>IF($X243="","",AV243/$X$10)</f>
        <v>0</v>
      </c>
      <c r="CP243" s="18">
        <f>IF($X243="","",AW243/$X$10)</f>
        <v>0</v>
      </c>
      <c r="CQ243" s="18">
        <f>IF($X243="","",AX243/$X$10)</f>
        <v>0</v>
      </c>
      <c r="CR243" s="18">
        <f>IF($X243="","",AY243/$X$10)</f>
        <v>0</v>
      </c>
      <c r="CS243" s="18">
        <f>IF($X243="","",AZ243/$X$10)</f>
        <v>0</v>
      </c>
      <c r="CT243" s="18">
        <f>IF($X243="","",BA243/$X$10)</f>
        <v>0</v>
      </c>
      <c r="CU243" s="18">
        <f>IF($X243="","",BB243/$X$10)</f>
        <v>0</v>
      </c>
      <c r="CV243" s="18">
        <f>IF($X243="","",BC243/$X$10)</f>
        <v>0</v>
      </c>
      <c r="CW243" s="18">
        <f>IF($X243="","",BD243/$X$10)</f>
        <v>0</v>
      </c>
      <c r="CX243" s="18">
        <f>IF($X243="","",BE243/$X$10)</f>
        <v>0</v>
      </c>
      <c r="CY243" s="18">
        <f>IF($X243="","",BF243/$X$10)</f>
        <v>0</v>
      </c>
      <c r="CZ243" s="18">
        <f>IF($X243="","",BG243/$X$10)</f>
        <v>0</v>
      </c>
      <c r="DA243" s="18">
        <f>IF($X243="","",BH243/$X$10)</f>
        <v>0</v>
      </c>
      <c r="DB243" s="18">
        <f>IF($X243="","",BI243/$X$10)</f>
        <v>0</v>
      </c>
      <c r="DC243" s="18">
        <f>IF($X243="","",BJ243/$X$10)</f>
        <v>0</v>
      </c>
      <c r="DD243" s="18">
        <f>IF($X243="","",BK243/$X$10)</f>
        <v>0</v>
      </c>
      <c r="DE243" s="18">
        <f>IF($X243="","",BL243/$X$10)</f>
        <v>0</v>
      </c>
      <c r="DF243" s="18">
        <f>IF($X243="","",BM243/$X$10)</f>
        <v>0</v>
      </c>
      <c r="DG243" s="18">
        <f t="shared" si="24"/>
        <v>0</v>
      </c>
      <c r="DH243" s="18">
        <f>IF($X243="","",BO243/$X$10)</f>
        <v>0</v>
      </c>
      <c r="DI243" s="18">
        <f>IF($X243="","",BP243/$X$10)</f>
        <v>0</v>
      </c>
      <c r="DJ243" s="18">
        <f>IF($X243="","",BQ243/$X$10)</f>
        <v>0</v>
      </c>
      <c r="DK243" s="18">
        <f>IF($X243="","",BR243/$X$10)</f>
        <v>0</v>
      </c>
      <c r="DL243" s="18">
        <f>IF($X243="","",BS243/$X$10)</f>
        <v>0</v>
      </c>
      <c r="DM243" s="18">
        <f>IF($X243="","",BT243/$X$10)</f>
        <v>0</v>
      </c>
      <c r="DN243" s="18">
        <f t="shared" si="25"/>
        <v>0</v>
      </c>
      <c r="DO243" s="16">
        <f>IF($X243="","",SUM(Tabla152[[#This Row],[PODRIDO]],Tabla152[[#This Row],[HONGO]],Tabla152[[#This Row],[PICADO DE AVE CON PUDRICIÓN]],Tabla152[[#This Row],[FUMAGINA]])/$X$10)</f>
        <v>0</v>
      </c>
      <c r="DP243" s="16">
        <f>IF($X243="","",SUM(Tabla152[[#This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43" s="16">
        <f>IF($X243="","",SUM(Tabla152[[#This Row],[BLANDO]:[COLAPSADO]])/$X$10)</f>
        <v>0</v>
      </c>
      <c r="DR243" s="16">
        <f>IF($X243="","",SUM(Tabla152[[#This Row],[DESHIDRATADO LEVE]:[DESHIDRATADO INMADURO]])/$X$10)</f>
        <v>0</v>
      </c>
      <c r="DS243" s="18">
        <f t="shared" si="21"/>
        <v>0</v>
      </c>
      <c r="DT243" s="16">
        <f>IF($X243="","",SUM(Tabla152[[#This Row],[PRESENCIA DE LARVA]],Tabla152[[#This Row],[CHANCHITO BLANCO]])/$X$10)</f>
        <v>0</v>
      </c>
      <c r="DU243" s="18">
        <f>IF($X243="","",SUM(Tabla152[[#This Row],[ROJO GRADO 2 A MÁS]],Tabla152[[#This Row],[IMMADURO VERDE]],Tabla152[[#This Row],[DESORDEN POR MADURACIÓN]],Tabla152[[#This Row],[ARO PEDICELAR VERDE EXTREMO]])/$X$10)</f>
        <v>0</v>
      </c>
      <c r="DV243" s="16">
        <f>IF($X243="","",SUM(Tabla152[[#This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43" s="16">
        <f t="shared" si="22"/>
        <v>0</v>
      </c>
      <c r="DX243" s="16">
        <f>IF($X243="","",AJ243/$X$10)</f>
        <v>0</v>
      </c>
      <c r="DY243" s="16">
        <f>IF($X243="","",SUM(Tabla152[[#This Row],[PRESENCIA DE COROLA]],Tabla152[[#This Row],[PRESENCIA DE RESTO FLORAL VERDE]],Tabla152[[#This Row],[PRESENCIA DE PEDÚNCULO]])/$X$10)</f>
        <v>0</v>
      </c>
      <c r="DZ243" s="16">
        <f>IF($X243="","",SUM(Tabla152[[#This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44" spans="1:130" x14ac:dyDescent="0.3">
      <c r="A244" s="9">
        <f>IF(W244="","",IF(ROW()=10,1,IF(W244=W243,A243,MAX($A$9:A243)+1)))</f>
        <v>78</v>
      </c>
      <c r="B244" s="9">
        <f>WEEKNUM(Tabla152[[#This Row],[FECHA DE COSECHA]],21)</f>
        <v>36</v>
      </c>
      <c r="C244" s="9"/>
      <c r="D244" s="17">
        <v>46268</v>
      </c>
      <c r="E244" s="17">
        <v>46268</v>
      </c>
      <c r="F244" s="9">
        <v>1</v>
      </c>
      <c r="G244" s="9" t="s">
        <v>77</v>
      </c>
      <c r="H244" s="9" t="s">
        <v>144</v>
      </c>
      <c r="I244" s="9" t="s">
        <v>134</v>
      </c>
      <c r="J244" s="9" t="s">
        <v>78</v>
      </c>
      <c r="K244" s="9" t="s">
        <v>153</v>
      </c>
      <c r="L244" s="9" t="s">
        <v>131</v>
      </c>
      <c r="M244" s="9" t="s">
        <v>239</v>
      </c>
      <c r="N244" s="9" t="s">
        <v>136</v>
      </c>
      <c r="O244" s="9" t="s">
        <v>244</v>
      </c>
      <c r="P244" s="9" t="s">
        <v>152</v>
      </c>
      <c r="Q244" s="9"/>
      <c r="R244" s="9">
        <v>8</v>
      </c>
      <c r="S244" s="9">
        <v>78114711</v>
      </c>
      <c r="T244" t="s">
        <v>233</v>
      </c>
      <c r="U244" s="9" t="s">
        <v>147</v>
      </c>
      <c r="V244" s="9"/>
      <c r="W244" s="19" t="s">
        <v>223</v>
      </c>
      <c r="X244" s="9">
        <v>69</v>
      </c>
      <c r="Y244" s="9">
        <v>1</v>
      </c>
      <c r="Z244" s="9">
        <v>15</v>
      </c>
      <c r="AA244" s="9" t="str">
        <f>IF(Tabla152[[#This Row],[NOTA]]=15,"CUMPLE","NO CUMPLE")</f>
        <v>CUMPLE</v>
      </c>
      <c r="AB244" s="9" t="str">
        <f>IF(COUNTIF($A$10:A244,A244)=1,IF(COUNTIFS($A:$A,A244,$AA:$AA,"NO CUMPLE")&gt;0,"NO CUMPLE","CUMPLE"),"")</f>
        <v>CUMPLE</v>
      </c>
      <c r="AC244" s="9" t="s">
        <v>140</v>
      </c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18"/>
      <c r="BX244" s="18">
        <f>IF($X244="","",AE244/$X$10)</f>
        <v>0</v>
      </c>
      <c r="BY244" s="18">
        <f>IF($X244="","",AF244/$X$10)</f>
        <v>0</v>
      </c>
      <c r="BZ244" s="18">
        <f>IF($X244="","",AG244/$X$10)</f>
        <v>0</v>
      </c>
      <c r="CA244" s="18">
        <f>IF($X244="","",AH244/$X$10)</f>
        <v>0</v>
      </c>
      <c r="CB244" s="18">
        <f t="shared" si="23"/>
        <v>0</v>
      </c>
      <c r="CC244" s="18">
        <f>IF($X244="","",AJ244/$X$10)</f>
        <v>0</v>
      </c>
      <c r="CD244" s="18">
        <f>IF($X244="","",AK244/$X$10)</f>
        <v>0</v>
      </c>
      <c r="CE244" s="18">
        <f>IF($X244="","",AL244/$X$10)</f>
        <v>0</v>
      </c>
      <c r="CF244" s="18">
        <f>IF($X244="","",AM244/$X$10)</f>
        <v>0</v>
      </c>
      <c r="CG244" s="18">
        <f>IF($X244="","",AN244/$X$10)</f>
        <v>0</v>
      </c>
      <c r="CH244" s="18">
        <f>IF($X244="","",AO244/$X$10)</f>
        <v>0</v>
      </c>
      <c r="CI244" s="18">
        <f>IF($X244="","",AP244/$X$10)</f>
        <v>0</v>
      </c>
      <c r="CJ244" s="18">
        <f>IF($X244="","",AQ244/$X$10)</f>
        <v>0</v>
      </c>
      <c r="CK244" s="18">
        <f>IF($X244="","",AR244/$X$10)</f>
        <v>0</v>
      </c>
      <c r="CL244" s="18">
        <f>IF($X244="","",AS244/$X$10)</f>
        <v>0</v>
      </c>
      <c r="CM244" s="18">
        <f>IF($X244="","",AT244/$X$10)</f>
        <v>0</v>
      </c>
      <c r="CN244" s="18">
        <f>IF($X244="","",AU244/$X$10)</f>
        <v>0</v>
      </c>
      <c r="CO244" s="18">
        <f>IF($X244="","",AV244/$X$10)</f>
        <v>0</v>
      </c>
      <c r="CP244" s="18">
        <f>IF($X244="","",AW244/$X$10)</f>
        <v>0</v>
      </c>
      <c r="CQ244" s="18">
        <f>IF($X244="","",AX244/$X$10)</f>
        <v>0</v>
      </c>
      <c r="CR244" s="18">
        <f>IF($X244="","",AY244/$X$10)</f>
        <v>0</v>
      </c>
      <c r="CS244" s="18">
        <f>IF($X244="","",AZ244/$X$10)</f>
        <v>0</v>
      </c>
      <c r="CT244" s="18">
        <f>IF($X244="","",BA244/$X$10)</f>
        <v>0</v>
      </c>
      <c r="CU244" s="18">
        <f>IF($X244="","",BB244/$X$10)</f>
        <v>0</v>
      </c>
      <c r="CV244" s="18">
        <f>IF($X244="","",BC244/$X$10)</f>
        <v>0</v>
      </c>
      <c r="CW244" s="18">
        <f>IF($X244="","",BD244/$X$10)</f>
        <v>0</v>
      </c>
      <c r="CX244" s="18">
        <f>IF($X244="","",BE244/$X$10)</f>
        <v>0</v>
      </c>
      <c r="CY244" s="18">
        <f>IF($X244="","",BF244/$X$10)</f>
        <v>0</v>
      </c>
      <c r="CZ244" s="18">
        <f>IF($X244="","",BG244/$X$10)</f>
        <v>0</v>
      </c>
      <c r="DA244" s="18">
        <f>IF($X244="","",BH244/$X$10)</f>
        <v>0</v>
      </c>
      <c r="DB244" s="18">
        <f>IF($X244="","",BI244/$X$10)</f>
        <v>0</v>
      </c>
      <c r="DC244" s="18">
        <f>IF($X244="","",BJ244/$X$10)</f>
        <v>0</v>
      </c>
      <c r="DD244" s="18">
        <f>IF($X244="","",BK244/$X$10)</f>
        <v>0</v>
      </c>
      <c r="DE244" s="18">
        <f>IF($X244="","",BL244/$X$10)</f>
        <v>0</v>
      </c>
      <c r="DF244" s="18">
        <f>IF($X244="","",BM244/$X$10)</f>
        <v>0</v>
      </c>
      <c r="DG244" s="18">
        <f t="shared" si="24"/>
        <v>0</v>
      </c>
      <c r="DH244" s="18">
        <f>IF($X244="","",BO244/$X$10)</f>
        <v>0</v>
      </c>
      <c r="DI244" s="18">
        <f>IF($X244="","",BP244/$X$10)</f>
        <v>0</v>
      </c>
      <c r="DJ244" s="18">
        <f>IF($X244="","",BQ244/$X$10)</f>
        <v>0</v>
      </c>
      <c r="DK244" s="18">
        <f>IF($X244="","",BR244/$X$10)</f>
        <v>0</v>
      </c>
      <c r="DL244" s="18">
        <f>IF($X244="","",BS244/$X$10)</f>
        <v>0</v>
      </c>
      <c r="DM244" s="18">
        <f>IF($X244="","",BT244/$X$10)</f>
        <v>0</v>
      </c>
      <c r="DN244" s="18">
        <f t="shared" si="25"/>
        <v>0</v>
      </c>
      <c r="DO244" s="16">
        <f>IF($X244="","",SUM(Tabla152[[#This Row],[PODRIDO]],Tabla152[[#This Row],[HONGO]],Tabla152[[#This Row],[PICADO DE AVE CON PUDRICIÓN]],Tabla152[[#This Row],[FUMAGINA]])/$X$10)</f>
        <v>0</v>
      </c>
      <c r="DP244" s="16">
        <f>IF($X244="","",SUM(Tabla152[[#This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44" s="16">
        <f>IF($X244="","",SUM(Tabla152[[#This Row],[BLANDO]:[COLAPSADO]])/$X$10)</f>
        <v>0</v>
      </c>
      <c r="DR244" s="16">
        <f>IF($X244="","",SUM(Tabla152[[#This Row],[DESHIDRATADO LEVE]:[DESHIDRATADO INMADURO]])/$X$10)</f>
        <v>0</v>
      </c>
      <c r="DS244" s="18">
        <f t="shared" si="21"/>
        <v>0</v>
      </c>
      <c r="DT244" s="16">
        <f>IF($X244="","",SUM(Tabla152[[#This Row],[PRESENCIA DE LARVA]],Tabla152[[#This Row],[CHANCHITO BLANCO]])/$X$10)</f>
        <v>0</v>
      </c>
      <c r="DU244" s="18">
        <f>IF($X244="","",SUM(Tabla152[[#This Row],[ROJO GRADO 2 A MÁS]],Tabla152[[#This Row],[IMMADURO VERDE]],Tabla152[[#This Row],[DESORDEN POR MADURACIÓN]],Tabla152[[#This Row],[ARO PEDICELAR VERDE EXTREMO]])/$X$10)</f>
        <v>0</v>
      </c>
      <c r="DV244" s="16">
        <f>IF($X244="","",SUM(Tabla152[[#This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44" s="16">
        <f t="shared" si="22"/>
        <v>0</v>
      </c>
      <c r="DX244" s="16">
        <f>IF($X244="","",AJ244/$X$10)</f>
        <v>0</v>
      </c>
      <c r="DY244" s="16">
        <f>IF($X244="","",SUM(Tabla152[[#This Row],[PRESENCIA DE COROLA]],Tabla152[[#This Row],[PRESENCIA DE RESTO FLORAL VERDE]],Tabla152[[#This Row],[PRESENCIA DE PEDÚNCULO]])/$X$10)</f>
        <v>0</v>
      </c>
      <c r="DZ244" s="16">
        <f>IF($X244="","",SUM(Tabla152[[#This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45" spans="1:130" x14ac:dyDescent="0.3">
      <c r="A245" s="9">
        <f>IF(W245="","",IF(ROW()=10,1,IF(W245=W244,A244,MAX($A$9:A244)+1)))</f>
        <v>78</v>
      </c>
      <c r="B245" s="9">
        <f>WEEKNUM(Tabla152[[#This Row],[FECHA DE COSECHA]],21)</f>
        <v>36</v>
      </c>
      <c r="C245" s="9"/>
      <c r="D245" s="17">
        <v>46268</v>
      </c>
      <c r="E245" s="17">
        <v>46268</v>
      </c>
      <c r="F245" s="9">
        <v>1</v>
      </c>
      <c r="G245" s="9" t="s">
        <v>77</v>
      </c>
      <c r="H245" s="9" t="s">
        <v>144</v>
      </c>
      <c r="I245" s="9" t="s">
        <v>134</v>
      </c>
      <c r="J245" s="9" t="s">
        <v>78</v>
      </c>
      <c r="K245" s="9" t="s">
        <v>153</v>
      </c>
      <c r="L245" s="9" t="s">
        <v>131</v>
      </c>
      <c r="M245" s="9" t="s">
        <v>239</v>
      </c>
      <c r="N245" s="9" t="s">
        <v>136</v>
      </c>
      <c r="O245" s="9" t="s">
        <v>244</v>
      </c>
      <c r="P245" s="9" t="s">
        <v>152</v>
      </c>
      <c r="Q245" s="9"/>
      <c r="R245" s="9">
        <v>8</v>
      </c>
      <c r="S245" s="9">
        <v>78114711</v>
      </c>
      <c r="T245" t="s">
        <v>233</v>
      </c>
      <c r="U245" s="9" t="s">
        <v>147</v>
      </c>
      <c r="V245" s="9"/>
      <c r="W245" s="19" t="s">
        <v>223</v>
      </c>
      <c r="X245" s="9">
        <v>69</v>
      </c>
      <c r="Y245" s="9">
        <v>2</v>
      </c>
      <c r="Z245" s="9">
        <v>15</v>
      </c>
      <c r="AA245" s="9" t="str">
        <f>IF(Tabla152[[#This Row],[NOTA]]=15,"CUMPLE","NO CUMPLE")</f>
        <v>CUMPLE</v>
      </c>
      <c r="AB245" s="9" t="str">
        <f>IF(COUNTIF($A$10:A245,A245)=1,IF(COUNTIFS($A:$A,A245,$AA:$AA,"NO CUMPLE")&gt;0,"NO CUMPLE","CUMPLE"),"")</f>
        <v/>
      </c>
      <c r="AC245" s="9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18"/>
      <c r="BX245" s="18">
        <f>IF($X245="","",AE245/$X$10)</f>
        <v>0</v>
      </c>
      <c r="BY245" s="18">
        <f>IF($X245="","",AF245/$X$10)</f>
        <v>0</v>
      </c>
      <c r="BZ245" s="18">
        <f>IF($X245="","",AG245/$X$10)</f>
        <v>0</v>
      </c>
      <c r="CA245" s="18">
        <f>IF($X245="","",AH245/$X$10)</f>
        <v>0</v>
      </c>
      <c r="CB245" s="18">
        <f t="shared" si="23"/>
        <v>0</v>
      </c>
      <c r="CC245" s="18">
        <f>IF($X245="","",AJ245/$X$10)</f>
        <v>0</v>
      </c>
      <c r="CD245" s="18">
        <f>IF($X245="","",AK245/$X$10)</f>
        <v>0</v>
      </c>
      <c r="CE245" s="18">
        <f>IF($X245="","",AL245/$X$10)</f>
        <v>0</v>
      </c>
      <c r="CF245" s="18">
        <f>IF($X245="","",AM245/$X$10)</f>
        <v>0</v>
      </c>
      <c r="CG245" s="18">
        <f>IF($X245="","",AN245/$X$10)</f>
        <v>0</v>
      </c>
      <c r="CH245" s="18">
        <f>IF($X245="","",AO245/$X$10)</f>
        <v>0</v>
      </c>
      <c r="CI245" s="18">
        <f>IF($X245="","",AP245/$X$10)</f>
        <v>0</v>
      </c>
      <c r="CJ245" s="18">
        <f>IF($X245="","",AQ245/$X$10)</f>
        <v>0</v>
      </c>
      <c r="CK245" s="18">
        <f>IF($X245="","",AR245/$X$10)</f>
        <v>0</v>
      </c>
      <c r="CL245" s="18">
        <f>IF($X245="","",AS245/$X$10)</f>
        <v>0</v>
      </c>
      <c r="CM245" s="18">
        <f>IF($X245="","",AT245/$X$10)</f>
        <v>0</v>
      </c>
      <c r="CN245" s="18">
        <f>IF($X245="","",AU245/$X$10)</f>
        <v>0</v>
      </c>
      <c r="CO245" s="18">
        <f>IF($X245="","",AV245/$X$10)</f>
        <v>0</v>
      </c>
      <c r="CP245" s="18">
        <f>IF($X245="","",AW245/$X$10)</f>
        <v>0</v>
      </c>
      <c r="CQ245" s="18">
        <f>IF($X245="","",AX245/$X$10)</f>
        <v>0</v>
      </c>
      <c r="CR245" s="18">
        <f>IF($X245="","",AY245/$X$10)</f>
        <v>0</v>
      </c>
      <c r="CS245" s="18">
        <f>IF($X245="","",AZ245/$X$10)</f>
        <v>0</v>
      </c>
      <c r="CT245" s="18">
        <f>IF($X245="","",BA245/$X$10)</f>
        <v>0</v>
      </c>
      <c r="CU245" s="18">
        <f>IF($X245="","",BB245/$X$10)</f>
        <v>0</v>
      </c>
      <c r="CV245" s="18">
        <f>IF($X245="","",BC245/$X$10)</f>
        <v>0</v>
      </c>
      <c r="CW245" s="18">
        <f>IF($X245="","",BD245/$X$10)</f>
        <v>0</v>
      </c>
      <c r="CX245" s="18">
        <f>IF($X245="","",BE245/$X$10)</f>
        <v>0</v>
      </c>
      <c r="CY245" s="18">
        <f>IF($X245="","",BF245/$X$10)</f>
        <v>0</v>
      </c>
      <c r="CZ245" s="18">
        <f>IF($X245="","",BG245/$X$10)</f>
        <v>0</v>
      </c>
      <c r="DA245" s="18">
        <f>IF($X245="","",BH245/$X$10)</f>
        <v>0</v>
      </c>
      <c r="DB245" s="18">
        <f>IF($X245="","",BI245/$X$10)</f>
        <v>0</v>
      </c>
      <c r="DC245" s="18">
        <f>IF($X245="","",BJ245/$X$10)</f>
        <v>0</v>
      </c>
      <c r="DD245" s="18">
        <f>IF($X245="","",BK245/$X$10)</f>
        <v>0</v>
      </c>
      <c r="DE245" s="18">
        <f>IF($X245="","",BL245/$X$10)</f>
        <v>0</v>
      </c>
      <c r="DF245" s="18">
        <f>IF($X245="","",BM245/$X$10)</f>
        <v>0</v>
      </c>
      <c r="DG245" s="18">
        <f t="shared" si="24"/>
        <v>0</v>
      </c>
      <c r="DH245" s="18">
        <f>IF($X245="","",BO245/$X$10)</f>
        <v>0</v>
      </c>
      <c r="DI245" s="18">
        <f>IF($X245="","",BP245/$X$10)</f>
        <v>0</v>
      </c>
      <c r="DJ245" s="18">
        <f>IF($X245="","",BQ245/$X$10)</f>
        <v>0</v>
      </c>
      <c r="DK245" s="18">
        <f>IF($X245="","",BR245/$X$10)</f>
        <v>0</v>
      </c>
      <c r="DL245" s="18">
        <f>IF($X245="","",BS245/$X$10)</f>
        <v>0</v>
      </c>
      <c r="DM245" s="18">
        <f>IF($X245="","",BT245/$X$10)</f>
        <v>0</v>
      </c>
      <c r="DN245" s="18">
        <f t="shared" si="25"/>
        <v>0</v>
      </c>
      <c r="DO245" s="16">
        <f>IF($X245="","",SUM(Tabla152[[#This Row],[PODRIDO]],Tabla152[[#This Row],[HONGO]],Tabla152[[#This Row],[PICADO DE AVE CON PUDRICIÓN]],Tabla152[[#This Row],[FUMAGINA]])/$X$10)</f>
        <v>0</v>
      </c>
      <c r="DP245" s="16">
        <f>IF($X245="","",SUM(Tabla152[[#This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45" s="16">
        <f>IF($X245="","",SUM(Tabla152[[#This Row],[BLANDO]:[COLAPSADO]])/$X$10)</f>
        <v>0</v>
      </c>
      <c r="DR245" s="16">
        <f>IF($X245="","",SUM(Tabla152[[#This Row],[DESHIDRATADO LEVE]:[DESHIDRATADO INMADURO]])/$X$10)</f>
        <v>0</v>
      </c>
      <c r="DS245" s="18">
        <f t="shared" si="21"/>
        <v>0</v>
      </c>
      <c r="DT245" s="16">
        <f>IF($X245="","",SUM(Tabla152[[#This Row],[PRESENCIA DE LARVA]],Tabla152[[#This Row],[CHANCHITO BLANCO]])/$X$10)</f>
        <v>0</v>
      </c>
      <c r="DU245" s="18">
        <f>IF($X245="","",SUM(Tabla152[[#This Row],[ROJO GRADO 2 A MÁS]],Tabla152[[#This Row],[IMMADURO VERDE]],Tabla152[[#This Row],[DESORDEN POR MADURACIÓN]],Tabla152[[#This Row],[ARO PEDICELAR VERDE EXTREMO]])/$X$10)</f>
        <v>0</v>
      </c>
      <c r="DV245" s="16">
        <f>IF($X245="","",SUM(Tabla152[[#This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45" s="16">
        <f t="shared" si="22"/>
        <v>0</v>
      </c>
      <c r="DX245" s="16">
        <f>IF($X245="","",AJ245/$X$10)</f>
        <v>0</v>
      </c>
      <c r="DY245" s="16">
        <f>IF($X245="","",SUM(Tabla152[[#This Row],[PRESENCIA DE COROLA]],Tabla152[[#This Row],[PRESENCIA DE RESTO FLORAL VERDE]],Tabla152[[#This Row],[PRESENCIA DE PEDÚNCULO]])/$X$10)</f>
        <v>0</v>
      </c>
      <c r="DZ245" s="16">
        <f>IF($X245="","",SUM(Tabla152[[#This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46" spans="1:130" x14ac:dyDescent="0.3">
      <c r="A246" s="9">
        <f>IF(W246="","",IF(ROW()=10,1,IF(W246=W245,A245,MAX($A$9:A245)+1)))</f>
        <v>78</v>
      </c>
      <c r="B246" s="9">
        <f>WEEKNUM(Tabla152[[#This Row],[FECHA DE COSECHA]],21)</f>
        <v>36</v>
      </c>
      <c r="C246" s="9"/>
      <c r="D246" s="17">
        <v>46268</v>
      </c>
      <c r="E246" s="17">
        <v>46268</v>
      </c>
      <c r="F246" s="9">
        <v>1</v>
      </c>
      <c r="G246" s="9" t="s">
        <v>77</v>
      </c>
      <c r="H246" s="9" t="s">
        <v>144</v>
      </c>
      <c r="I246" s="9" t="s">
        <v>134</v>
      </c>
      <c r="J246" s="9" t="s">
        <v>78</v>
      </c>
      <c r="K246" s="9" t="s">
        <v>153</v>
      </c>
      <c r="L246" s="9" t="s">
        <v>131</v>
      </c>
      <c r="M246" s="9" t="s">
        <v>239</v>
      </c>
      <c r="N246" s="9" t="s">
        <v>136</v>
      </c>
      <c r="O246" s="9" t="s">
        <v>244</v>
      </c>
      <c r="P246" s="9" t="s">
        <v>152</v>
      </c>
      <c r="Q246" s="9"/>
      <c r="R246" s="9">
        <v>8</v>
      </c>
      <c r="S246" s="9">
        <v>78114711</v>
      </c>
      <c r="T246" t="s">
        <v>233</v>
      </c>
      <c r="U246" s="9" t="s">
        <v>147</v>
      </c>
      <c r="V246" s="9"/>
      <c r="W246" s="19" t="s">
        <v>223</v>
      </c>
      <c r="X246" s="9">
        <v>69</v>
      </c>
      <c r="Y246" s="9">
        <v>3</v>
      </c>
      <c r="Z246" s="9">
        <v>15</v>
      </c>
      <c r="AA246" s="9" t="str">
        <f>IF(Tabla152[[#This Row],[NOTA]]=15,"CUMPLE","NO CUMPLE")</f>
        <v>CUMPLE</v>
      </c>
      <c r="AB246" s="9" t="str">
        <f>IF(COUNTIF($A$10:A246,A246)=1,IF(COUNTIFS($A:$A,A246,$AA:$AA,"NO CUMPLE")&gt;0,"NO CUMPLE","CUMPLE"),"")</f>
        <v/>
      </c>
      <c r="AC246" s="9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18"/>
      <c r="BX246" s="18">
        <f>IF($X246="","",AE246/$X$10)</f>
        <v>0</v>
      </c>
      <c r="BY246" s="18">
        <f>IF($X246="","",AF246/$X$10)</f>
        <v>0</v>
      </c>
      <c r="BZ246" s="18">
        <f>IF($X246="","",AG246/$X$10)</f>
        <v>0</v>
      </c>
      <c r="CA246" s="18">
        <f>IF($X246="","",AH246/$X$10)</f>
        <v>0</v>
      </c>
      <c r="CB246" s="18">
        <f t="shared" si="23"/>
        <v>0</v>
      </c>
      <c r="CC246" s="18">
        <f>IF($X246="","",AJ246/$X$10)</f>
        <v>0</v>
      </c>
      <c r="CD246" s="18">
        <f>IF($X246="","",AK246/$X$10)</f>
        <v>0</v>
      </c>
      <c r="CE246" s="18">
        <f>IF($X246="","",AL246/$X$10)</f>
        <v>0</v>
      </c>
      <c r="CF246" s="18">
        <f>IF($X246="","",AM246/$X$10)</f>
        <v>0</v>
      </c>
      <c r="CG246" s="18">
        <f>IF($X246="","",AN246/$X$10)</f>
        <v>0</v>
      </c>
      <c r="CH246" s="18">
        <f>IF($X246="","",AO246/$X$10)</f>
        <v>0</v>
      </c>
      <c r="CI246" s="18">
        <f>IF($X246="","",AP246/$X$10)</f>
        <v>0</v>
      </c>
      <c r="CJ246" s="18">
        <f>IF($X246="","",AQ246/$X$10)</f>
        <v>0</v>
      </c>
      <c r="CK246" s="18">
        <f>IF($X246="","",AR246/$X$10)</f>
        <v>0</v>
      </c>
      <c r="CL246" s="18">
        <f>IF($X246="","",AS246/$X$10)</f>
        <v>0</v>
      </c>
      <c r="CM246" s="18">
        <f>IF($X246="","",AT246/$X$10)</f>
        <v>0</v>
      </c>
      <c r="CN246" s="18">
        <f>IF($X246="","",AU246/$X$10)</f>
        <v>0</v>
      </c>
      <c r="CO246" s="18">
        <f>IF($X246="","",AV246/$X$10)</f>
        <v>0</v>
      </c>
      <c r="CP246" s="18">
        <f>IF($X246="","",AW246/$X$10)</f>
        <v>0</v>
      </c>
      <c r="CQ246" s="18">
        <f>IF($X246="","",AX246/$X$10)</f>
        <v>0</v>
      </c>
      <c r="CR246" s="18">
        <f>IF($X246="","",AY246/$X$10)</f>
        <v>0</v>
      </c>
      <c r="CS246" s="18">
        <f>IF($X246="","",AZ246/$X$10)</f>
        <v>0</v>
      </c>
      <c r="CT246" s="18">
        <f>IF($X246="","",BA246/$X$10)</f>
        <v>0</v>
      </c>
      <c r="CU246" s="18">
        <f>IF($X246="","",BB246/$X$10)</f>
        <v>0</v>
      </c>
      <c r="CV246" s="18">
        <f>IF($X246="","",BC246/$X$10)</f>
        <v>0</v>
      </c>
      <c r="CW246" s="18">
        <f>IF($X246="","",BD246/$X$10)</f>
        <v>0</v>
      </c>
      <c r="CX246" s="18">
        <f>IF($X246="","",BE246/$X$10)</f>
        <v>0</v>
      </c>
      <c r="CY246" s="18">
        <f>IF($X246="","",BF246/$X$10)</f>
        <v>0</v>
      </c>
      <c r="CZ246" s="18">
        <f>IF($X246="","",BG246/$X$10)</f>
        <v>0</v>
      </c>
      <c r="DA246" s="18">
        <f>IF($X246="","",BH246/$X$10)</f>
        <v>0</v>
      </c>
      <c r="DB246" s="18">
        <f>IF($X246="","",BI246/$X$10)</f>
        <v>0</v>
      </c>
      <c r="DC246" s="18">
        <f>IF($X246="","",BJ246/$X$10)</f>
        <v>0</v>
      </c>
      <c r="DD246" s="18">
        <f>IF($X246="","",BK246/$X$10)</f>
        <v>0</v>
      </c>
      <c r="DE246" s="18">
        <f>IF($X246="","",BL246/$X$10)</f>
        <v>0</v>
      </c>
      <c r="DF246" s="18">
        <f>IF($X246="","",BM246/$X$10)</f>
        <v>0</v>
      </c>
      <c r="DG246" s="18">
        <f t="shared" si="24"/>
        <v>0</v>
      </c>
      <c r="DH246" s="18">
        <f>IF($X246="","",BO246/$X$10)</f>
        <v>0</v>
      </c>
      <c r="DI246" s="18">
        <f>IF($X246="","",BP246/$X$10)</f>
        <v>0</v>
      </c>
      <c r="DJ246" s="18">
        <f>IF($X246="","",BQ246/$X$10)</f>
        <v>0</v>
      </c>
      <c r="DK246" s="18">
        <f>IF($X246="","",BR246/$X$10)</f>
        <v>0</v>
      </c>
      <c r="DL246" s="18">
        <f>IF($X246="","",BS246/$X$10)</f>
        <v>0</v>
      </c>
      <c r="DM246" s="18">
        <f>IF($X246="","",BT246/$X$10)</f>
        <v>0</v>
      </c>
      <c r="DN246" s="18">
        <f t="shared" si="25"/>
        <v>0</v>
      </c>
      <c r="DO246" s="16">
        <f>IF($X246="","",SUM(Tabla152[[#This Row],[PODRIDO]],Tabla152[[#This Row],[HONGO]],Tabla152[[#This Row],[PICADO DE AVE CON PUDRICIÓN]],Tabla152[[#This Row],[FUMAGINA]])/$X$10)</f>
        <v>0</v>
      </c>
      <c r="DP246" s="16">
        <f>IF($X246="","",SUM(Tabla152[[#This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46" s="16">
        <f>IF($X246="","",SUM(Tabla152[[#This Row],[BLANDO]:[COLAPSADO]])/$X$10)</f>
        <v>0</v>
      </c>
      <c r="DR246" s="16">
        <f>IF($X246="","",SUM(Tabla152[[#This Row],[DESHIDRATADO LEVE]:[DESHIDRATADO INMADURO]])/$X$10)</f>
        <v>0</v>
      </c>
      <c r="DS246" s="18">
        <f t="shared" si="21"/>
        <v>0</v>
      </c>
      <c r="DT246" s="16">
        <f>IF($X246="","",SUM(Tabla152[[#This Row],[PRESENCIA DE LARVA]],Tabla152[[#This Row],[CHANCHITO BLANCO]])/$X$10)</f>
        <v>0</v>
      </c>
      <c r="DU246" s="18">
        <f>IF($X246="","",SUM(Tabla152[[#This Row],[ROJO GRADO 2 A MÁS]],Tabla152[[#This Row],[IMMADURO VERDE]],Tabla152[[#This Row],[DESORDEN POR MADURACIÓN]],Tabla152[[#This Row],[ARO PEDICELAR VERDE EXTREMO]])/$X$10)</f>
        <v>0</v>
      </c>
      <c r="DV246" s="16">
        <f>IF($X246="","",SUM(Tabla152[[#This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46" s="16">
        <f t="shared" si="22"/>
        <v>0</v>
      </c>
      <c r="DX246" s="16">
        <f>IF($X246="","",AJ246/$X$10)</f>
        <v>0</v>
      </c>
      <c r="DY246" s="16">
        <f>IF($X246="","",SUM(Tabla152[[#This Row],[PRESENCIA DE COROLA]],Tabla152[[#This Row],[PRESENCIA DE RESTO FLORAL VERDE]],Tabla152[[#This Row],[PRESENCIA DE PEDÚNCULO]])/$X$10)</f>
        <v>0</v>
      </c>
      <c r="DZ246" s="16">
        <f>IF($X246="","",SUM(Tabla152[[#This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47" spans="1:130" x14ac:dyDescent="0.3">
      <c r="A247" s="9">
        <f>IF(W247="","",IF(ROW()=10,1,IF(W247=W246,A246,MAX($A$9:A246)+1)))</f>
        <v>79</v>
      </c>
      <c r="B247" s="9">
        <f>WEEKNUM(Tabla152[[#This Row],[FECHA DE COSECHA]],21)</f>
        <v>36</v>
      </c>
      <c r="C247" s="9"/>
      <c r="D247" s="17">
        <v>46268</v>
      </c>
      <c r="E247" s="17">
        <v>46268</v>
      </c>
      <c r="F247" s="9">
        <v>1</v>
      </c>
      <c r="G247" s="9" t="s">
        <v>77</v>
      </c>
      <c r="H247" s="9" t="s">
        <v>144</v>
      </c>
      <c r="I247" s="9" t="s">
        <v>134</v>
      </c>
      <c r="J247" s="9" t="s">
        <v>78</v>
      </c>
      <c r="K247" s="9" t="s">
        <v>153</v>
      </c>
      <c r="L247" s="9" t="s">
        <v>131</v>
      </c>
      <c r="M247" s="9" t="s">
        <v>239</v>
      </c>
      <c r="N247" s="9" t="s">
        <v>136</v>
      </c>
      <c r="O247" s="9" t="s">
        <v>244</v>
      </c>
      <c r="P247" s="9" t="s">
        <v>152</v>
      </c>
      <c r="Q247" s="9"/>
      <c r="R247" s="9">
        <v>8</v>
      </c>
      <c r="S247" s="9">
        <v>78114711</v>
      </c>
      <c r="T247" t="s">
        <v>233</v>
      </c>
      <c r="U247" s="9" t="s">
        <v>147</v>
      </c>
      <c r="V247" s="9"/>
      <c r="W247" s="19" t="s">
        <v>224</v>
      </c>
      <c r="X247" s="9">
        <v>69</v>
      </c>
      <c r="Y247" s="9">
        <v>1</v>
      </c>
      <c r="Z247" s="9">
        <v>15</v>
      </c>
      <c r="AA247" s="9" t="str">
        <f>IF(Tabla152[[#This Row],[NOTA]]=15,"CUMPLE","NO CUMPLE")</f>
        <v>CUMPLE</v>
      </c>
      <c r="AB247" s="9" t="str">
        <f>IF(COUNTIF($A$10:A247,A247)=1,IF(COUNTIFS($A:$A,A247,$AA:$AA,"NO CUMPLE")&gt;0,"NO CUMPLE","CUMPLE"),"")</f>
        <v>CUMPLE</v>
      </c>
      <c r="AC247" s="9" t="s">
        <v>140</v>
      </c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18"/>
      <c r="BX247" s="18">
        <f>IF($X247="","",AE247/$X$10)</f>
        <v>0</v>
      </c>
      <c r="BY247" s="18">
        <f>IF($X247="","",AF247/$X$10)</f>
        <v>0</v>
      </c>
      <c r="BZ247" s="18">
        <f>IF($X247="","",AG247/$X$10)</f>
        <v>0</v>
      </c>
      <c r="CA247" s="18">
        <f>IF($X247="","",AH247/$X$10)</f>
        <v>0</v>
      </c>
      <c r="CB247" s="18">
        <f t="shared" si="23"/>
        <v>0</v>
      </c>
      <c r="CC247" s="18">
        <f>IF($X247="","",AJ247/$X$10)</f>
        <v>0</v>
      </c>
      <c r="CD247" s="18">
        <f>IF($X247="","",AK247/$X$10)</f>
        <v>0</v>
      </c>
      <c r="CE247" s="18">
        <f>IF($X247="","",AL247/$X$10)</f>
        <v>0</v>
      </c>
      <c r="CF247" s="18">
        <f>IF($X247="","",AM247/$X$10)</f>
        <v>0</v>
      </c>
      <c r="CG247" s="18">
        <f>IF($X247="","",AN247/$X$10)</f>
        <v>0</v>
      </c>
      <c r="CH247" s="18">
        <f>IF($X247="","",AO247/$X$10)</f>
        <v>0</v>
      </c>
      <c r="CI247" s="18">
        <f>IF($X247="","",AP247/$X$10)</f>
        <v>0</v>
      </c>
      <c r="CJ247" s="18">
        <f>IF($X247="","",AQ247/$X$10)</f>
        <v>0</v>
      </c>
      <c r="CK247" s="18">
        <f>IF($X247="","",AR247/$X$10)</f>
        <v>0</v>
      </c>
      <c r="CL247" s="18">
        <f>IF($X247="","",AS247/$X$10)</f>
        <v>0</v>
      </c>
      <c r="CM247" s="18">
        <f>IF($X247="","",AT247/$X$10)</f>
        <v>0</v>
      </c>
      <c r="CN247" s="18">
        <f>IF($X247="","",AU247/$X$10)</f>
        <v>0</v>
      </c>
      <c r="CO247" s="18">
        <f>IF($X247="","",AV247/$X$10)</f>
        <v>0</v>
      </c>
      <c r="CP247" s="18">
        <f>IF($X247="","",AW247/$X$10)</f>
        <v>0</v>
      </c>
      <c r="CQ247" s="18">
        <f>IF($X247="","",AX247/$X$10)</f>
        <v>0</v>
      </c>
      <c r="CR247" s="18">
        <f>IF($X247="","",AY247/$X$10)</f>
        <v>0</v>
      </c>
      <c r="CS247" s="18">
        <f>IF($X247="","",AZ247/$X$10)</f>
        <v>0</v>
      </c>
      <c r="CT247" s="18">
        <f>IF($X247="","",BA247/$X$10)</f>
        <v>0</v>
      </c>
      <c r="CU247" s="18">
        <f>IF($X247="","",BB247/$X$10)</f>
        <v>0</v>
      </c>
      <c r="CV247" s="18">
        <f>IF($X247="","",BC247/$X$10)</f>
        <v>0</v>
      </c>
      <c r="CW247" s="18">
        <f>IF($X247="","",BD247/$X$10)</f>
        <v>0</v>
      </c>
      <c r="CX247" s="18">
        <f>IF($X247="","",BE247/$X$10)</f>
        <v>0</v>
      </c>
      <c r="CY247" s="18">
        <f>IF($X247="","",BF247/$X$10)</f>
        <v>0</v>
      </c>
      <c r="CZ247" s="18">
        <f>IF($X247="","",BG247/$X$10)</f>
        <v>0</v>
      </c>
      <c r="DA247" s="18">
        <f>IF($X247="","",BH247/$X$10)</f>
        <v>0</v>
      </c>
      <c r="DB247" s="18">
        <f>IF($X247="","",BI247/$X$10)</f>
        <v>0</v>
      </c>
      <c r="DC247" s="18">
        <f>IF($X247="","",BJ247/$X$10)</f>
        <v>0</v>
      </c>
      <c r="DD247" s="18">
        <f>IF($X247="","",BK247/$X$10)</f>
        <v>0</v>
      </c>
      <c r="DE247" s="18">
        <f>IF($X247="","",BL247/$X$10)</f>
        <v>0</v>
      </c>
      <c r="DF247" s="18">
        <f>IF($X247="","",BM247/$X$10)</f>
        <v>0</v>
      </c>
      <c r="DG247" s="18">
        <f t="shared" si="24"/>
        <v>0</v>
      </c>
      <c r="DH247" s="18">
        <f>IF($X247="","",BO247/$X$10)</f>
        <v>0</v>
      </c>
      <c r="DI247" s="18">
        <f>IF($X247="","",BP247/$X$10)</f>
        <v>0</v>
      </c>
      <c r="DJ247" s="18">
        <f>IF($X247="","",BQ247/$X$10)</f>
        <v>0</v>
      </c>
      <c r="DK247" s="18">
        <f>IF($X247="","",BR247/$X$10)</f>
        <v>0</v>
      </c>
      <c r="DL247" s="18">
        <f>IF($X247="","",BS247/$X$10)</f>
        <v>0</v>
      </c>
      <c r="DM247" s="18">
        <f>IF($X247="","",BT247/$X$10)</f>
        <v>0</v>
      </c>
      <c r="DN247" s="18">
        <f t="shared" si="25"/>
        <v>0</v>
      </c>
      <c r="DO247" s="16">
        <f>IF($X247="","",SUM(Tabla152[[#This Row],[PODRIDO]],Tabla152[[#This Row],[HONGO]],Tabla152[[#This Row],[PICADO DE AVE CON PUDRICIÓN]],Tabla152[[#This Row],[FUMAGINA]])/$X$10)</f>
        <v>0</v>
      </c>
      <c r="DP247" s="16">
        <f>IF($X247="","",SUM(Tabla152[[#This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47" s="16">
        <f>IF($X247="","",SUM(Tabla152[[#This Row],[BLANDO]:[COLAPSADO]])/$X$10)</f>
        <v>0</v>
      </c>
      <c r="DR247" s="16">
        <f>IF($X247="","",SUM(Tabla152[[#This Row],[DESHIDRATADO LEVE]:[DESHIDRATADO INMADURO]])/$X$10)</f>
        <v>0</v>
      </c>
      <c r="DS247" s="18">
        <f t="shared" si="21"/>
        <v>0</v>
      </c>
      <c r="DT247" s="16">
        <f>IF($X247="","",SUM(Tabla152[[#This Row],[PRESENCIA DE LARVA]],Tabla152[[#This Row],[CHANCHITO BLANCO]])/$X$10)</f>
        <v>0</v>
      </c>
      <c r="DU247" s="18">
        <f>IF($X247="","",SUM(Tabla152[[#This Row],[ROJO GRADO 2 A MÁS]],Tabla152[[#This Row],[IMMADURO VERDE]],Tabla152[[#This Row],[DESORDEN POR MADURACIÓN]],Tabla152[[#This Row],[ARO PEDICELAR VERDE EXTREMO]])/$X$10)</f>
        <v>0</v>
      </c>
      <c r="DV247" s="16">
        <f>IF($X247="","",SUM(Tabla152[[#This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47" s="16">
        <f t="shared" si="22"/>
        <v>0</v>
      </c>
      <c r="DX247" s="16">
        <f>IF($X247="","",AJ247/$X$10)</f>
        <v>0</v>
      </c>
      <c r="DY247" s="16">
        <f>IF($X247="","",SUM(Tabla152[[#This Row],[PRESENCIA DE COROLA]],Tabla152[[#This Row],[PRESENCIA DE RESTO FLORAL VERDE]],Tabla152[[#This Row],[PRESENCIA DE PEDÚNCULO]])/$X$10)</f>
        <v>0</v>
      </c>
      <c r="DZ247" s="16">
        <f>IF($X247="","",SUM(Tabla152[[#This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48" spans="1:130" x14ac:dyDescent="0.3">
      <c r="A248" s="9">
        <f>IF(W248="","",IF(ROW()=10,1,IF(W248=W247,A247,MAX($A$9:A247)+1)))</f>
        <v>79</v>
      </c>
      <c r="B248" s="9">
        <f>WEEKNUM(Tabla152[[#This Row],[FECHA DE COSECHA]],21)</f>
        <v>36</v>
      </c>
      <c r="C248" s="9"/>
      <c r="D248" s="17">
        <v>46268</v>
      </c>
      <c r="E248" s="17">
        <v>46268</v>
      </c>
      <c r="F248" s="9">
        <v>1</v>
      </c>
      <c r="G248" s="9" t="s">
        <v>77</v>
      </c>
      <c r="H248" s="9" t="s">
        <v>144</v>
      </c>
      <c r="I248" s="9" t="s">
        <v>134</v>
      </c>
      <c r="J248" s="9" t="s">
        <v>78</v>
      </c>
      <c r="K248" s="9" t="s">
        <v>153</v>
      </c>
      <c r="L248" s="9" t="s">
        <v>131</v>
      </c>
      <c r="M248" s="9" t="s">
        <v>239</v>
      </c>
      <c r="N248" s="9" t="s">
        <v>136</v>
      </c>
      <c r="O248" s="9" t="s">
        <v>244</v>
      </c>
      <c r="P248" s="9" t="s">
        <v>152</v>
      </c>
      <c r="Q248" s="9"/>
      <c r="R248" s="9">
        <v>8</v>
      </c>
      <c r="S248" s="9">
        <v>78114711</v>
      </c>
      <c r="T248" t="s">
        <v>233</v>
      </c>
      <c r="U248" s="9" t="s">
        <v>147</v>
      </c>
      <c r="V248" s="9"/>
      <c r="W248" s="19" t="s">
        <v>224</v>
      </c>
      <c r="X248" s="9">
        <v>69</v>
      </c>
      <c r="Y248" s="9">
        <v>2</v>
      </c>
      <c r="Z248" s="9">
        <v>15</v>
      </c>
      <c r="AA248" s="9" t="str">
        <f>IF(Tabla152[[#This Row],[NOTA]]=15,"CUMPLE","NO CUMPLE")</f>
        <v>CUMPLE</v>
      </c>
      <c r="AB248" s="9" t="str">
        <f>IF(COUNTIF($A$10:A248,A248)=1,IF(COUNTIFS($A:$A,A248,$AA:$AA,"NO CUMPLE")&gt;0,"NO CUMPLE","CUMPLE"),"")</f>
        <v/>
      </c>
      <c r="AC248" s="9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18"/>
      <c r="BX248" s="18">
        <f>IF($X248="","",AE248/$X$10)</f>
        <v>0</v>
      </c>
      <c r="BY248" s="18">
        <f>IF($X248="","",AF248/$X$10)</f>
        <v>0</v>
      </c>
      <c r="BZ248" s="18">
        <f>IF($X248="","",AG248/$X$10)</f>
        <v>0</v>
      </c>
      <c r="CA248" s="18">
        <f>IF($X248="","",AH248/$X$10)</f>
        <v>0</v>
      </c>
      <c r="CB248" s="18">
        <f t="shared" si="23"/>
        <v>0</v>
      </c>
      <c r="CC248" s="18">
        <f>IF($X248="","",AJ248/$X$10)</f>
        <v>0</v>
      </c>
      <c r="CD248" s="18">
        <f>IF($X248="","",AK248/$X$10)</f>
        <v>0</v>
      </c>
      <c r="CE248" s="18">
        <f>IF($X248="","",AL248/$X$10)</f>
        <v>0</v>
      </c>
      <c r="CF248" s="18">
        <f>IF($X248="","",AM248/$X$10)</f>
        <v>0</v>
      </c>
      <c r="CG248" s="18">
        <f>IF($X248="","",AN248/$X$10)</f>
        <v>0</v>
      </c>
      <c r="CH248" s="18">
        <f>IF($X248="","",AO248/$X$10)</f>
        <v>0</v>
      </c>
      <c r="CI248" s="18">
        <f>IF($X248="","",AP248/$X$10)</f>
        <v>0</v>
      </c>
      <c r="CJ248" s="18">
        <f>IF($X248="","",AQ248/$X$10)</f>
        <v>0</v>
      </c>
      <c r="CK248" s="18">
        <f>IF($X248="","",AR248/$X$10)</f>
        <v>0</v>
      </c>
      <c r="CL248" s="18">
        <f>IF($X248="","",AS248/$X$10)</f>
        <v>0</v>
      </c>
      <c r="CM248" s="18">
        <f>IF($X248="","",AT248/$X$10)</f>
        <v>0</v>
      </c>
      <c r="CN248" s="18">
        <f>IF($X248="","",AU248/$X$10)</f>
        <v>0</v>
      </c>
      <c r="CO248" s="18">
        <f>IF($X248="","",AV248/$X$10)</f>
        <v>0</v>
      </c>
      <c r="CP248" s="18">
        <f>IF($X248="","",AW248/$X$10)</f>
        <v>0</v>
      </c>
      <c r="CQ248" s="18">
        <f>IF($X248="","",AX248/$X$10)</f>
        <v>0</v>
      </c>
      <c r="CR248" s="18">
        <f>IF($X248="","",AY248/$X$10)</f>
        <v>0</v>
      </c>
      <c r="CS248" s="18">
        <f>IF($X248="","",AZ248/$X$10)</f>
        <v>0</v>
      </c>
      <c r="CT248" s="18">
        <f>IF($X248="","",BA248/$X$10)</f>
        <v>0</v>
      </c>
      <c r="CU248" s="18">
        <f>IF($X248="","",BB248/$X$10)</f>
        <v>0</v>
      </c>
      <c r="CV248" s="18">
        <f>IF($X248="","",BC248/$X$10)</f>
        <v>0</v>
      </c>
      <c r="CW248" s="18">
        <f>IF($X248="","",BD248/$X$10)</f>
        <v>0</v>
      </c>
      <c r="CX248" s="18">
        <f>IF($X248="","",BE248/$X$10)</f>
        <v>0</v>
      </c>
      <c r="CY248" s="18">
        <f>IF($X248="","",BF248/$X$10)</f>
        <v>0</v>
      </c>
      <c r="CZ248" s="18">
        <f>IF($X248="","",BG248/$X$10)</f>
        <v>0</v>
      </c>
      <c r="DA248" s="18">
        <f>IF($X248="","",BH248/$X$10)</f>
        <v>0</v>
      </c>
      <c r="DB248" s="18">
        <f>IF($X248="","",BI248/$X$10)</f>
        <v>0</v>
      </c>
      <c r="DC248" s="18">
        <f>IF($X248="","",BJ248/$X$10)</f>
        <v>0</v>
      </c>
      <c r="DD248" s="18">
        <f>IF($X248="","",BK248/$X$10)</f>
        <v>0</v>
      </c>
      <c r="DE248" s="18">
        <f>IF($X248="","",BL248/$X$10)</f>
        <v>0</v>
      </c>
      <c r="DF248" s="18">
        <f>IF($X248="","",BM248/$X$10)</f>
        <v>0</v>
      </c>
      <c r="DG248" s="18">
        <f t="shared" si="24"/>
        <v>0</v>
      </c>
      <c r="DH248" s="18">
        <f>IF($X248="","",BO248/$X$10)</f>
        <v>0</v>
      </c>
      <c r="DI248" s="18">
        <f>IF($X248="","",BP248/$X$10)</f>
        <v>0</v>
      </c>
      <c r="DJ248" s="18">
        <f>IF($X248="","",BQ248/$X$10)</f>
        <v>0</v>
      </c>
      <c r="DK248" s="18">
        <f>IF($X248="","",BR248/$X$10)</f>
        <v>0</v>
      </c>
      <c r="DL248" s="18">
        <f>IF($X248="","",BS248/$X$10)</f>
        <v>0</v>
      </c>
      <c r="DM248" s="18">
        <f>IF($X248="","",BT248/$X$10)</f>
        <v>0</v>
      </c>
      <c r="DN248" s="18">
        <f t="shared" si="25"/>
        <v>0</v>
      </c>
      <c r="DO248" s="16">
        <f>IF($X248="","",SUM(Tabla152[[#This Row],[PODRIDO]],Tabla152[[#This Row],[HONGO]],Tabla152[[#This Row],[PICADO DE AVE CON PUDRICIÓN]],Tabla152[[#This Row],[FUMAGINA]])/$X$10)</f>
        <v>0</v>
      </c>
      <c r="DP248" s="16">
        <f>IF($X248="","",SUM(Tabla152[[#This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48" s="16">
        <f>IF($X248="","",SUM(Tabla152[[#This Row],[BLANDO]:[COLAPSADO]])/$X$10)</f>
        <v>0</v>
      </c>
      <c r="DR248" s="16">
        <f>IF($X248="","",SUM(Tabla152[[#This Row],[DESHIDRATADO LEVE]:[DESHIDRATADO INMADURO]])/$X$10)</f>
        <v>0</v>
      </c>
      <c r="DS248" s="18">
        <f t="shared" si="21"/>
        <v>0</v>
      </c>
      <c r="DT248" s="16">
        <f>IF($X248="","",SUM(Tabla152[[#This Row],[PRESENCIA DE LARVA]],Tabla152[[#This Row],[CHANCHITO BLANCO]])/$X$10)</f>
        <v>0</v>
      </c>
      <c r="DU248" s="18">
        <f>IF($X248="","",SUM(Tabla152[[#This Row],[ROJO GRADO 2 A MÁS]],Tabla152[[#This Row],[IMMADURO VERDE]],Tabla152[[#This Row],[DESORDEN POR MADURACIÓN]],Tabla152[[#This Row],[ARO PEDICELAR VERDE EXTREMO]])/$X$10)</f>
        <v>0</v>
      </c>
      <c r="DV248" s="16">
        <f>IF($X248="","",SUM(Tabla152[[#This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48" s="16">
        <f t="shared" si="22"/>
        <v>0</v>
      </c>
      <c r="DX248" s="16">
        <f>IF($X248="","",AJ248/$X$10)</f>
        <v>0</v>
      </c>
      <c r="DY248" s="16">
        <f>IF($X248="","",SUM(Tabla152[[#This Row],[PRESENCIA DE COROLA]],Tabla152[[#This Row],[PRESENCIA DE RESTO FLORAL VERDE]],Tabla152[[#This Row],[PRESENCIA DE PEDÚNCULO]])/$X$10)</f>
        <v>0</v>
      </c>
      <c r="DZ248" s="16">
        <f>IF($X248="","",SUM(Tabla152[[#This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49" spans="1:130" x14ac:dyDescent="0.3">
      <c r="A249" s="9">
        <f>IF(W249="","",IF(ROW()=10,1,IF(W249=W248,A248,MAX($A$9:A248)+1)))</f>
        <v>79</v>
      </c>
      <c r="B249" s="9">
        <f>WEEKNUM(Tabla152[[#This Row],[FECHA DE COSECHA]],21)</f>
        <v>36</v>
      </c>
      <c r="C249" s="9"/>
      <c r="D249" s="17">
        <v>46268</v>
      </c>
      <c r="E249" s="17">
        <v>46268</v>
      </c>
      <c r="F249" s="9">
        <v>1</v>
      </c>
      <c r="G249" s="9" t="s">
        <v>77</v>
      </c>
      <c r="H249" s="9" t="s">
        <v>144</v>
      </c>
      <c r="I249" s="9" t="s">
        <v>134</v>
      </c>
      <c r="J249" s="9" t="s">
        <v>78</v>
      </c>
      <c r="K249" s="9" t="s">
        <v>153</v>
      </c>
      <c r="L249" s="9" t="s">
        <v>131</v>
      </c>
      <c r="M249" s="9" t="s">
        <v>239</v>
      </c>
      <c r="N249" s="9" t="s">
        <v>136</v>
      </c>
      <c r="O249" s="9" t="s">
        <v>244</v>
      </c>
      <c r="P249" s="9" t="s">
        <v>152</v>
      </c>
      <c r="Q249" s="9"/>
      <c r="R249" s="9">
        <v>8</v>
      </c>
      <c r="S249" s="9">
        <v>78114711</v>
      </c>
      <c r="T249" t="s">
        <v>233</v>
      </c>
      <c r="U249" s="9" t="s">
        <v>147</v>
      </c>
      <c r="V249" s="9"/>
      <c r="W249" s="19" t="s">
        <v>224</v>
      </c>
      <c r="X249" s="9">
        <v>69</v>
      </c>
      <c r="Y249" s="9">
        <v>3</v>
      </c>
      <c r="Z249" s="9">
        <v>15</v>
      </c>
      <c r="AA249" s="9" t="str">
        <f>IF(Tabla152[[#This Row],[NOTA]]=15,"CUMPLE","NO CUMPLE")</f>
        <v>CUMPLE</v>
      </c>
      <c r="AB249" s="9" t="str">
        <f>IF(COUNTIF($A$10:A249,A249)=1,IF(COUNTIFS($A:$A,A249,$AA:$AA,"NO CUMPLE")&gt;0,"NO CUMPLE","CUMPLE"),"")</f>
        <v/>
      </c>
      <c r="AC249" s="9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18"/>
      <c r="BX249" s="18">
        <f>IF($X249="","",AE249/$X$10)</f>
        <v>0</v>
      </c>
      <c r="BY249" s="18">
        <f>IF($X249="","",AF249/$X$10)</f>
        <v>0</v>
      </c>
      <c r="BZ249" s="18">
        <f>IF($X249="","",AG249/$X$10)</f>
        <v>0</v>
      </c>
      <c r="CA249" s="18">
        <f>IF($X249="","",AH249/$X$10)</f>
        <v>0</v>
      </c>
      <c r="CB249" s="18">
        <f t="shared" si="23"/>
        <v>0</v>
      </c>
      <c r="CC249" s="18">
        <f>IF($X249="","",AJ249/$X$10)</f>
        <v>0</v>
      </c>
      <c r="CD249" s="18">
        <f>IF($X249="","",AK249/$X$10)</f>
        <v>0</v>
      </c>
      <c r="CE249" s="18">
        <f>IF($X249="","",AL249/$X$10)</f>
        <v>0</v>
      </c>
      <c r="CF249" s="18">
        <f>IF($X249="","",AM249/$X$10)</f>
        <v>0</v>
      </c>
      <c r="CG249" s="18">
        <f>IF($X249="","",AN249/$X$10)</f>
        <v>0</v>
      </c>
      <c r="CH249" s="18">
        <f>IF($X249="","",AO249/$X$10)</f>
        <v>0</v>
      </c>
      <c r="CI249" s="18">
        <f>IF($X249="","",AP249/$X$10)</f>
        <v>0</v>
      </c>
      <c r="CJ249" s="18">
        <f>IF($X249="","",AQ249/$X$10)</f>
        <v>0</v>
      </c>
      <c r="CK249" s="18">
        <f>IF($X249="","",AR249/$X$10)</f>
        <v>0</v>
      </c>
      <c r="CL249" s="18">
        <f>IF($X249="","",AS249/$X$10)</f>
        <v>0</v>
      </c>
      <c r="CM249" s="18">
        <f>IF($X249="","",AT249/$X$10)</f>
        <v>0</v>
      </c>
      <c r="CN249" s="18">
        <f>IF($X249="","",AU249/$X$10)</f>
        <v>0</v>
      </c>
      <c r="CO249" s="18">
        <f>IF($X249="","",AV249/$X$10)</f>
        <v>0</v>
      </c>
      <c r="CP249" s="18">
        <f>IF($X249="","",AW249/$X$10)</f>
        <v>0</v>
      </c>
      <c r="CQ249" s="18">
        <f>IF($X249="","",AX249/$X$10)</f>
        <v>0</v>
      </c>
      <c r="CR249" s="18">
        <f>IF($X249="","",AY249/$X$10)</f>
        <v>0</v>
      </c>
      <c r="CS249" s="18">
        <f>IF($X249="","",AZ249/$X$10)</f>
        <v>0</v>
      </c>
      <c r="CT249" s="18">
        <f>IF($X249="","",BA249/$X$10)</f>
        <v>0</v>
      </c>
      <c r="CU249" s="18">
        <f>IF($X249="","",BB249/$X$10)</f>
        <v>0</v>
      </c>
      <c r="CV249" s="18">
        <f>IF($X249="","",BC249/$X$10)</f>
        <v>0</v>
      </c>
      <c r="CW249" s="18">
        <f>IF($X249="","",BD249/$X$10)</f>
        <v>0</v>
      </c>
      <c r="CX249" s="18">
        <f>IF($X249="","",BE249/$X$10)</f>
        <v>0</v>
      </c>
      <c r="CY249" s="18">
        <f>IF($X249="","",BF249/$X$10)</f>
        <v>0</v>
      </c>
      <c r="CZ249" s="18">
        <f>IF($X249="","",BG249/$X$10)</f>
        <v>0</v>
      </c>
      <c r="DA249" s="18">
        <f>IF($X249="","",BH249/$X$10)</f>
        <v>0</v>
      </c>
      <c r="DB249" s="18">
        <f>IF($X249="","",BI249/$X$10)</f>
        <v>0</v>
      </c>
      <c r="DC249" s="18">
        <f>IF($X249="","",BJ249/$X$10)</f>
        <v>0</v>
      </c>
      <c r="DD249" s="18">
        <f>IF($X249="","",BK249/$X$10)</f>
        <v>0</v>
      </c>
      <c r="DE249" s="18">
        <f>IF($X249="","",BL249/$X$10)</f>
        <v>0</v>
      </c>
      <c r="DF249" s="18">
        <f>IF($X249="","",BM249/$X$10)</f>
        <v>0</v>
      </c>
      <c r="DG249" s="18">
        <f t="shared" si="24"/>
        <v>0</v>
      </c>
      <c r="DH249" s="18">
        <f>IF($X249="","",BO249/$X$10)</f>
        <v>0</v>
      </c>
      <c r="DI249" s="18">
        <f>IF($X249="","",BP249/$X$10)</f>
        <v>0</v>
      </c>
      <c r="DJ249" s="18">
        <f>IF($X249="","",BQ249/$X$10)</f>
        <v>0</v>
      </c>
      <c r="DK249" s="18">
        <f>IF($X249="","",BR249/$X$10)</f>
        <v>0</v>
      </c>
      <c r="DL249" s="18">
        <f>IF($X249="","",BS249/$X$10)</f>
        <v>0</v>
      </c>
      <c r="DM249" s="18">
        <f>IF($X249="","",BT249/$X$10)</f>
        <v>0</v>
      </c>
      <c r="DN249" s="18">
        <f t="shared" si="25"/>
        <v>0</v>
      </c>
      <c r="DO249" s="16">
        <f>IF($X249="","",SUM(Tabla152[[#This Row],[PODRIDO]],Tabla152[[#This Row],[HONGO]],Tabla152[[#This Row],[PICADO DE AVE CON PUDRICIÓN]],Tabla152[[#This Row],[FUMAGINA]])/$X$10)</f>
        <v>0</v>
      </c>
      <c r="DP249" s="16">
        <f>IF($X249="","",SUM(Tabla152[[#This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49" s="16">
        <f>IF($X249="","",SUM(Tabla152[[#This Row],[BLANDO]:[COLAPSADO]])/$X$10)</f>
        <v>0</v>
      </c>
      <c r="DR249" s="16">
        <f>IF($X249="","",SUM(Tabla152[[#This Row],[DESHIDRATADO LEVE]:[DESHIDRATADO INMADURO]])/$X$10)</f>
        <v>0</v>
      </c>
      <c r="DS249" s="18">
        <f t="shared" si="21"/>
        <v>0</v>
      </c>
      <c r="DT249" s="16">
        <f>IF($X249="","",SUM(Tabla152[[#This Row],[PRESENCIA DE LARVA]],Tabla152[[#This Row],[CHANCHITO BLANCO]])/$X$10)</f>
        <v>0</v>
      </c>
      <c r="DU249" s="18">
        <f>IF($X249="","",SUM(Tabla152[[#This Row],[ROJO GRADO 2 A MÁS]],Tabla152[[#This Row],[IMMADURO VERDE]],Tabla152[[#This Row],[DESORDEN POR MADURACIÓN]],Tabla152[[#This Row],[ARO PEDICELAR VERDE EXTREMO]])/$X$10)</f>
        <v>0</v>
      </c>
      <c r="DV249" s="16">
        <f>IF($X249="","",SUM(Tabla152[[#This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49" s="16">
        <f t="shared" si="22"/>
        <v>0</v>
      </c>
      <c r="DX249" s="16">
        <f>IF($X249="","",AJ249/$X$10)</f>
        <v>0</v>
      </c>
      <c r="DY249" s="16">
        <f>IF($X249="","",SUM(Tabla152[[#This Row],[PRESENCIA DE COROLA]],Tabla152[[#This Row],[PRESENCIA DE RESTO FLORAL VERDE]],Tabla152[[#This Row],[PRESENCIA DE PEDÚNCULO]])/$X$10)</f>
        <v>0</v>
      </c>
      <c r="DZ249" s="16">
        <f>IF($X249="","",SUM(Tabla152[[#This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50" spans="1:130" x14ac:dyDescent="0.3">
      <c r="A250" s="9">
        <f>IF(W250="","",IF(ROW()=10,1,IF(W250=W249,A249,MAX($A$9:A249)+1)))</f>
        <v>80</v>
      </c>
      <c r="B250" s="9">
        <f>WEEKNUM(Tabla152[[#This Row],[FECHA DE COSECHA]],21)</f>
        <v>36</v>
      </c>
      <c r="C250" s="9"/>
      <c r="D250" s="17">
        <v>46268</v>
      </c>
      <c r="E250" s="17">
        <v>46268</v>
      </c>
      <c r="F250" s="9">
        <v>1</v>
      </c>
      <c r="G250" s="9" t="s">
        <v>77</v>
      </c>
      <c r="H250" s="9" t="s">
        <v>144</v>
      </c>
      <c r="I250" s="9" t="s">
        <v>134</v>
      </c>
      <c r="J250" s="9" t="s">
        <v>78</v>
      </c>
      <c r="K250" s="9" t="s">
        <v>153</v>
      </c>
      <c r="L250" s="9" t="s">
        <v>131</v>
      </c>
      <c r="M250" s="9" t="s">
        <v>239</v>
      </c>
      <c r="N250" s="9" t="s">
        <v>136</v>
      </c>
      <c r="O250" s="9" t="s">
        <v>244</v>
      </c>
      <c r="P250" s="9" t="s">
        <v>152</v>
      </c>
      <c r="Q250" s="9"/>
      <c r="R250" s="9">
        <v>8</v>
      </c>
      <c r="S250" s="9">
        <v>78114711</v>
      </c>
      <c r="T250" t="s">
        <v>233</v>
      </c>
      <c r="U250" s="9" t="s">
        <v>147</v>
      </c>
      <c r="V250" s="9"/>
      <c r="W250" s="19" t="s">
        <v>225</v>
      </c>
      <c r="X250" s="9">
        <v>69</v>
      </c>
      <c r="Y250" s="9">
        <v>1</v>
      </c>
      <c r="Z250" s="9">
        <v>15</v>
      </c>
      <c r="AA250" s="9" t="str">
        <f>IF(Tabla152[[#This Row],[NOTA]]=15,"CUMPLE","NO CUMPLE")</f>
        <v>CUMPLE</v>
      </c>
      <c r="AB250" s="9" t="str">
        <f>IF(COUNTIF($A$10:A250,A250)=1,IF(COUNTIFS($A:$A,A250,$AA:$AA,"NO CUMPLE")&gt;0,"NO CUMPLE","CUMPLE"),"")</f>
        <v>CUMPLE</v>
      </c>
      <c r="AC250" s="9" t="s">
        <v>140</v>
      </c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18"/>
      <c r="BX250" s="18">
        <f>IF($X250="","",AE250/$X$10)</f>
        <v>0</v>
      </c>
      <c r="BY250" s="18">
        <f>IF($X250="","",AF250/$X$10)</f>
        <v>0</v>
      </c>
      <c r="BZ250" s="18">
        <f>IF($X250="","",AG250/$X$10)</f>
        <v>0</v>
      </c>
      <c r="CA250" s="18">
        <f>IF($X250="","",AH250/$X$10)</f>
        <v>0</v>
      </c>
      <c r="CB250" s="18">
        <f t="shared" si="23"/>
        <v>0</v>
      </c>
      <c r="CC250" s="18">
        <f>IF($X250="","",AJ250/$X$10)</f>
        <v>0</v>
      </c>
      <c r="CD250" s="18">
        <f>IF($X250="","",AK250/$X$10)</f>
        <v>0</v>
      </c>
      <c r="CE250" s="18">
        <f>IF($X250="","",AL250/$X$10)</f>
        <v>0</v>
      </c>
      <c r="CF250" s="18">
        <f>IF($X250="","",AM250/$X$10)</f>
        <v>0</v>
      </c>
      <c r="CG250" s="18">
        <f>IF($X250="","",AN250/$X$10)</f>
        <v>0</v>
      </c>
      <c r="CH250" s="18">
        <f>IF($X250="","",AO250/$X$10)</f>
        <v>0</v>
      </c>
      <c r="CI250" s="18">
        <f>IF($X250="","",AP250/$X$10)</f>
        <v>0</v>
      </c>
      <c r="CJ250" s="18">
        <f>IF($X250="","",AQ250/$X$10)</f>
        <v>0</v>
      </c>
      <c r="CK250" s="18">
        <f>IF($X250="","",AR250/$X$10)</f>
        <v>0</v>
      </c>
      <c r="CL250" s="18">
        <f>IF($X250="","",AS250/$X$10)</f>
        <v>0</v>
      </c>
      <c r="CM250" s="18">
        <f>IF($X250="","",AT250/$X$10)</f>
        <v>0</v>
      </c>
      <c r="CN250" s="18">
        <f>IF($X250="","",AU250/$X$10)</f>
        <v>0</v>
      </c>
      <c r="CO250" s="18">
        <f>IF($X250="","",AV250/$X$10)</f>
        <v>0</v>
      </c>
      <c r="CP250" s="18">
        <f>IF($X250="","",AW250/$X$10)</f>
        <v>0</v>
      </c>
      <c r="CQ250" s="18">
        <f>IF($X250="","",AX250/$X$10)</f>
        <v>0</v>
      </c>
      <c r="CR250" s="18">
        <f>IF($X250="","",AY250/$X$10)</f>
        <v>0</v>
      </c>
      <c r="CS250" s="18">
        <f>IF($X250="","",AZ250/$X$10)</f>
        <v>0</v>
      </c>
      <c r="CT250" s="18">
        <f>IF($X250="","",BA250/$X$10)</f>
        <v>0</v>
      </c>
      <c r="CU250" s="18">
        <f>IF($X250="","",BB250/$X$10)</f>
        <v>0</v>
      </c>
      <c r="CV250" s="18">
        <f>IF($X250="","",BC250/$X$10)</f>
        <v>0</v>
      </c>
      <c r="CW250" s="18">
        <f>IF($X250="","",BD250/$X$10)</f>
        <v>0</v>
      </c>
      <c r="CX250" s="18">
        <f>IF($X250="","",BE250/$X$10)</f>
        <v>0</v>
      </c>
      <c r="CY250" s="18">
        <f>IF($X250="","",BF250/$X$10)</f>
        <v>0</v>
      </c>
      <c r="CZ250" s="18">
        <f>IF($X250="","",BG250/$X$10)</f>
        <v>0</v>
      </c>
      <c r="DA250" s="18">
        <f>IF($X250="","",BH250/$X$10)</f>
        <v>0</v>
      </c>
      <c r="DB250" s="18">
        <f>IF($X250="","",BI250/$X$10)</f>
        <v>0</v>
      </c>
      <c r="DC250" s="18">
        <f>IF($X250="","",BJ250/$X$10)</f>
        <v>0</v>
      </c>
      <c r="DD250" s="18">
        <f>IF($X250="","",BK250/$X$10)</f>
        <v>0</v>
      </c>
      <c r="DE250" s="18">
        <f>IF($X250="","",BL250/$X$10)</f>
        <v>0</v>
      </c>
      <c r="DF250" s="18">
        <f>IF($X250="","",BM250/$X$10)</f>
        <v>0</v>
      </c>
      <c r="DG250" s="18">
        <f t="shared" si="24"/>
        <v>0</v>
      </c>
      <c r="DH250" s="18">
        <f>IF($X250="","",BO250/$X$10)</f>
        <v>0</v>
      </c>
      <c r="DI250" s="18">
        <f>IF($X250="","",BP250/$X$10)</f>
        <v>0</v>
      </c>
      <c r="DJ250" s="18">
        <f>IF($X250="","",BQ250/$X$10)</f>
        <v>0</v>
      </c>
      <c r="DK250" s="18">
        <f>IF($X250="","",BR250/$X$10)</f>
        <v>0</v>
      </c>
      <c r="DL250" s="18">
        <f>IF($X250="","",BS250/$X$10)</f>
        <v>0</v>
      </c>
      <c r="DM250" s="18">
        <f>IF($X250="","",BT250/$X$10)</f>
        <v>0</v>
      </c>
      <c r="DN250" s="18">
        <f t="shared" si="25"/>
        <v>0</v>
      </c>
      <c r="DO250" s="16">
        <f>IF($X250="","",SUM(Tabla152[[#This Row],[PODRIDO]],Tabla152[[#This Row],[HONGO]],Tabla152[[#This Row],[PICADO DE AVE CON PUDRICIÓN]],Tabla152[[#This Row],[FUMAGINA]])/$X$10)</f>
        <v>0</v>
      </c>
      <c r="DP250" s="16">
        <f>IF($X250="","",SUM(Tabla152[[#This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50" s="16">
        <f>IF($X250="","",SUM(Tabla152[[#This Row],[BLANDO]:[COLAPSADO]])/$X$10)</f>
        <v>0</v>
      </c>
      <c r="DR250" s="16">
        <f>IF($X250="","",SUM(Tabla152[[#This Row],[DESHIDRATADO LEVE]:[DESHIDRATADO INMADURO]])/$X$10)</f>
        <v>0</v>
      </c>
      <c r="DS250" s="18">
        <f t="shared" si="21"/>
        <v>0</v>
      </c>
      <c r="DT250" s="16">
        <f>IF($X250="","",SUM(Tabla152[[#This Row],[PRESENCIA DE LARVA]],Tabla152[[#This Row],[CHANCHITO BLANCO]])/$X$10)</f>
        <v>0</v>
      </c>
      <c r="DU250" s="18">
        <f>IF($X250="","",SUM(Tabla152[[#This Row],[ROJO GRADO 2 A MÁS]],Tabla152[[#This Row],[IMMADURO VERDE]],Tabla152[[#This Row],[DESORDEN POR MADURACIÓN]],Tabla152[[#This Row],[ARO PEDICELAR VERDE EXTREMO]])/$X$10)</f>
        <v>0</v>
      </c>
      <c r="DV250" s="16">
        <f>IF($X250="","",SUM(Tabla152[[#This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50" s="16">
        <f t="shared" si="22"/>
        <v>0</v>
      </c>
      <c r="DX250" s="16">
        <f>IF($X250="","",AJ250/$X$10)</f>
        <v>0</v>
      </c>
      <c r="DY250" s="16">
        <f>IF($X250="","",SUM(Tabla152[[#This Row],[PRESENCIA DE COROLA]],Tabla152[[#This Row],[PRESENCIA DE RESTO FLORAL VERDE]],Tabla152[[#This Row],[PRESENCIA DE PEDÚNCULO]])/$X$10)</f>
        <v>0</v>
      </c>
      <c r="DZ250" s="16">
        <f>IF($X250="","",SUM(Tabla152[[#This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51" spans="1:130" x14ac:dyDescent="0.3">
      <c r="A251" s="9">
        <f>IF(W251="","",IF(ROW()=10,1,IF(W251=W250,A250,MAX($A$9:A250)+1)))</f>
        <v>80</v>
      </c>
      <c r="B251" s="9">
        <f>WEEKNUM(Tabla152[[#This Row],[FECHA DE COSECHA]],21)</f>
        <v>36</v>
      </c>
      <c r="C251" s="9"/>
      <c r="D251" s="17">
        <v>46268</v>
      </c>
      <c r="E251" s="17">
        <v>46268</v>
      </c>
      <c r="F251" s="9">
        <v>1</v>
      </c>
      <c r="G251" s="9" t="s">
        <v>77</v>
      </c>
      <c r="H251" s="9" t="s">
        <v>144</v>
      </c>
      <c r="I251" s="9" t="s">
        <v>134</v>
      </c>
      <c r="J251" s="9" t="s">
        <v>78</v>
      </c>
      <c r="K251" s="9" t="s">
        <v>153</v>
      </c>
      <c r="L251" s="9" t="s">
        <v>131</v>
      </c>
      <c r="M251" s="9" t="s">
        <v>239</v>
      </c>
      <c r="N251" s="9" t="s">
        <v>136</v>
      </c>
      <c r="O251" s="9" t="s">
        <v>244</v>
      </c>
      <c r="P251" s="9" t="s">
        <v>152</v>
      </c>
      <c r="Q251" s="9"/>
      <c r="R251" s="9">
        <v>8</v>
      </c>
      <c r="S251" s="9">
        <v>78114711</v>
      </c>
      <c r="T251" t="s">
        <v>233</v>
      </c>
      <c r="U251" s="9" t="s">
        <v>147</v>
      </c>
      <c r="V251" s="9"/>
      <c r="W251" s="19" t="s">
        <v>225</v>
      </c>
      <c r="X251" s="9">
        <v>69</v>
      </c>
      <c r="Y251" s="9">
        <v>2</v>
      </c>
      <c r="Z251" s="9">
        <v>15</v>
      </c>
      <c r="AA251" s="9" t="str">
        <f>IF(Tabla152[[#This Row],[NOTA]]=15,"CUMPLE","NO CUMPLE")</f>
        <v>CUMPLE</v>
      </c>
      <c r="AB251" s="9" t="str">
        <f>IF(COUNTIF($A$10:A251,A251)=1,IF(COUNTIFS($A:$A,A251,$AA:$AA,"NO CUMPLE")&gt;0,"NO CUMPLE","CUMPLE"),"")</f>
        <v/>
      </c>
      <c r="AC251" s="9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18"/>
      <c r="BX251" s="18">
        <f>IF($X251="","",AE251/$X$10)</f>
        <v>0</v>
      </c>
      <c r="BY251" s="18">
        <f>IF($X251="","",AF251/$X$10)</f>
        <v>0</v>
      </c>
      <c r="BZ251" s="18">
        <f>IF($X251="","",AG251/$X$10)</f>
        <v>0</v>
      </c>
      <c r="CA251" s="18">
        <f>IF($X251="","",AH251/$X$10)</f>
        <v>0</v>
      </c>
      <c r="CB251" s="18">
        <f t="shared" si="23"/>
        <v>0</v>
      </c>
      <c r="CC251" s="18">
        <f>IF($X251="","",AJ251/$X$10)</f>
        <v>0</v>
      </c>
      <c r="CD251" s="18">
        <f>IF($X251="","",AK251/$X$10)</f>
        <v>0</v>
      </c>
      <c r="CE251" s="18">
        <f>IF($X251="","",AL251/$X$10)</f>
        <v>0</v>
      </c>
      <c r="CF251" s="18">
        <f>IF($X251="","",AM251/$X$10)</f>
        <v>0</v>
      </c>
      <c r="CG251" s="18">
        <f>IF($X251="","",AN251/$X$10)</f>
        <v>0</v>
      </c>
      <c r="CH251" s="18">
        <f>IF($X251="","",AO251/$X$10)</f>
        <v>0</v>
      </c>
      <c r="CI251" s="18">
        <f>IF($X251="","",AP251/$X$10)</f>
        <v>0</v>
      </c>
      <c r="CJ251" s="18">
        <f>IF($X251="","",AQ251/$X$10)</f>
        <v>0</v>
      </c>
      <c r="CK251" s="18">
        <f>IF($X251="","",AR251/$X$10)</f>
        <v>0</v>
      </c>
      <c r="CL251" s="18">
        <f>IF($X251="","",AS251/$X$10)</f>
        <v>0</v>
      </c>
      <c r="CM251" s="18">
        <f>IF($X251="","",AT251/$X$10)</f>
        <v>0</v>
      </c>
      <c r="CN251" s="18">
        <f>IF($X251="","",AU251/$X$10)</f>
        <v>0</v>
      </c>
      <c r="CO251" s="18">
        <f>IF($X251="","",AV251/$X$10)</f>
        <v>0</v>
      </c>
      <c r="CP251" s="18">
        <f>IF($X251="","",AW251/$X$10)</f>
        <v>0</v>
      </c>
      <c r="CQ251" s="18">
        <f>IF($X251="","",AX251/$X$10)</f>
        <v>0</v>
      </c>
      <c r="CR251" s="18">
        <f>IF($X251="","",AY251/$X$10)</f>
        <v>0</v>
      </c>
      <c r="CS251" s="18">
        <f>IF($X251="","",AZ251/$X$10)</f>
        <v>0</v>
      </c>
      <c r="CT251" s="18">
        <f>IF($X251="","",BA251/$X$10)</f>
        <v>0</v>
      </c>
      <c r="CU251" s="18">
        <f>IF($X251="","",BB251/$X$10)</f>
        <v>0</v>
      </c>
      <c r="CV251" s="18">
        <f>IF($X251="","",BC251/$X$10)</f>
        <v>0</v>
      </c>
      <c r="CW251" s="18">
        <f>IF($X251="","",BD251/$X$10)</f>
        <v>0</v>
      </c>
      <c r="CX251" s="18">
        <f>IF($X251="","",BE251/$X$10)</f>
        <v>0</v>
      </c>
      <c r="CY251" s="18">
        <f>IF($X251="","",BF251/$X$10)</f>
        <v>0</v>
      </c>
      <c r="CZ251" s="18">
        <f>IF($X251="","",BG251/$X$10)</f>
        <v>0</v>
      </c>
      <c r="DA251" s="18">
        <f>IF($X251="","",BH251/$X$10)</f>
        <v>0</v>
      </c>
      <c r="DB251" s="18">
        <f>IF($X251="","",BI251/$X$10)</f>
        <v>0</v>
      </c>
      <c r="DC251" s="18">
        <f>IF($X251="","",BJ251/$X$10)</f>
        <v>0</v>
      </c>
      <c r="DD251" s="18">
        <f>IF($X251="","",BK251/$X$10)</f>
        <v>0</v>
      </c>
      <c r="DE251" s="18">
        <f>IF($X251="","",BL251/$X$10)</f>
        <v>0</v>
      </c>
      <c r="DF251" s="18">
        <f>IF($X251="","",BM251/$X$10)</f>
        <v>0</v>
      </c>
      <c r="DG251" s="18">
        <f t="shared" si="24"/>
        <v>0</v>
      </c>
      <c r="DH251" s="18">
        <f>IF($X251="","",BO251/$X$10)</f>
        <v>0</v>
      </c>
      <c r="DI251" s="18">
        <f>IF($X251="","",BP251/$X$10)</f>
        <v>0</v>
      </c>
      <c r="DJ251" s="18">
        <f>IF($X251="","",BQ251/$X$10)</f>
        <v>0</v>
      </c>
      <c r="DK251" s="18">
        <f>IF($X251="","",BR251/$X$10)</f>
        <v>0</v>
      </c>
      <c r="DL251" s="18">
        <f>IF($X251="","",BS251/$X$10)</f>
        <v>0</v>
      </c>
      <c r="DM251" s="18">
        <f>IF($X251="","",BT251/$X$10)</f>
        <v>0</v>
      </c>
      <c r="DN251" s="18">
        <f t="shared" si="25"/>
        <v>0</v>
      </c>
      <c r="DO251" s="16">
        <f>IF($X251="","",SUM(Tabla152[[#This Row],[PODRIDO]],Tabla152[[#This Row],[HONGO]],Tabla152[[#This Row],[PICADO DE AVE CON PUDRICIÓN]],Tabla152[[#This Row],[FUMAGINA]])/$X$10)</f>
        <v>0</v>
      </c>
      <c r="DP251" s="16">
        <f>IF($X251="","",SUM(Tabla152[[#This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51" s="16">
        <f>IF($X251="","",SUM(Tabla152[[#This Row],[BLANDO]:[COLAPSADO]])/$X$10)</f>
        <v>0</v>
      </c>
      <c r="DR251" s="16">
        <f>IF($X251="","",SUM(Tabla152[[#This Row],[DESHIDRATADO LEVE]:[DESHIDRATADO INMADURO]])/$X$10)</f>
        <v>0</v>
      </c>
      <c r="DS251" s="18">
        <f t="shared" si="21"/>
        <v>0</v>
      </c>
      <c r="DT251" s="16">
        <f>IF($X251="","",SUM(Tabla152[[#This Row],[PRESENCIA DE LARVA]],Tabla152[[#This Row],[CHANCHITO BLANCO]])/$X$10)</f>
        <v>0</v>
      </c>
      <c r="DU251" s="18">
        <f>IF($X251="","",SUM(Tabla152[[#This Row],[ROJO GRADO 2 A MÁS]],Tabla152[[#This Row],[IMMADURO VERDE]],Tabla152[[#This Row],[DESORDEN POR MADURACIÓN]],Tabla152[[#This Row],[ARO PEDICELAR VERDE EXTREMO]])/$X$10)</f>
        <v>0</v>
      </c>
      <c r="DV251" s="16">
        <f>IF($X251="","",SUM(Tabla152[[#This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51" s="16">
        <f t="shared" si="22"/>
        <v>0</v>
      </c>
      <c r="DX251" s="16">
        <f>IF($X251="","",AJ251/$X$10)</f>
        <v>0</v>
      </c>
      <c r="DY251" s="16">
        <f>IF($X251="","",SUM(Tabla152[[#This Row],[PRESENCIA DE COROLA]],Tabla152[[#This Row],[PRESENCIA DE RESTO FLORAL VERDE]],Tabla152[[#This Row],[PRESENCIA DE PEDÚNCULO]])/$X$10)</f>
        <v>0</v>
      </c>
      <c r="DZ251" s="16">
        <f>IF($X251="","",SUM(Tabla152[[#This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52" spans="1:130" x14ac:dyDescent="0.3">
      <c r="A252" s="9">
        <f>IF(W252="","",IF(ROW()=10,1,IF(W252=W251,A251,MAX($A$9:A251)+1)))</f>
        <v>80</v>
      </c>
      <c r="B252" s="9">
        <f>WEEKNUM(Tabla152[[#This Row],[FECHA DE COSECHA]],21)</f>
        <v>36</v>
      </c>
      <c r="C252" s="9"/>
      <c r="D252" s="17">
        <v>46268</v>
      </c>
      <c r="E252" s="17">
        <v>46268</v>
      </c>
      <c r="F252" s="9">
        <v>1</v>
      </c>
      <c r="G252" s="9" t="s">
        <v>77</v>
      </c>
      <c r="H252" s="9" t="s">
        <v>144</v>
      </c>
      <c r="I252" s="9" t="s">
        <v>134</v>
      </c>
      <c r="J252" s="9" t="s">
        <v>78</v>
      </c>
      <c r="K252" s="9" t="s">
        <v>153</v>
      </c>
      <c r="L252" s="9" t="s">
        <v>131</v>
      </c>
      <c r="M252" s="9" t="s">
        <v>239</v>
      </c>
      <c r="N252" s="9" t="s">
        <v>136</v>
      </c>
      <c r="O252" s="9" t="s">
        <v>244</v>
      </c>
      <c r="P252" s="9" t="s">
        <v>152</v>
      </c>
      <c r="Q252" s="9"/>
      <c r="R252" s="9">
        <v>8</v>
      </c>
      <c r="S252" s="9">
        <v>78114711</v>
      </c>
      <c r="T252" t="s">
        <v>233</v>
      </c>
      <c r="U252" s="9" t="s">
        <v>147</v>
      </c>
      <c r="V252" s="9"/>
      <c r="W252" s="19" t="s">
        <v>225</v>
      </c>
      <c r="X252" s="9">
        <v>69</v>
      </c>
      <c r="Y252" s="9">
        <v>3</v>
      </c>
      <c r="Z252" s="9">
        <v>15</v>
      </c>
      <c r="AA252" s="9" t="str">
        <f>IF(Tabla152[[#This Row],[NOTA]]=15,"CUMPLE","NO CUMPLE")</f>
        <v>CUMPLE</v>
      </c>
      <c r="AB252" s="9" t="str">
        <f>IF(COUNTIF($A$10:A252,A252)=1,IF(COUNTIFS($A:$A,A252,$AA:$AA,"NO CUMPLE")&gt;0,"NO CUMPLE","CUMPLE"),"")</f>
        <v/>
      </c>
      <c r="AC252" s="9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18"/>
      <c r="BX252" s="18">
        <f>IF($X252="","",AE252/$X$10)</f>
        <v>0</v>
      </c>
      <c r="BY252" s="18">
        <f>IF($X252="","",AF252/$X$10)</f>
        <v>0</v>
      </c>
      <c r="BZ252" s="18">
        <f>IF($X252="","",AG252/$X$10)</f>
        <v>0</v>
      </c>
      <c r="CA252" s="18">
        <f>IF($X252="","",AH252/$X$10)</f>
        <v>0</v>
      </c>
      <c r="CB252" s="18">
        <f t="shared" si="23"/>
        <v>0</v>
      </c>
      <c r="CC252" s="18">
        <f>IF($X252="","",AJ252/$X$10)</f>
        <v>0</v>
      </c>
      <c r="CD252" s="18">
        <f>IF($X252="","",AK252/$X$10)</f>
        <v>0</v>
      </c>
      <c r="CE252" s="18">
        <f>IF($X252="","",AL252/$X$10)</f>
        <v>0</v>
      </c>
      <c r="CF252" s="18">
        <f>IF($X252="","",AM252/$X$10)</f>
        <v>0</v>
      </c>
      <c r="CG252" s="18">
        <f>IF($X252="","",AN252/$X$10)</f>
        <v>0</v>
      </c>
      <c r="CH252" s="18">
        <f>IF($X252="","",AO252/$X$10)</f>
        <v>0</v>
      </c>
      <c r="CI252" s="18">
        <f>IF($X252="","",AP252/$X$10)</f>
        <v>0</v>
      </c>
      <c r="CJ252" s="18">
        <f>IF($X252="","",AQ252/$X$10)</f>
        <v>0</v>
      </c>
      <c r="CK252" s="18">
        <f>IF($X252="","",AR252/$X$10)</f>
        <v>0</v>
      </c>
      <c r="CL252" s="18">
        <f>IF($X252="","",AS252/$X$10)</f>
        <v>0</v>
      </c>
      <c r="CM252" s="18">
        <f>IF($X252="","",AT252/$X$10)</f>
        <v>0</v>
      </c>
      <c r="CN252" s="18">
        <f>IF($X252="","",AU252/$X$10)</f>
        <v>0</v>
      </c>
      <c r="CO252" s="18">
        <f>IF($X252="","",AV252/$X$10)</f>
        <v>0</v>
      </c>
      <c r="CP252" s="18">
        <f>IF($X252="","",AW252/$X$10)</f>
        <v>0</v>
      </c>
      <c r="CQ252" s="18">
        <f>IF($X252="","",AX252/$X$10)</f>
        <v>0</v>
      </c>
      <c r="CR252" s="18">
        <f>IF($X252="","",AY252/$X$10)</f>
        <v>0</v>
      </c>
      <c r="CS252" s="18">
        <f>IF($X252="","",AZ252/$X$10)</f>
        <v>0</v>
      </c>
      <c r="CT252" s="18">
        <f>IF($X252="","",BA252/$X$10)</f>
        <v>0</v>
      </c>
      <c r="CU252" s="18">
        <f>IF($X252="","",BB252/$X$10)</f>
        <v>0</v>
      </c>
      <c r="CV252" s="18">
        <f>IF($X252="","",BC252/$X$10)</f>
        <v>0</v>
      </c>
      <c r="CW252" s="18">
        <f>IF($X252="","",BD252/$X$10)</f>
        <v>0</v>
      </c>
      <c r="CX252" s="18">
        <f>IF($X252="","",BE252/$X$10)</f>
        <v>0</v>
      </c>
      <c r="CY252" s="18">
        <f>IF($X252="","",BF252/$X$10)</f>
        <v>0</v>
      </c>
      <c r="CZ252" s="18">
        <f>IF($X252="","",BG252/$X$10)</f>
        <v>0</v>
      </c>
      <c r="DA252" s="18">
        <f>IF($X252="","",BH252/$X$10)</f>
        <v>0</v>
      </c>
      <c r="DB252" s="18">
        <f>IF($X252="","",BI252/$X$10)</f>
        <v>0</v>
      </c>
      <c r="DC252" s="18">
        <f>IF($X252="","",BJ252/$X$10)</f>
        <v>0</v>
      </c>
      <c r="DD252" s="18">
        <f>IF($X252="","",BK252/$X$10)</f>
        <v>0</v>
      </c>
      <c r="DE252" s="18">
        <f>IF($X252="","",BL252/$X$10)</f>
        <v>0</v>
      </c>
      <c r="DF252" s="18">
        <f>IF($X252="","",BM252/$X$10)</f>
        <v>0</v>
      </c>
      <c r="DG252" s="18">
        <f t="shared" si="24"/>
        <v>0</v>
      </c>
      <c r="DH252" s="18">
        <f>IF($X252="","",BO252/$X$10)</f>
        <v>0</v>
      </c>
      <c r="DI252" s="18">
        <f>IF($X252="","",BP252/$X$10)</f>
        <v>0</v>
      </c>
      <c r="DJ252" s="18">
        <f>IF($X252="","",BQ252/$X$10)</f>
        <v>0</v>
      </c>
      <c r="DK252" s="18">
        <f>IF($X252="","",BR252/$X$10)</f>
        <v>0</v>
      </c>
      <c r="DL252" s="18">
        <f>IF($X252="","",BS252/$X$10)</f>
        <v>0</v>
      </c>
      <c r="DM252" s="18">
        <f>IF($X252="","",BT252/$X$10)</f>
        <v>0</v>
      </c>
      <c r="DN252" s="18">
        <f t="shared" si="25"/>
        <v>0</v>
      </c>
      <c r="DO252" s="16">
        <f>IF($X252="","",SUM(Tabla152[[#This Row],[PODRIDO]],Tabla152[[#This Row],[HONGO]],Tabla152[[#This Row],[PICADO DE AVE CON PUDRICIÓN]],Tabla152[[#This Row],[FUMAGINA]])/$X$10)</f>
        <v>0</v>
      </c>
      <c r="DP252" s="16">
        <f>IF($X252="","",SUM(Tabla152[[#This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52" s="16">
        <f>IF($X252="","",SUM(Tabla152[[#This Row],[BLANDO]:[COLAPSADO]])/$X$10)</f>
        <v>0</v>
      </c>
      <c r="DR252" s="16">
        <f>IF($X252="","",SUM(Tabla152[[#This Row],[DESHIDRATADO LEVE]:[DESHIDRATADO INMADURO]])/$X$10)</f>
        <v>0</v>
      </c>
      <c r="DS252" s="18">
        <f t="shared" si="21"/>
        <v>0</v>
      </c>
      <c r="DT252" s="16">
        <f>IF($X252="","",SUM(Tabla152[[#This Row],[PRESENCIA DE LARVA]],Tabla152[[#This Row],[CHANCHITO BLANCO]])/$X$10)</f>
        <v>0</v>
      </c>
      <c r="DU252" s="18">
        <f>IF($X252="","",SUM(Tabla152[[#This Row],[ROJO GRADO 2 A MÁS]],Tabla152[[#This Row],[IMMADURO VERDE]],Tabla152[[#This Row],[DESORDEN POR MADURACIÓN]],Tabla152[[#This Row],[ARO PEDICELAR VERDE EXTREMO]])/$X$10)</f>
        <v>0</v>
      </c>
      <c r="DV252" s="16">
        <f>IF($X252="","",SUM(Tabla152[[#This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52" s="16">
        <f t="shared" si="22"/>
        <v>0</v>
      </c>
      <c r="DX252" s="16">
        <f>IF($X252="","",AJ252/$X$10)</f>
        <v>0</v>
      </c>
      <c r="DY252" s="16">
        <f>IF($X252="","",SUM(Tabla152[[#This Row],[PRESENCIA DE COROLA]],Tabla152[[#This Row],[PRESENCIA DE RESTO FLORAL VERDE]],Tabla152[[#This Row],[PRESENCIA DE PEDÚNCULO]])/$X$10)</f>
        <v>0</v>
      </c>
      <c r="DZ252" s="16">
        <f>IF($X252="","",SUM(Tabla152[[#This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53" spans="1:130" x14ac:dyDescent="0.3">
      <c r="A253" s="9">
        <f>IF(W253="","",IF(ROW()=10,1,IF(W253=W252,A252,MAX($A$9:A252)+1)))</f>
        <v>81</v>
      </c>
      <c r="B253" s="9">
        <f>WEEKNUM(Tabla152[[#This Row],[FECHA DE COSECHA]],21)</f>
        <v>36</v>
      </c>
      <c r="C253" s="9"/>
      <c r="D253" s="17">
        <v>46268</v>
      </c>
      <c r="E253" s="17">
        <v>46268</v>
      </c>
      <c r="F253" s="9">
        <v>1</v>
      </c>
      <c r="G253" s="9" t="s">
        <v>77</v>
      </c>
      <c r="H253" s="9" t="s">
        <v>144</v>
      </c>
      <c r="I253" s="9" t="s">
        <v>134</v>
      </c>
      <c r="J253" s="9" t="s">
        <v>78</v>
      </c>
      <c r="K253" s="9" t="s">
        <v>153</v>
      </c>
      <c r="L253" s="9" t="s">
        <v>131</v>
      </c>
      <c r="M253" s="9" t="s">
        <v>239</v>
      </c>
      <c r="N253" s="9" t="s">
        <v>136</v>
      </c>
      <c r="O253" s="9" t="s">
        <v>244</v>
      </c>
      <c r="P253" s="9" t="s">
        <v>152</v>
      </c>
      <c r="Q253" s="9"/>
      <c r="R253" s="9">
        <v>8</v>
      </c>
      <c r="S253" s="9">
        <v>78114711</v>
      </c>
      <c r="T253" t="s">
        <v>233</v>
      </c>
      <c r="U253" s="9" t="s">
        <v>147</v>
      </c>
      <c r="V253" s="9"/>
      <c r="W253" s="19" t="s">
        <v>226</v>
      </c>
      <c r="X253" s="9">
        <v>69</v>
      </c>
      <c r="Y253" s="9">
        <v>1</v>
      </c>
      <c r="Z253" s="9">
        <v>15</v>
      </c>
      <c r="AA253" s="9" t="str">
        <f>IF(Tabla152[[#This Row],[NOTA]]=15,"CUMPLE","NO CUMPLE")</f>
        <v>CUMPLE</v>
      </c>
      <c r="AB253" s="9" t="str">
        <f>IF(COUNTIF($A$10:A253,A253)=1,IF(COUNTIFS($A:$A,A253,$AA:$AA,"NO CUMPLE")&gt;0,"NO CUMPLE","CUMPLE"),"")</f>
        <v>CUMPLE</v>
      </c>
      <c r="AC253" s="9" t="s">
        <v>140</v>
      </c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18"/>
      <c r="BX253" s="18">
        <f>IF($X253="","",AE253/$X$10)</f>
        <v>0</v>
      </c>
      <c r="BY253" s="18">
        <f>IF($X253="","",AF253/$X$10)</f>
        <v>0</v>
      </c>
      <c r="BZ253" s="18">
        <f>IF($X253="","",AG253/$X$10)</f>
        <v>0</v>
      </c>
      <c r="CA253" s="18">
        <f>IF($X253="","",AH253/$X$10)</f>
        <v>0</v>
      </c>
      <c r="CB253" s="18">
        <f t="shared" si="23"/>
        <v>0</v>
      </c>
      <c r="CC253" s="18">
        <f>IF($X253="","",AJ253/$X$10)</f>
        <v>0</v>
      </c>
      <c r="CD253" s="18">
        <f>IF($X253="","",AK253/$X$10)</f>
        <v>0</v>
      </c>
      <c r="CE253" s="18">
        <f>IF($X253="","",AL253/$X$10)</f>
        <v>0</v>
      </c>
      <c r="CF253" s="18">
        <f>IF($X253="","",AM253/$X$10)</f>
        <v>0</v>
      </c>
      <c r="CG253" s="18">
        <f>IF($X253="","",AN253/$X$10)</f>
        <v>0</v>
      </c>
      <c r="CH253" s="18">
        <f>IF($X253="","",AO253/$X$10)</f>
        <v>0</v>
      </c>
      <c r="CI253" s="18">
        <f>IF($X253="","",AP253/$X$10)</f>
        <v>0</v>
      </c>
      <c r="CJ253" s="18">
        <f>IF($X253="","",AQ253/$X$10)</f>
        <v>0</v>
      </c>
      <c r="CK253" s="18">
        <f>IF($X253="","",AR253/$X$10)</f>
        <v>0</v>
      </c>
      <c r="CL253" s="18">
        <f>IF($X253="","",AS253/$X$10)</f>
        <v>0</v>
      </c>
      <c r="CM253" s="18">
        <f>IF($X253="","",AT253/$X$10)</f>
        <v>0</v>
      </c>
      <c r="CN253" s="18">
        <f>IF($X253="","",AU253/$X$10)</f>
        <v>0</v>
      </c>
      <c r="CO253" s="18">
        <f>IF($X253="","",AV253/$X$10)</f>
        <v>0</v>
      </c>
      <c r="CP253" s="18">
        <f>IF($X253="","",AW253/$X$10)</f>
        <v>0</v>
      </c>
      <c r="CQ253" s="18">
        <f>IF($X253="","",AX253/$X$10)</f>
        <v>0</v>
      </c>
      <c r="CR253" s="18">
        <f>IF($X253="","",AY253/$X$10)</f>
        <v>0</v>
      </c>
      <c r="CS253" s="18">
        <f>IF($X253="","",AZ253/$X$10)</f>
        <v>0</v>
      </c>
      <c r="CT253" s="18">
        <f>IF($X253="","",BA253/$X$10)</f>
        <v>0</v>
      </c>
      <c r="CU253" s="18">
        <f>IF($X253="","",BB253/$X$10)</f>
        <v>0</v>
      </c>
      <c r="CV253" s="18">
        <f>IF($X253="","",BC253/$X$10)</f>
        <v>0</v>
      </c>
      <c r="CW253" s="18">
        <f>IF($X253="","",BD253/$X$10)</f>
        <v>0</v>
      </c>
      <c r="CX253" s="18">
        <f>IF($X253="","",BE253/$X$10)</f>
        <v>0</v>
      </c>
      <c r="CY253" s="18">
        <f>IF($X253="","",BF253/$X$10)</f>
        <v>0</v>
      </c>
      <c r="CZ253" s="18">
        <f>IF($X253="","",BG253/$X$10)</f>
        <v>0</v>
      </c>
      <c r="DA253" s="18">
        <f>IF($X253="","",BH253/$X$10)</f>
        <v>0</v>
      </c>
      <c r="DB253" s="18">
        <f>IF($X253="","",BI253/$X$10)</f>
        <v>0</v>
      </c>
      <c r="DC253" s="18">
        <f>IF($X253="","",BJ253/$X$10)</f>
        <v>0</v>
      </c>
      <c r="DD253" s="18">
        <f>IF($X253="","",BK253/$X$10)</f>
        <v>0</v>
      </c>
      <c r="DE253" s="18">
        <f>IF($X253="","",BL253/$X$10)</f>
        <v>0</v>
      </c>
      <c r="DF253" s="18">
        <f>IF($X253="","",BM253/$X$10)</f>
        <v>0</v>
      </c>
      <c r="DG253" s="18">
        <f t="shared" si="24"/>
        <v>0</v>
      </c>
      <c r="DH253" s="18">
        <f>IF($X253="","",BO253/$X$10)</f>
        <v>0</v>
      </c>
      <c r="DI253" s="18">
        <f>IF($X253="","",BP253/$X$10)</f>
        <v>0</v>
      </c>
      <c r="DJ253" s="18">
        <f>IF($X253="","",BQ253/$X$10)</f>
        <v>0</v>
      </c>
      <c r="DK253" s="18">
        <f>IF($X253="","",BR253/$X$10)</f>
        <v>0</v>
      </c>
      <c r="DL253" s="18">
        <f>IF($X253="","",BS253/$X$10)</f>
        <v>0</v>
      </c>
      <c r="DM253" s="18">
        <f>IF($X253="","",BT253/$X$10)</f>
        <v>0</v>
      </c>
      <c r="DN253" s="18">
        <f t="shared" si="25"/>
        <v>0</v>
      </c>
      <c r="DO253" s="16">
        <f>IF($X253="","",SUM(Tabla152[[#This Row],[PODRIDO]],Tabla152[[#This Row],[HONGO]],Tabla152[[#This Row],[PICADO DE AVE CON PUDRICIÓN]],Tabla152[[#This Row],[FUMAGINA]])/$X$10)</f>
        <v>0</v>
      </c>
      <c r="DP253" s="16">
        <f>IF($X253="","",SUM(Tabla152[[#This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53" s="16">
        <f>IF($X253="","",SUM(Tabla152[[#This Row],[BLANDO]:[COLAPSADO]])/$X$10)</f>
        <v>0</v>
      </c>
      <c r="DR253" s="16">
        <f>IF($X253="","",SUM(Tabla152[[#This Row],[DESHIDRATADO LEVE]:[DESHIDRATADO INMADURO]])/$X$10)</f>
        <v>0</v>
      </c>
      <c r="DS253" s="18">
        <f t="shared" si="21"/>
        <v>0</v>
      </c>
      <c r="DT253" s="16">
        <f>IF($X253="","",SUM(Tabla152[[#This Row],[PRESENCIA DE LARVA]],Tabla152[[#This Row],[CHANCHITO BLANCO]])/$X$10)</f>
        <v>0</v>
      </c>
      <c r="DU253" s="18">
        <f>IF($X253="","",SUM(Tabla152[[#This Row],[ROJO GRADO 2 A MÁS]],Tabla152[[#This Row],[IMMADURO VERDE]],Tabla152[[#This Row],[DESORDEN POR MADURACIÓN]],Tabla152[[#This Row],[ARO PEDICELAR VERDE EXTREMO]])/$X$10)</f>
        <v>0</v>
      </c>
      <c r="DV253" s="16">
        <f>IF($X253="","",SUM(Tabla152[[#This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53" s="16">
        <f t="shared" si="22"/>
        <v>0</v>
      </c>
      <c r="DX253" s="16">
        <f>IF($X253="","",AJ253/$X$10)</f>
        <v>0</v>
      </c>
      <c r="DY253" s="16">
        <f>IF($X253="","",SUM(Tabla152[[#This Row],[PRESENCIA DE COROLA]],Tabla152[[#This Row],[PRESENCIA DE RESTO FLORAL VERDE]],Tabla152[[#This Row],[PRESENCIA DE PEDÚNCULO]])/$X$10)</f>
        <v>0</v>
      </c>
      <c r="DZ253" s="16">
        <f>IF($X253="","",SUM(Tabla152[[#This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54" spans="1:130" x14ac:dyDescent="0.3">
      <c r="A254" s="9">
        <f>IF(W254="","",IF(ROW()=10,1,IF(W254=W253,A253,MAX($A$9:A253)+1)))</f>
        <v>81</v>
      </c>
      <c r="B254" s="9">
        <f>WEEKNUM(Tabla152[[#This Row],[FECHA DE COSECHA]],21)</f>
        <v>36</v>
      </c>
      <c r="C254" s="9"/>
      <c r="D254" s="17">
        <v>46268</v>
      </c>
      <c r="E254" s="17">
        <v>46268</v>
      </c>
      <c r="F254" s="9">
        <v>1</v>
      </c>
      <c r="G254" s="9" t="s">
        <v>77</v>
      </c>
      <c r="H254" s="9" t="s">
        <v>144</v>
      </c>
      <c r="I254" s="9" t="s">
        <v>134</v>
      </c>
      <c r="J254" s="9" t="s">
        <v>78</v>
      </c>
      <c r="K254" s="9" t="s">
        <v>153</v>
      </c>
      <c r="L254" s="9" t="s">
        <v>131</v>
      </c>
      <c r="M254" s="9" t="s">
        <v>239</v>
      </c>
      <c r="N254" s="9" t="s">
        <v>136</v>
      </c>
      <c r="O254" s="9" t="s">
        <v>244</v>
      </c>
      <c r="P254" s="9" t="s">
        <v>152</v>
      </c>
      <c r="Q254" s="9"/>
      <c r="R254" s="9">
        <v>8</v>
      </c>
      <c r="S254" s="9">
        <v>78114711</v>
      </c>
      <c r="T254" t="s">
        <v>233</v>
      </c>
      <c r="U254" s="9" t="s">
        <v>147</v>
      </c>
      <c r="V254" s="9"/>
      <c r="W254" s="19" t="s">
        <v>226</v>
      </c>
      <c r="X254" s="9">
        <v>69</v>
      </c>
      <c r="Y254" s="9">
        <v>2</v>
      </c>
      <c r="Z254" s="9">
        <v>15</v>
      </c>
      <c r="AA254" s="9" t="str">
        <f>IF(Tabla152[[#This Row],[NOTA]]=15,"CUMPLE","NO CUMPLE")</f>
        <v>CUMPLE</v>
      </c>
      <c r="AB254" s="9" t="str">
        <f>IF(COUNTIF($A$10:A254,A254)=1,IF(COUNTIFS($A:$A,A254,$AA:$AA,"NO CUMPLE")&gt;0,"NO CUMPLE","CUMPLE"),"")</f>
        <v/>
      </c>
      <c r="AC254" s="9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18"/>
      <c r="BX254" s="18">
        <f>IF($X254="","",AE254/$X$10)</f>
        <v>0</v>
      </c>
      <c r="BY254" s="18">
        <f>IF($X254="","",AF254/$X$10)</f>
        <v>0</v>
      </c>
      <c r="BZ254" s="18">
        <f>IF($X254="","",AG254/$X$10)</f>
        <v>0</v>
      </c>
      <c r="CA254" s="18">
        <f>IF($X254="","",AH254/$X$10)</f>
        <v>0</v>
      </c>
      <c r="CB254" s="18">
        <f t="shared" si="23"/>
        <v>0</v>
      </c>
      <c r="CC254" s="18">
        <f>IF($X254="","",AJ254/$X$10)</f>
        <v>0</v>
      </c>
      <c r="CD254" s="18">
        <f>IF($X254="","",AK254/$X$10)</f>
        <v>0</v>
      </c>
      <c r="CE254" s="18">
        <f>IF($X254="","",AL254/$X$10)</f>
        <v>0</v>
      </c>
      <c r="CF254" s="18">
        <f>IF($X254="","",AM254/$X$10)</f>
        <v>0</v>
      </c>
      <c r="CG254" s="18">
        <f>IF($X254="","",AN254/$X$10)</f>
        <v>0</v>
      </c>
      <c r="CH254" s="18">
        <f>IF($X254="","",AO254/$X$10)</f>
        <v>0</v>
      </c>
      <c r="CI254" s="18">
        <f>IF($X254="","",AP254/$X$10)</f>
        <v>0</v>
      </c>
      <c r="CJ254" s="18">
        <f>IF($X254="","",AQ254/$X$10)</f>
        <v>0</v>
      </c>
      <c r="CK254" s="18">
        <f>IF($X254="","",AR254/$X$10)</f>
        <v>0</v>
      </c>
      <c r="CL254" s="18">
        <f>IF($X254="","",AS254/$X$10)</f>
        <v>0</v>
      </c>
      <c r="CM254" s="18">
        <f>IF($X254="","",AT254/$X$10)</f>
        <v>0</v>
      </c>
      <c r="CN254" s="18">
        <f>IF($X254="","",AU254/$X$10)</f>
        <v>0</v>
      </c>
      <c r="CO254" s="18">
        <f>IF($X254="","",AV254/$X$10)</f>
        <v>0</v>
      </c>
      <c r="CP254" s="18">
        <f>IF($X254="","",AW254/$X$10)</f>
        <v>0</v>
      </c>
      <c r="CQ254" s="18">
        <f>IF($X254="","",AX254/$X$10)</f>
        <v>0</v>
      </c>
      <c r="CR254" s="18">
        <f>IF($X254="","",AY254/$X$10)</f>
        <v>0</v>
      </c>
      <c r="CS254" s="18">
        <f>IF($X254="","",AZ254/$X$10)</f>
        <v>0</v>
      </c>
      <c r="CT254" s="18">
        <f>IF($X254="","",BA254/$X$10)</f>
        <v>0</v>
      </c>
      <c r="CU254" s="18">
        <f>IF($X254="","",BB254/$X$10)</f>
        <v>0</v>
      </c>
      <c r="CV254" s="18">
        <f>IF($X254="","",BC254/$X$10)</f>
        <v>0</v>
      </c>
      <c r="CW254" s="18">
        <f>IF($X254="","",BD254/$X$10)</f>
        <v>0</v>
      </c>
      <c r="CX254" s="18">
        <f>IF($X254="","",BE254/$X$10)</f>
        <v>0</v>
      </c>
      <c r="CY254" s="18">
        <f>IF($X254="","",BF254/$X$10)</f>
        <v>0</v>
      </c>
      <c r="CZ254" s="18">
        <f>IF($X254="","",BG254/$X$10)</f>
        <v>0</v>
      </c>
      <c r="DA254" s="18">
        <f>IF($X254="","",BH254/$X$10)</f>
        <v>0</v>
      </c>
      <c r="DB254" s="18">
        <f>IF($X254="","",BI254/$X$10)</f>
        <v>0</v>
      </c>
      <c r="DC254" s="18">
        <f>IF($X254="","",BJ254/$X$10)</f>
        <v>0</v>
      </c>
      <c r="DD254" s="18">
        <f>IF($X254="","",BK254/$X$10)</f>
        <v>0</v>
      </c>
      <c r="DE254" s="18">
        <f>IF($X254="","",BL254/$X$10)</f>
        <v>0</v>
      </c>
      <c r="DF254" s="18">
        <f>IF($X254="","",BM254/$X$10)</f>
        <v>0</v>
      </c>
      <c r="DG254" s="18">
        <f t="shared" si="24"/>
        <v>0</v>
      </c>
      <c r="DH254" s="18">
        <f>IF($X254="","",BO254/$X$10)</f>
        <v>0</v>
      </c>
      <c r="DI254" s="18">
        <f>IF($X254="","",BP254/$X$10)</f>
        <v>0</v>
      </c>
      <c r="DJ254" s="18">
        <f>IF($X254="","",BQ254/$X$10)</f>
        <v>0</v>
      </c>
      <c r="DK254" s="18">
        <f>IF($X254="","",BR254/$X$10)</f>
        <v>0</v>
      </c>
      <c r="DL254" s="18">
        <f>IF($X254="","",BS254/$X$10)</f>
        <v>0</v>
      </c>
      <c r="DM254" s="18">
        <f>IF($X254="","",BT254/$X$10)</f>
        <v>0</v>
      </c>
      <c r="DN254" s="18">
        <f t="shared" si="25"/>
        <v>0</v>
      </c>
      <c r="DO254" s="16">
        <f>IF($X254="","",SUM(Tabla152[[#This Row],[PODRIDO]],Tabla152[[#This Row],[HONGO]],Tabla152[[#This Row],[PICADO DE AVE CON PUDRICIÓN]],Tabla152[[#This Row],[FUMAGINA]])/$X$10)</f>
        <v>0</v>
      </c>
      <c r="DP254" s="16">
        <f>IF($X254="","",SUM(Tabla152[[#This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54" s="16">
        <f>IF($X254="","",SUM(Tabla152[[#This Row],[BLANDO]:[COLAPSADO]])/$X$10)</f>
        <v>0</v>
      </c>
      <c r="DR254" s="16">
        <f>IF($X254="","",SUM(Tabla152[[#This Row],[DESHIDRATADO LEVE]:[DESHIDRATADO INMADURO]])/$X$10)</f>
        <v>0</v>
      </c>
      <c r="DS254" s="18">
        <f t="shared" si="21"/>
        <v>0</v>
      </c>
      <c r="DT254" s="16">
        <f>IF($X254="","",SUM(Tabla152[[#This Row],[PRESENCIA DE LARVA]],Tabla152[[#This Row],[CHANCHITO BLANCO]])/$X$10)</f>
        <v>0</v>
      </c>
      <c r="DU254" s="18">
        <f>IF($X254="","",SUM(Tabla152[[#This Row],[ROJO GRADO 2 A MÁS]],Tabla152[[#This Row],[IMMADURO VERDE]],Tabla152[[#This Row],[DESORDEN POR MADURACIÓN]],Tabla152[[#This Row],[ARO PEDICELAR VERDE EXTREMO]])/$X$10)</f>
        <v>0</v>
      </c>
      <c r="DV254" s="16">
        <f>IF($X254="","",SUM(Tabla152[[#This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54" s="16">
        <f t="shared" si="22"/>
        <v>0</v>
      </c>
      <c r="DX254" s="16">
        <f>IF($X254="","",AJ254/$X$10)</f>
        <v>0</v>
      </c>
      <c r="DY254" s="16">
        <f>IF($X254="","",SUM(Tabla152[[#This Row],[PRESENCIA DE COROLA]],Tabla152[[#This Row],[PRESENCIA DE RESTO FLORAL VERDE]],Tabla152[[#This Row],[PRESENCIA DE PEDÚNCULO]])/$X$10)</f>
        <v>0</v>
      </c>
      <c r="DZ254" s="16">
        <f>IF($X254="","",SUM(Tabla152[[#This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55" spans="1:130" x14ac:dyDescent="0.3">
      <c r="A255" s="9">
        <f>IF(W255="","",IF(ROW()=10,1,IF(W255=W254,A254,MAX($A$9:A254)+1)))</f>
        <v>81</v>
      </c>
      <c r="B255" s="9">
        <f>WEEKNUM(Tabla152[[#This Row],[FECHA DE COSECHA]],21)</f>
        <v>36</v>
      </c>
      <c r="C255" s="9"/>
      <c r="D255" s="17">
        <v>46268</v>
      </c>
      <c r="E255" s="17">
        <v>46268</v>
      </c>
      <c r="F255" s="9">
        <v>1</v>
      </c>
      <c r="G255" s="9" t="s">
        <v>77</v>
      </c>
      <c r="H255" s="9" t="s">
        <v>144</v>
      </c>
      <c r="I255" s="9" t="s">
        <v>134</v>
      </c>
      <c r="J255" s="9" t="s">
        <v>78</v>
      </c>
      <c r="K255" s="9" t="s">
        <v>153</v>
      </c>
      <c r="L255" s="9" t="s">
        <v>131</v>
      </c>
      <c r="M255" s="9" t="s">
        <v>239</v>
      </c>
      <c r="N255" s="9" t="s">
        <v>136</v>
      </c>
      <c r="O255" s="9" t="s">
        <v>244</v>
      </c>
      <c r="P255" s="9" t="s">
        <v>152</v>
      </c>
      <c r="Q255" s="9"/>
      <c r="R255" s="9">
        <v>8</v>
      </c>
      <c r="S255" s="9">
        <v>78114711</v>
      </c>
      <c r="T255" t="s">
        <v>233</v>
      </c>
      <c r="U255" s="9" t="s">
        <v>147</v>
      </c>
      <c r="V255" s="9"/>
      <c r="W255" s="19" t="s">
        <v>226</v>
      </c>
      <c r="X255" s="9">
        <v>69</v>
      </c>
      <c r="Y255" s="9">
        <v>3</v>
      </c>
      <c r="Z255" s="9">
        <v>15</v>
      </c>
      <c r="AA255" s="9" t="str">
        <f>IF(Tabla152[[#This Row],[NOTA]]=15,"CUMPLE","NO CUMPLE")</f>
        <v>CUMPLE</v>
      </c>
      <c r="AB255" s="9" t="str">
        <f>IF(COUNTIF($A$10:A255,A255)=1,IF(COUNTIFS($A:$A,A255,$AA:$AA,"NO CUMPLE")&gt;0,"NO CUMPLE","CUMPLE"),"")</f>
        <v/>
      </c>
      <c r="AC255" s="9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18"/>
      <c r="BX255" s="18">
        <f>IF($X255="","",AE255/$X$10)</f>
        <v>0</v>
      </c>
      <c r="BY255" s="18">
        <f>IF($X255="","",AF255/$X$10)</f>
        <v>0</v>
      </c>
      <c r="BZ255" s="18">
        <f>IF($X255="","",AG255/$X$10)</f>
        <v>0</v>
      </c>
      <c r="CA255" s="18">
        <f>IF($X255="","",AH255/$X$10)</f>
        <v>0</v>
      </c>
      <c r="CB255" s="18">
        <f t="shared" si="23"/>
        <v>0</v>
      </c>
      <c r="CC255" s="18">
        <f>IF($X255="","",AJ255/$X$10)</f>
        <v>0</v>
      </c>
      <c r="CD255" s="18">
        <f>IF($X255="","",AK255/$X$10)</f>
        <v>0</v>
      </c>
      <c r="CE255" s="18">
        <f>IF($X255="","",AL255/$X$10)</f>
        <v>0</v>
      </c>
      <c r="CF255" s="18">
        <f>IF($X255="","",AM255/$X$10)</f>
        <v>0</v>
      </c>
      <c r="CG255" s="18">
        <f>IF($X255="","",AN255/$X$10)</f>
        <v>0</v>
      </c>
      <c r="CH255" s="18">
        <f>IF($X255="","",AO255/$X$10)</f>
        <v>0</v>
      </c>
      <c r="CI255" s="18">
        <f>IF($X255="","",AP255/$X$10)</f>
        <v>0</v>
      </c>
      <c r="CJ255" s="18">
        <f>IF($X255="","",AQ255/$X$10)</f>
        <v>0</v>
      </c>
      <c r="CK255" s="18">
        <f>IF($X255="","",AR255/$X$10)</f>
        <v>0</v>
      </c>
      <c r="CL255" s="18">
        <f>IF($X255="","",AS255/$X$10)</f>
        <v>0</v>
      </c>
      <c r="CM255" s="18">
        <f>IF($X255="","",AT255/$X$10)</f>
        <v>0</v>
      </c>
      <c r="CN255" s="18">
        <f>IF($X255="","",AU255/$X$10)</f>
        <v>0</v>
      </c>
      <c r="CO255" s="18">
        <f>IF($X255="","",AV255/$X$10)</f>
        <v>0</v>
      </c>
      <c r="CP255" s="18">
        <f>IF($X255="","",AW255/$X$10)</f>
        <v>0</v>
      </c>
      <c r="CQ255" s="18">
        <f>IF($X255="","",AX255/$X$10)</f>
        <v>0</v>
      </c>
      <c r="CR255" s="18">
        <f>IF($X255="","",AY255/$X$10)</f>
        <v>0</v>
      </c>
      <c r="CS255" s="18">
        <f>IF($X255="","",AZ255/$X$10)</f>
        <v>0</v>
      </c>
      <c r="CT255" s="18">
        <f>IF($X255="","",BA255/$X$10)</f>
        <v>0</v>
      </c>
      <c r="CU255" s="18">
        <f>IF($X255="","",BB255/$X$10)</f>
        <v>0</v>
      </c>
      <c r="CV255" s="18">
        <f>IF($X255="","",BC255/$X$10)</f>
        <v>0</v>
      </c>
      <c r="CW255" s="18">
        <f>IF($X255="","",BD255/$X$10)</f>
        <v>0</v>
      </c>
      <c r="CX255" s="18">
        <f>IF($X255="","",BE255/$X$10)</f>
        <v>0</v>
      </c>
      <c r="CY255" s="18">
        <f>IF($X255="","",BF255/$X$10)</f>
        <v>0</v>
      </c>
      <c r="CZ255" s="18">
        <f>IF($X255="","",BG255/$X$10)</f>
        <v>0</v>
      </c>
      <c r="DA255" s="18">
        <f>IF($X255="","",BH255/$X$10)</f>
        <v>0</v>
      </c>
      <c r="DB255" s="18">
        <f>IF($X255="","",BI255/$X$10)</f>
        <v>0</v>
      </c>
      <c r="DC255" s="18">
        <f>IF($X255="","",BJ255/$X$10)</f>
        <v>0</v>
      </c>
      <c r="DD255" s="18">
        <f>IF($X255="","",BK255/$X$10)</f>
        <v>0</v>
      </c>
      <c r="DE255" s="18">
        <f>IF($X255="","",BL255/$X$10)</f>
        <v>0</v>
      </c>
      <c r="DF255" s="18">
        <f>IF($X255="","",BM255/$X$10)</f>
        <v>0</v>
      </c>
      <c r="DG255" s="18">
        <f t="shared" si="24"/>
        <v>0</v>
      </c>
      <c r="DH255" s="18">
        <f>IF($X255="","",BO255/$X$10)</f>
        <v>0</v>
      </c>
      <c r="DI255" s="18">
        <f>IF($X255="","",BP255/$X$10)</f>
        <v>0</v>
      </c>
      <c r="DJ255" s="18">
        <f>IF($X255="","",BQ255/$X$10)</f>
        <v>0</v>
      </c>
      <c r="DK255" s="18">
        <f>IF($X255="","",BR255/$X$10)</f>
        <v>0</v>
      </c>
      <c r="DL255" s="18">
        <f>IF($X255="","",BS255/$X$10)</f>
        <v>0</v>
      </c>
      <c r="DM255" s="18">
        <f>IF($X255="","",BT255/$X$10)</f>
        <v>0</v>
      </c>
      <c r="DN255" s="18">
        <f t="shared" si="25"/>
        <v>0</v>
      </c>
      <c r="DO255" s="16">
        <f>IF($X255="","",SUM(Tabla152[[#This Row],[PODRIDO]],Tabla152[[#This Row],[HONGO]],Tabla152[[#This Row],[PICADO DE AVE CON PUDRICIÓN]],Tabla152[[#This Row],[FUMAGINA]])/$X$10)</f>
        <v>0</v>
      </c>
      <c r="DP255" s="16">
        <f>IF($X255="","",SUM(Tabla152[[#This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55" s="16">
        <f>IF($X255="","",SUM(Tabla152[[#This Row],[BLANDO]:[COLAPSADO]])/$X$10)</f>
        <v>0</v>
      </c>
      <c r="DR255" s="16">
        <f>IF($X255="","",SUM(Tabla152[[#This Row],[DESHIDRATADO LEVE]:[DESHIDRATADO INMADURO]])/$X$10)</f>
        <v>0</v>
      </c>
      <c r="DS255" s="18">
        <f t="shared" si="21"/>
        <v>0</v>
      </c>
      <c r="DT255" s="16">
        <f>IF($X255="","",SUM(Tabla152[[#This Row],[PRESENCIA DE LARVA]],Tabla152[[#This Row],[CHANCHITO BLANCO]])/$X$10)</f>
        <v>0</v>
      </c>
      <c r="DU255" s="18">
        <f>IF($X255="","",SUM(Tabla152[[#This Row],[ROJO GRADO 2 A MÁS]],Tabla152[[#This Row],[IMMADURO VERDE]],Tabla152[[#This Row],[DESORDEN POR MADURACIÓN]],Tabla152[[#This Row],[ARO PEDICELAR VERDE EXTREMO]])/$X$10)</f>
        <v>0</v>
      </c>
      <c r="DV255" s="16">
        <f>IF($X255="","",SUM(Tabla152[[#This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55" s="16">
        <f t="shared" si="22"/>
        <v>0</v>
      </c>
      <c r="DX255" s="16">
        <f>IF($X255="","",AJ255/$X$10)</f>
        <v>0</v>
      </c>
      <c r="DY255" s="16">
        <f>IF($X255="","",SUM(Tabla152[[#This Row],[PRESENCIA DE COROLA]],Tabla152[[#This Row],[PRESENCIA DE RESTO FLORAL VERDE]],Tabla152[[#This Row],[PRESENCIA DE PEDÚNCULO]])/$X$10)</f>
        <v>0</v>
      </c>
      <c r="DZ255" s="16">
        <f>IF($X255="","",SUM(Tabla152[[#This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56" spans="1:130" x14ac:dyDescent="0.3">
      <c r="A256" s="9">
        <f>IF(W256="","",IF(ROW()=10,1,IF(W256=W255,A255,MAX($A$9:A255)+1)))</f>
        <v>82</v>
      </c>
      <c r="B256" s="9">
        <f>WEEKNUM(Tabla152[[#This Row],[FECHA DE COSECHA]],21)</f>
        <v>36</v>
      </c>
      <c r="C256" s="9"/>
      <c r="D256" s="17">
        <v>46268</v>
      </c>
      <c r="E256" s="17">
        <v>46268</v>
      </c>
      <c r="F256" s="9">
        <v>1</v>
      </c>
      <c r="G256" s="9" t="s">
        <v>77</v>
      </c>
      <c r="H256" s="9" t="s">
        <v>144</v>
      </c>
      <c r="I256" s="9" t="s">
        <v>188</v>
      </c>
      <c r="J256" s="9" t="s">
        <v>135</v>
      </c>
      <c r="K256" s="9" t="s">
        <v>146</v>
      </c>
      <c r="L256" s="9" t="s">
        <v>131</v>
      </c>
      <c r="M256" s="9" t="s">
        <v>239</v>
      </c>
      <c r="N256" s="9" t="s">
        <v>136</v>
      </c>
      <c r="O256" s="9" t="s">
        <v>137</v>
      </c>
      <c r="P256" s="9" t="s">
        <v>243</v>
      </c>
      <c r="Q256" s="9"/>
      <c r="R256" s="9">
        <v>7</v>
      </c>
      <c r="S256" s="9">
        <v>78114711</v>
      </c>
      <c r="T256" t="s">
        <v>233</v>
      </c>
      <c r="U256" s="9" t="s">
        <v>147</v>
      </c>
      <c r="V256" s="9"/>
      <c r="W256" s="19" t="s">
        <v>227</v>
      </c>
      <c r="X256" s="9">
        <v>69</v>
      </c>
      <c r="Y256" s="9">
        <v>1</v>
      </c>
      <c r="Z256" s="9">
        <v>15</v>
      </c>
      <c r="AA256" s="9" t="str">
        <f>IF(Tabla152[[#This Row],[NOTA]]=15,"CUMPLE","NO CUMPLE")</f>
        <v>CUMPLE</v>
      </c>
      <c r="AB256" s="9" t="str">
        <f>IF(COUNTIF($A$10:A256,A256)=1,IF(COUNTIFS($A:$A,A256,$AA:$AA,"NO CUMPLE")&gt;0,"NO CUMPLE","CUMPLE"),"")</f>
        <v>CUMPLE</v>
      </c>
      <c r="AC256" s="9" t="s">
        <v>140</v>
      </c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18"/>
      <c r="BX256" s="18">
        <f>IF($X256="","",AE256/$X$10)</f>
        <v>0</v>
      </c>
      <c r="BY256" s="18">
        <f>IF($X256="","",AF256/$X$10)</f>
        <v>0</v>
      </c>
      <c r="BZ256" s="18">
        <f>IF($X256="","",AG256/$X$10)</f>
        <v>0</v>
      </c>
      <c r="CA256" s="18">
        <f>IF($X256="","",AH256/$X$10)</f>
        <v>0</v>
      </c>
      <c r="CB256" s="18">
        <f t="shared" si="23"/>
        <v>0</v>
      </c>
      <c r="CC256" s="18">
        <f>IF($X256="","",AJ256/$X$10)</f>
        <v>0</v>
      </c>
      <c r="CD256" s="18">
        <f>IF($X256="","",AK256/$X$10)</f>
        <v>0</v>
      </c>
      <c r="CE256" s="18">
        <f>IF($X256="","",AL256/$X$10)</f>
        <v>0</v>
      </c>
      <c r="CF256" s="18">
        <f>IF($X256="","",AM256/$X$10)</f>
        <v>0</v>
      </c>
      <c r="CG256" s="18">
        <f>IF($X256="","",AN256/$X$10)</f>
        <v>0</v>
      </c>
      <c r="CH256" s="18">
        <f>IF($X256="","",AO256/$X$10)</f>
        <v>0</v>
      </c>
      <c r="CI256" s="18">
        <f>IF($X256="","",AP256/$X$10)</f>
        <v>0</v>
      </c>
      <c r="CJ256" s="18">
        <f>IF($X256="","",AQ256/$X$10)</f>
        <v>0</v>
      </c>
      <c r="CK256" s="18">
        <f>IF($X256="","",AR256/$X$10)</f>
        <v>0</v>
      </c>
      <c r="CL256" s="18">
        <f>IF($X256="","",AS256/$X$10)</f>
        <v>0</v>
      </c>
      <c r="CM256" s="18">
        <f>IF($X256="","",AT256/$X$10)</f>
        <v>0</v>
      </c>
      <c r="CN256" s="18">
        <f>IF($X256="","",AU256/$X$10)</f>
        <v>0</v>
      </c>
      <c r="CO256" s="18">
        <f>IF($X256="","",AV256/$X$10)</f>
        <v>0</v>
      </c>
      <c r="CP256" s="18">
        <f>IF($X256="","",AW256/$X$10)</f>
        <v>0</v>
      </c>
      <c r="CQ256" s="18">
        <f>IF($X256="","",AX256/$X$10)</f>
        <v>0</v>
      </c>
      <c r="CR256" s="18">
        <f>IF($X256="","",AY256/$X$10)</f>
        <v>0</v>
      </c>
      <c r="CS256" s="18">
        <f>IF($X256="","",AZ256/$X$10)</f>
        <v>0</v>
      </c>
      <c r="CT256" s="18">
        <f>IF($X256="","",BA256/$X$10)</f>
        <v>0</v>
      </c>
      <c r="CU256" s="18">
        <f>IF($X256="","",BB256/$X$10)</f>
        <v>0</v>
      </c>
      <c r="CV256" s="18">
        <f>IF($X256="","",BC256/$X$10)</f>
        <v>0</v>
      </c>
      <c r="CW256" s="18">
        <f>IF($X256="","",BD256/$X$10)</f>
        <v>0</v>
      </c>
      <c r="CX256" s="18">
        <f>IF($X256="","",BE256/$X$10)</f>
        <v>0</v>
      </c>
      <c r="CY256" s="18">
        <f>IF($X256="","",BF256/$X$10)</f>
        <v>0</v>
      </c>
      <c r="CZ256" s="18">
        <f>IF($X256="","",BG256/$X$10)</f>
        <v>0</v>
      </c>
      <c r="DA256" s="18">
        <f>IF($X256="","",BH256/$X$10)</f>
        <v>0</v>
      </c>
      <c r="DB256" s="18">
        <f>IF($X256="","",BI256/$X$10)</f>
        <v>0</v>
      </c>
      <c r="DC256" s="18">
        <f>IF($X256="","",BJ256/$X$10)</f>
        <v>0</v>
      </c>
      <c r="DD256" s="18">
        <f>IF($X256="","",BK256/$X$10)</f>
        <v>0</v>
      </c>
      <c r="DE256" s="18">
        <f>IF($X256="","",BL256/$X$10)</f>
        <v>0</v>
      </c>
      <c r="DF256" s="18">
        <f>IF($X256="","",BM256/$X$10)</f>
        <v>0</v>
      </c>
      <c r="DG256" s="18">
        <f t="shared" si="24"/>
        <v>0</v>
      </c>
      <c r="DH256" s="18">
        <f>IF($X256="","",BO256/$X$10)</f>
        <v>0</v>
      </c>
      <c r="DI256" s="18">
        <f>IF($X256="","",BP256/$X$10)</f>
        <v>0</v>
      </c>
      <c r="DJ256" s="18">
        <f>IF($X256="","",BQ256/$X$10)</f>
        <v>0</v>
      </c>
      <c r="DK256" s="18">
        <f>IF($X256="","",BR256/$X$10)</f>
        <v>0</v>
      </c>
      <c r="DL256" s="18">
        <f>IF($X256="","",BS256/$X$10)</f>
        <v>0</v>
      </c>
      <c r="DM256" s="18">
        <f>IF($X256="","",BT256/$X$10)</f>
        <v>0</v>
      </c>
      <c r="DN256" s="18">
        <f t="shared" si="25"/>
        <v>0</v>
      </c>
      <c r="DO256" s="16">
        <f>IF($X256="","",SUM(Tabla152[[#This Row],[PODRIDO]],Tabla152[[#This Row],[HONGO]],Tabla152[[#This Row],[PICADO DE AVE CON PUDRICIÓN]],Tabla152[[#This Row],[FUMAGINA]])/$X$10)</f>
        <v>0</v>
      </c>
      <c r="DP256" s="16">
        <f>IF($X256="","",SUM(Tabla152[[#This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56" s="16">
        <f>IF($X256="","",SUM(Tabla152[[#This Row],[BLANDO]:[COLAPSADO]])/$X$10)</f>
        <v>0</v>
      </c>
      <c r="DR256" s="16">
        <f>IF($X256="","",SUM(Tabla152[[#This Row],[DESHIDRATADO LEVE]:[DESHIDRATADO INMADURO]])/$X$10)</f>
        <v>0</v>
      </c>
      <c r="DS256" s="18">
        <f t="shared" si="21"/>
        <v>0</v>
      </c>
      <c r="DT256" s="16">
        <f>IF($X256="","",SUM(Tabla152[[#This Row],[PRESENCIA DE LARVA]],Tabla152[[#This Row],[CHANCHITO BLANCO]])/$X$10)</f>
        <v>0</v>
      </c>
      <c r="DU256" s="18">
        <f>IF($X256="","",SUM(Tabla152[[#This Row],[ROJO GRADO 2 A MÁS]],Tabla152[[#This Row],[IMMADURO VERDE]],Tabla152[[#This Row],[DESORDEN POR MADURACIÓN]],Tabla152[[#This Row],[ARO PEDICELAR VERDE EXTREMO]])/$X$10)</f>
        <v>0</v>
      </c>
      <c r="DV256" s="16">
        <f>IF($X256="","",SUM(Tabla152[[#This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56" s="16">
        <f t="shared" si="22"/>
        <v>0</v>
      </c>
      <c r="DX256" s="16">
        <f>IF($X256="","",AJ256/$X$10)</f>
        <v>0</v>
      </c>
      <c r="DY256" s="16">
        <f>IF($X256="","",SUM(Tabla152[[#This Row],[PRESENCIA DE COROLA]],Tabla152[[#This Row],[PRESENCIA DE RESTO FLORAL VERDE]],Tabla152[[#This Row],[PRESENCIA DE PEDÚNCULO]])/$X$10)</f>
        <v>0</v>
      </c>
      <c r="DZ256" s="16">
        <f>IF($X256="","",SUM(Tabla152[[#This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57" spans="1:130" x14ac:dyDescent="0.3">
      <c r="A257" s="9">
        <f>IF(W257="","",IF(ROW()=10,1,IF(W257=W256,A256,MAX($A$9:A256)+1)))</f>
        <v>82</v>
      </c>
      <c r="B257" s="9">
        <f>WEEKNUM(Tabla152[[#This Row],[FECHA DE COSECHA]],21)</f>
        <v>36</v>
      </c>
      <c r="C257" s="9"/>
      <c r="D257" s="17">
        <v>46268</v>
      </c>
      <c r="E257" s="17">
        <v>46268</v>
      </c>
      <c r="F257" s="9">
        <v>1</v>
      </c>
      <c r="G257" s="9" t="s">
        <v>77</v>
      </c>
      <c r="H257" s="9" t="s">
        <v>144</v>
      </c>
      <c r="I257" s="9" t="s">
        <v>188</v>
      </c>
      <c r="J257" s="9" t="s">
        <v>135</v>
      </c>
      <c r="K257" s="9" t="s">
        <v>146</v>
      </c>
      <c r="L257" s="9" t="s">
        <v>131</v>
      </c>
      <c r="M257" s="9" t="s">
        <v>239</v>
      </c>
      <c r="N257" s="9" t="s">
        <v>136</v>
      </c>
      <c r="O257" s="9" t="s">
        <v>137</v>
      </c>
      <c r="P257" s="9" t="s">
        <v>243</v>
      </c>
      <c r="Q257" s="9"/>
      <c r="R257" s="9">
        <v>7</v>
      </c>
      <c r="S257" s="9">
        <v>78114711</v>
      </c>
      <c r="T257" t="s">
        <v>233</v>
      </c>
      <c r="U257" s="9" t="s">
        <v>147</v>
      </c>
      <c r="V257" s="9"/>
      <c r="W257" s="19" t="s">
        <v>227</v>
      </c>
      <c r="X257" s="9">
        <v>69</v>
      </c>
      <c r="Y257" s="9">
        <v>2</v>
      </c>
      <c r="Z257" s="9">
        <v>15</v>
      </c>
      <c r="AA257" s="9" t="str">
        <f>IF(Tabla152[[#This Row],[NOTA]]=15,"CUMPLE","NO CUMPLE")</f>
        <v>CUMPLE</v>
      </c>
      <c r="AB257" s="9" t="str">
        <f>IF(COUNTIF($A$10:A257,A257)=1,IF(COUNTIFS($A:$A,A257,$AA:$AA,"NO CUMPLE")&gt;0,"NO CUMPLE","CUMPLE"),"")</f>
        <v/>
      </c>
      <c r="AC257" s="9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18"/>
      <c r="BX257" s="18">
        <f>IF($X257="","",AE257/$X$10)</f>
        <v>0</v>
      </c>
      <c r="BY257" s="18">
        <f>IF($X257="","",AF257/$X$10)</f>
        <v>0</v>
      </c>
      <c r="BZ257" s="18">
        <f>IF($X257="","",AG257/$X$10)</f>
        <v>0</v>
      </c>
      <c r="CA257" s="18">
        <f>IF($X257="","",AH257/$X$10)</f>
        <v>0</v>
      </c>
      <c r="CB257" s="18">
        <f t="shared" si="23"/>
        <v>0</v>
      </c>
      <c r="CC257" s="18">
        <f>IF($X257="","",AJ257/$X$10)</f>
        <v>0</v>
      </c>
      <c r="CD257" s="18">
        <f>IF($X257="","",AK257/$X$10)</f>
        <v>0</v>
      </c>
      <c r="CE257" s="18">
        <f>IF($X257="","",AL257/$X$10)</f>
        <v>0</v>
      </c>
      <c r="CF257" s="18">
        <f>IF($X257="","",AM257/$X$10)</f>
        <v>0</v>
      </c>
      <c r="CG257" s="18">
        <f>IF($X257="","",AN257/$X$10)</f>
        <v>0</v>
      </c>
      <c r="CH257" s="18">
        <f>IF($X257="","",AO257/$X$10)</f>
        <v>0</v>
      </c>
      <c r="CI257" s="18">
        <f>IF($X257="","",AP257/$X$10)</f>
        <v>0</v>
      </c>
      <c r="CJ257" s="18">
        <f>IF($X257="","",AQ257/$X$10)</f>
        <v>0</v>
      </c>
      <c r="CK257" s="18">
        <f>IF($X257="","",AR257/$X$10)</f>
        <v>0</v>
      </c>
      <c r="CL257" s="18">
        <f>IF($X257="","",AS257/$X$10)</f>
        <v>0</v>
      </c>
      <c r="CM257" s="18">
        <f>IF($X257="","",AT257/$X$10)</f>
        <v>0</v>
      </c>
      <c r="CN257" s="18">
        <f>IF($X257="","",AU257/$X$10)</f>
        <v>0</v>
      </c>
      <c r="CO257" s="18">
        <f>IF($X257="","",AV257/$X$10)</f>
        <v>0</v>
      </c>
      <c r="CP257" s="18">
        <f>IF($X257="","",AW257/$X$10)</f>
        <v>0</v>
      </c>
      <c r="CQ257" s="18">
        <f>IF($X257="","",AX257/$X$10)</f>
        <v>0</v>
      </c>
      <c r="CR257" s="18">
        <f>IF($X257="","",AY257/$X$10)</f>
        <v>0</v>
      </c>
      <c r="CS257" s="18">
        <f>IF($X257="","",AZ257/$X$10)</f>
        <v>0</v>
      </c>
      <c r="CT257" s="18">
        <f>IF($X257="","",BA257/$X$10)</f>
        <v>0</v>
      </c>
      <c r="CU257" s="18">
        <f>IF($X257="","",BB257/$X$10)</f>
        <v>0</v>
      </c>
      <c r="CV257" s="18">
        <f>IF($X257="","",BC257/$X$10)</f>
        <v>0</v>
      </c>
      <c r="CW257" s="18">
        <f>IF($X257="","",BD257/$X$10)</f>
        <v>0</v>
      </c>
      <c r="CX257" s="18">
        <f>IF($X257="","",BE257/$X$10)</f>
        <v>0</v>
      </c>
      <c r="CY257" s="18">
        <f>IF($X257="","",BF257/$X$10)</f>
        <v>0</v>
      </c>
      <c r="CZ257" s="18">
        <f>IF($X257="","",BG257/$X$10)</f>
        <v>0</v>
      </c>
      <c r="DA257" s="18">
        <f>IF($X257="","",BH257/$X$10)</f>
        <v>0</v>
      </c>
      <c r="DB257" s="18">
        <f>IF($X257="","",BI257/$X$10)</f>
        <v>0</v>
      </c>
      <c r="DC257" s="18">
        <f>IF($X257="","",BJ257/$X$10)</f>
        <v>0</v>
      </c>
      <c r="DD257" s="18">
        <f>IF($X257="","",BK257/$X$10)</f>
        <v>0</v>
      </c>
      <c r="DE257" s="18">
        <f>IF($X257="","",BL257/$X$10)</f>
        <v>0</v>
      </c>
      <c r="DF257" s="18">
        <f>IF($X257="","",BM257/$X$10)</f>
        <v>0</v>
      </c>
      <c r="DG257" s="18">
        <f t="shared" si="24"/>
        <v>0</v>
      </c>
      <c r="DH257" s="18">
        <f>IF($X257="","",BO257/$X$10)</f>
        <v>0</v>
      </c>
      <c r="DI257" s="18">
        <f>IF($X257="","",BP257/$X$10)</f>
        <v>0</v>
      </c>
      <c r="DJ257" s="18">
        <f>IF($X257="","",BQ257/$X$10)</f>
        <v>0</v>
      </c>
      <c r="DK257" s="18">
        <f>IF($X257="","",BR257/$X$10)</f>
        <v>0</v>
      </c>
      <c r="DL257" s="18">
        <f>IF($X257="","",BS257/$X$10)</f>
        <v>0</v>
      </c>
      <c r="DM257" s="18">
        <f>IF($X257="","",BT257/$X$10)</f>
        <v>0</v>
      </c>
      <c r="DN257" s="18">
        <f t="shared" si="25"/>
        <v>0</v>
      </c>
      <c r="DO257" s="16">
        <f>IF($X257="","",SUM(Tabla152[[#This Row],[PODRIDO]],Tabla152[[#This Row],[HONGO]],Tabla152[[#This Row],[PICADO DE AVE CON PUDRICIÓN]],Tabla152[[#This Row],[FUMAGINA]])/$X$10)</f>
        <v>0</v>
      </c>
      <c r="DP257" s="16">
        <f>IF($X257="","",SUM(Tabla152[[#This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57" s="16">
        <f>IF($X257="","",SUM(Tabla152[[#This Row],[BLANDO]:[COLAPSADO]])/$X$10)</f>
        <v>0</v>
      </c>
      <c r="DR257" s="16">
        <f>IF($X257="","",SUM(Tabla152[[#This Row],[DESHIDRATADO LEVE]:[DESHIDRATADO INMADURO]])/$X$10)</f>
        <v>0</v>
      </c>
      <c r="DS257" s="18">
        <f t="shared" si="21"/>
        <v>0</v>
      </c>
      <c r="DT257" s="16">
        <f>IF($X257="","",SUM(Tabla152[[#This Row],[PRESENCIA DE LARVA]],Tabla152[[#This Row],[CHANCHITO BLANCO]])/$X$10)</f>
        <v>0</v>
      </c>
      <c r="DU257" s="18">
        <f>IF($X257="","",SUM(Tabla152[[#This Row],[ROJO GRADO 2 A MÁS]],Tabla152[[#This Row],[IMMADURO VERDE]],Tabla152[[#This Row],[DESORDEN POR MADURACIÓN]],Tabla152[[#This Row],[ARO PEDICELAR VERDE EXTREMO]])/$X$10)</f>
        <v>0</v>
      </c>
      <c r="DV257" s="16">
        <f>IF($X257="","",SUM(Tabla152[[#This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57" s="16">
        <f t="shared" si="22"/>
        <v>0</v>
      </c>
      <c r="DX257" s="16">
        <f>IF($X257="","",AJ257/$X$10)</f>
        <v>0</v>
      </c>
      <c r="DY257" s="16">
        <f>IF($X257="","",SUM(Tabla152[[#This Row],[PRESENCIA DE COROLA]],Tabla152[[#This Row],[PRESENCIA DE RESTO FLORAL VERDE]],Tabla152[[#This Row],[PRESENCIA DE PEDÚNCULO]])/$X$10)</f>
        <v>0</v>
      </c>
      <c r="DZ257" s="16">
        <f>IF($X257="","",SUM(Tabla152[[#This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58" spans="1:130" x14ac:dyDescent="0.3">
      <c r="A258" s="9">
        <f>IF(W258="","",IF(ROW()=10,1,IF(W258=W257,A257,MAX($A$9:A257)+1)))</f>
        <v>82</v>
      </c>
      <c r="B258" s="9">
        <f>WEEKNUM(Tabla152[[#This Row],[FECHA DE COSECHA]],21)</f>
        <v>36</v>
      </c>
      <c r="C258" s="9"/>
      <c r="D258" s="17">
        <v>46268</v>
      </c>
      <c r="E258" s="17">
        <v>46268</v>
      </c>
      <c r="F258" s="9">
        <v>1</v>
      </c>
      <c r="G258" s="9" t="s">
        <v>77</v>
      </c>
      <c r="H258" s="9" t="s">
        <v>144</v>
      </c>
      <c r="I258" s="9" t="s">
        <v>188</v>
      </c>
      <c r="J258" s="9" t="s">
        <v>135</v>
      </c>
      <c r="K258" s="9" t="s">
        <v>146</v>
      </c>
      <c r="L258" s="9" t="s">
        <v>131</v>
      </c>
      <c r="M258" s="9" t="s">
        <v>239</v>
      </c>
      <c r="N258" s="9" t="s">
        <v>136</v>
      </c>
      <c r="O258" s="9" t="s">
        <v>137</v>
      </c>
      <c r="P258" s="9" t="s">
        <v>243</v>
      </c>
      <c r="Q258" s="9"/>
      <c r="R258" s="9">
        <v>7</v>
      </c>
      <c r="S258" s="9">
        <v>78114711</v>
      </c>
      <c r="T258" t="s">
        <v>233</v>
      </c>
      <c r="U258" s="9" t="s">
        <v>147</v>
      </c>
      <c r="V258" s="9"/>
      <c r="W258" s="19" t="s">
        <v>227</v>
      </c>
      <c r="X258" s="9">
        <v>69</v>
      </c>
      <c r="Y258" s="9">
        <v>3</v>
      </c>
      <c r="Z258" s="9">
        <v>15</v>
      </c>
      <c r="AA258" s="9" t="str">
        <f>IF(Tabla152[[#This Row],[NOTA]]=15,"CUMPLE","NO CUMPLE")</f>
        <v>CUMPLE</v>
      </c>
      <c r="AB258" s="9" t="str">
        <f>IF(COUNTIF($A$10:A258,A258)=1,IF(COUNTIFS($A:$A,A258,$AA:$AA,"NO CUMPLE")&gt;0,"NO CUMPLE","CUMPLE"),"")</f>
        <v/>
      </c>
      <c r="AC258" s="9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18"/>
      <c r="BX258" s="18">
        <f>IF($X258="","",AE258/$X$10)</f>
        <v>0</v>
      </c>
      <c r="BY258" s="18">
        <f>IF($X258="","",AF258/$X$10)</f>
        <v>0</v>
      </c>
      <c r="BZ258" s="18">
        <f>IF($X258="","",AG258/$X$10)</f>
        <v>0</v>
      </c>
      <c r="CA258" s="18">
        <f>IF($X258="","",AH258/$X$10)</f>
        <v>0</v>
      </c>
      <c r="CB258" s="18">
        <f t="shared" si="23"/>
        <v>0</v>
      </c>
      <c r="CC258" s="18">
        <f>IF($X258="","",AJ258/$X$10)</f>
        <v>0</v>
      </c>
      <c r="CD258" s="18">
        <f>IF($X258="","",AK258/$X$10)</f>
        <v>0</v>
      </c>
      <c r="CE258" s="18">
        <f>IF($X258="","",AL258/$X$10)</f>
        <v>0</v>
      </c>
      <c r="CF258" s="18">
        <f>IF($X258="","",AM258/$X$10)</f>
        <v>0</v>
      </c>
      <c r="CG258" s="18">
        <f>IF($X258="","",AN258/$X$10)</f>
        <v>0</v>
      </c>
      <c r="CH258" s="18">
        <f>IF($X258="","",AO258/$X$10)</f>
        <v>0</v>
      </c>
      <c r="CI258" s="18">
        <f>IF($X258="","",AP258/$X$10)</f>
        <v>0</v>
      </c>
      <c r="CJ258" s="18">
        <f>IF($X258="","",AQ258/$X$10)</f>
        <v>0</v>
      </c>
      <c r="CK258" s="18">
        <f>IF($X258="","",AR258/$X$10)</f>
        <v>0</v>
      </c>
      <c r="CL258" s="18">
        <f>IF($X258="","",AS258/$X$10)</f>
        <v>0</v>
      </c>
      <c r="CM258" s="18">
        <f>IF($X258="","",AT258/$X$10)</f>
        <v>0</v>
      </c>
      <c r="CN258" s="18">
        <f>IF($X258="","",AU258/$X$10)</f>
        <v>0</v>
      </c>
      <c r="CO258" s="18">
        <f>IF($X258="","",AV258/$X$10)</f>
        <v>0</v>
      </c>
      <c r="CP258" s="18">
        <f>IF($X258="","",AW258/$X$10)</f>
        <v>0</v>
      </c>
      <c r="CQ258" s="18">
        <f>IF($X258="","",AX258/$X$10)</f>
        <v>0</v>
      </c>
      <c r="CR258" s="18">
        <f>IF($X258="","",AY258/$X$10)</f>
        <v>0</v>
      </c>
      <c r="CS258" s="18">
        <f>IF($X258="","",AZ258/$X$10)</f>
        <v>0</v>
      </c>
      <c r="CT258" s="18">
        <f>IF($X258="","",BA258/$X$10)</f>
        <v>0</v>
      </c>
      <c r="CU258" s="18">
        <f>IF($X258="","",BB258/$X$10)</f>
        <v>0</v>
      </c>
      <c r="CV258" s="18">
        <f>IF($X258="","",BC258/$X$10)</f>
        <v>0</v>
      </c>
      <c r="CW258" s="18">
        <f>IF($X258="","",BD258/$X$10)</f>
        <v>0</v>
      </c>
      <c r="CX258" s="18">
        <f>IF($X258="","",BE258/$X$10)</f>
        <v>0</v>
      </c>
      <c r="CY258" s="18">
        <f>IF($X258="","",BF258/$X$10)</f>
        <v>0</v>
      </c>
      <c r="CZ258" s="18">
        <f>IF($X258="","",BG258/$X$10)</f>
        <v>0</v>
      </c>
      <c r="DA258" s="18">
        <f>IF($X258="","",BH258/$X$10)</f>
        <v>0</v>
      </c>
      <c r="DB258" s="18">
        <f>IF($X258="","",BI258/$X$10)</f>
        <v>0</v>
      </c>
      <c r="DC258" s="18">
        <f>IF($X258="","",BJ258/$X$10)</f>
        <v>0</v>
      </c>
      <c r="DD258" s="18">
        <f>IF($X258="","",BK258/$X$10)</f>
        <v>0</v>
      </c>
      <c r="DE258" s="18">
        <f>IF($X258="","",BL258/$X$10)</f>
        <v>0</v>
      </c>
      <c r="DF258" s="18">
        <f>IF($X258="","",BM258/$X$10)</f>
        <v>0</v>
      </c>
      <c r="DG258" s="18">
        <f t="shared" si="24"/>
        <v>0</v>
      </c>
      <c r="DH258" s="18">
        <f>IF($X258="","",BO258/$X$10)</f>
        <v>0</v>
      </c>
      <c r="DI258" s="18">
        <f>IF($X258="","",BP258/$X$10)</f>
        <v>0</v>
      </c>
      <c r="DJ258" s="18">
        <f>IF($X258="","",BQ258/$X$10)</f>
        <v>0</v>
      </c>
      <c r="DK258" s="18">
        <f>IF($X258="","",BR258/$X$10)</f>
        <v>0</v>
      </c>
      <c r="DL258" s="18">
        <f>IF($X258="","",BS258/$X$10)</f>
        <v>0</v>
      </c>
      <c r="DM258" s="18">
        <f>IF($X258="","",BT258/$X$10)</f>
        <v>0</v>
      </c>
      <c r="DN258" s="18">
        <f t="shared" si="25"/>
        <v>0</v>
      </c>
      <c r="DO258" s="16">
        <f>IF($X258="","",SUM(Tabla152[[#This Row],[PODRIDO]],Tabla152[[#This Row],[HONGO]],Tabla152[[#This Row],[PICADO DE AVE CON PUDRICIÓN]],Tabla152[[#This Row],[FUMAGINA]])/$X$10)</f>
        <v>0</v>
      </c>
      <c r="DP258" s="16">
        <f>IF($X258="","",SUM(Tabla152[[#This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58" s="16">
        <f>IF($X258="","",SUM(Tabla152[[#This Row],[BLANDO]:[COLAPSADO]])/$X$10)</f>
        <v>0</v>
      </c>
      <c r="DR258" s="16">
        <f>IF($X258="","",SUM(Tabla152[[#This Row],[DESHIDRATADO LEVE]:[DESHIDRATADO INMADURO]])/$X$10)</f>
        <v>0</v>
      </c>
      <c r="DS258" s="18">
        <f t="shared" si="21"/>
        <v>0</v>
      </c>
      <c r="DT258" s="16">
        <f>IF($X258="","",SUM(Tabla152[[#This Row],[PRESENCIA DE LARVA]],Tabla152[[#This Row],[CHANCHITO BLANCO]])/$X$10)</f>
        <v>0</v>
      </c>
      <c r="DU258" s="18">
        <f>IF($X258="","",SUM(Tabla152[[#This Row],[ROJO GRADO 2 A MÁS]],Tabla152[[#This Row],[IMMADURO VERDE]],Tabla152[[#This Row],[DESORDEN POR MADURACIÓN]],Tabla152[[#This Row],[ARO PEDICELAR VERDE EXTREMO]])/$X$10)</f>
        <v>0</v>
      </c>
      <c r="DV258" s="16">
        <f>IF($X258="","",SUM(Tabla152[[#This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58" s="16">
        <f t="shared" si="22"/>
        <v>0</v>
      </c>
      <c r="DX258" s="16">
        <f>IF($X258="","",AJ258/$X$10)</f>
        <v>0</v>
      </c>
      <c r="DY258" s="16">
        <f>IF($X258="","",SUM(Tabla152[[#This Row],[PRESENCIA DE COROLA]],Tabla152[[#This Row],[PRESENCIA DE RESTO FLORAL VERDE]],Tabla152[[#This Row],[PRESENCIA DE PEDÚNCULO]])/$X$10)</f>
        <v>0</v>
      </c>
      <c r="DZ258" s="16">
        <f>IF($X258="","",SUM(Tabla152[[#This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59" spans="1:130" x14ac:dyDescent="0.3">
      <c r="A259" s="9">
        <f>IF(W259="","",IF(ROW()=10,1,IF(W259=W258,A258,MAX($A$9:A258)+1)))</f>
        <v>83</v>
      </c>
      <c r="B259" s="9">
        <f>WEEKNUM(Tabla152[[#This Row],[FECHA DE COSECHA]],21)</f>
        <v>36</v>
      </c>
      <c r="C259" s="9"/>
      <c r="D259" s="17">
        <v>46268</v>
      </c>
      <c r="E259" s="17">
        <v>46268</v>
      </c>
      <c r="F259" s="9">
        <v>1</v>
      </c>
      <c r="G259" s="9" t="s">
        <v>77</v>
      </c>
      <c r="H259" s="9" t="s">
        <v>144</v>
      </c>
      <c r="I259" s="9" t="s">
        <v>188</v>
      </c>
      <c r="J259" s="9" t="s">
        <v>135</v>
      </c>
      <c r="K259" s="9" t="s">
        <v>146</v>
      </c>
      <c r="L259" s="9" t="s">
        <v>131</v>
      </c>
      <c r="M259" s="9" t="s">
        <v>239</v>
      </c>
      <c r="N259" s="9" t="s">
        <v>136</v>
      </c>
      <c r="O259" s="9" t="s">
        <v>137</v>
      </c>
      <c r="P259" s="9" t="s">
        <v>243</v>
      </c>
      <c r="Q259" s="9"/>
      <c r="R259" s="9">
        <v>7</v>
      </c>
      <c r="S259" s="9">
        <v>78114711</v>
      </c>
      <c r="T259" t="s">
        <v>233</v>
      </c>
      <c r="U259" s="9" t="s">
        <v>147</v>
      </c>
      <c r="V259" s="9"/>
      <c r="W259" s="19" t="s">
        <v>228</v>
      </c>
      <c r="X259" s="9">
        <v>69</v>
      </c>
      <c r="Y259" s="9">
        <v>1</v>
      </c>
      <c r="Z259" s="9">
        <v>15</v>
      </c>
      <c r="AA259" s="9" t="str">
        <f>IF(Tabla152[[#This Row],[NOTA]]=15,"CUMPLE","NO CUMPLE")</f>
        <v>CUMPLE</v>
      </c>
      <c r="AB259" s="9" t="str">
        <f>IF(COUNTIF($A$10:A259,A259)=1,IF(COUNTIFS($A:$A,A259,$AA:$AA,"NO CUMPLE")&gt;0,"NO CUMPLE","CUMPLE"),"")</f>
        <v>CUMPLE</v>
      </c>
      <c r="AC259" s="9" t="s">
        <v>140</v>
      </c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18"/>
      <c r="BX259" s="18">
        <f>IF($X259="","",AE259/$X$10)</f>
        <v>0</v>
      </c>
      <c r="BY259" s="18">
        <f>IF($X259="","",AF259/$X$10)</f>
        <v>0</v>
      </c>
      <c r="BZ259" s="18">
        <f>IF($X259="","",AG259/$X$10)</f>
        <v>0</v>
      </c>
      <c r="CA259" s="18">
        <f>IF($X259="","",AH259/$X$10)</f>
        <v>0</v>
      </c>
      <c r="CB259" s="18">
        <f t="shared" si="23"/>
        <v>0</v>
      </c>
      <c r="CC259" s="18">
        <f>IF($X259="","",AJ259/$X$10)</f>
        <v>0</v>
      </c>
      <c r="CD259" s="18">
        <f>IF($X259="","",AK259/$X$10)</f>
        <v>0</v>
      </c>
      <c r="CE259" s="18">
        <f>IF($X259="","",AL259/$X$10)</f>
        <v>0</v>
      </c>
      <c r="CF259" s="18">
        <f>IF($X259="","",AM259/$X$10)</f>
        <v>0</v>
      </c>
      <c r="CG259" s="18">
        <f>IF($X259="","",AN259/$X$10)</f>
        <v>0</v>
      </c>
      <c r="CH259" s="18">
        <f>IF($X259="","",AO259/$X$10)</f>
        <v>0</v>
      </c>
      <c r="CI259" s="18">
        <f>IF($X259="","",AP259/$X$10)</f>
        <v>0</v>
      </c>
      <c r="CJ259" s="18">
        <f>IF($X259="","",AQ259/$X$10)</f>
        <v>0</v>
      </c>
      <c r="CK259" s="18">
        <f>IF($X259="","",AR259/$X$10)</f>
        <v>0</v>
      </c>
      <c r="CL259" s="18">
        <f>IF($X259="","",AS259/$X$10)</f>
        <v>0</v>
      </c>
      <c r="CM259" s="18">
        <f>IF($X259="","",AT259/$X$10)</f>
        <v>0</v>
      </c>
      <c r="CN259" s="18">
        <f>IF($X259="","",AU259/$X$10)</f>
        <v>0</v>
      </c>
      <c r="CO259" s="18">
        <f>IF($X259="","",AV259/$X$10)</f>
        <v>0</v>
      </c>
      <c r="CP259" s="18">
        <f>IF($X259="","",AW259/$X$10)</f>
        <v>0</v>
      </c>
      <c r="CQ259" s="18">
        <f>IF($X259="","",AX259/$X$10)</f>
        <v>0</v>
      </c>
      <c r="CR259" s="18">
        <f>IF($X259="","",AY259/$X$10)</f>
        <v>0</v>
      </c>
      <c r="CS259" s="18">
        <f>IF($X259="","",AZ259/$X$10)</f>
        <v>0</v>
      </c>
      <c r="CT259" s="18">
        <f>IF($X259="","",BA259/$X$10)</f>
        <v>0</v>
      </c>
      <c r="CU259" s="18">
        <f>IF($X259="","",BB259/$X$10)</f>
        <v>0</v>
      </c>
      <c r="CV259" s="18">
        <f>IF($X259="","",BC259/$X$10)</f>
        <v>0</v>
      </c>
      <c r="CW259" s="18">
        <f>IF($X259="","",BD259/$X$10)</f>
        <v>0</v>
      </c>
      <c r="CX259" s="18">
        <f>IF($X259="","",BE259/$X$10)</f>
        <v>0</v>
      </c>
      <c r="CY259" s="18">
        <f>IF($X259="","",BF259/$X$10)</f>
        <v>0</v>
      </c>
      <c r="CZ259" s="18">
        <f>IF($X259="","",BG259/$X$10)</f>
        <v>0</v>
      </c>
      <c r="DA259" s="18">
        <f>IF($X259="","",BH259/$X$10)</f>
        <v>0</v>
      </c>
      <c r="DB259" s="18">
        <f>IF($X259="","",BI259/$X$10)</f>
        <v>0</v>
      </c>
      <c r="DC259" s="18">
        <f>IF($X259="","",BJ259/$X$10)</f>
        <v>0</v>
      </c>
      <c r="DD259" s="18">
        <f>IF($X259="","",BK259/$X$10)</f>
        <v>0</v>
      </c>
      <c r="DE259" s="18">
        <f>IF($X259="","",BL259/$X$10)</f>
        <v>0</v>
      </c>
      <c r="DF259" s="18">
        <f>IF($X259="","",BM259/$X$10)</f>
        <v>0</v>
      </c>
      <c r="DG259" s="18">
        <f t="shared" si="24"/>
        <v>0</v>
      </c>
      <c r="DH259" s="18">
        <f>IF($X259="","",BO259/$X$10)</f>
        <v>0</v>
      </c>
      <c r="DI259" s="18">
        <f>IF($X259="","",BP259/$X$10)</f>
        <v>0</v>
      </c>
      <c r="DJ259" s="18">
        <f>IF($X259="","",BQ259/$X$10)</f>
        <v>0</v>
      </c>
      <c r="DK259" s="18">
        <f>IF($X259="","",BR259/$X$10)</f>
        <v>0</v>
      </c>
      <c r="DL259" s="18">
        <f>IF($X259="","",BS259/$X$10)</f>
        <v>0</v>
      </c>
      <c r="DM259" s="18">
        <f>IF($X259="","",BT259/$X$10)</f>
        <v>0</v>
      </c>
      <c r="DN259" s="18">
        <f t="shared" si="25"/>
        <v>0</v>
      </c>
      <c r="DO259" s="16">
        <f>IF($X259="","",SUM(Tabla152[[#This Row],[PODRIDO]],Tabla152[[#This Row],[HONGO]],Tabla152[[#This Row],[PICADO DE AVE CON PUDRICIÓN]],Tabla152[[#This Row],[FUMAGINA]])/$X$10)</f>
        <v>0</v>
      </c>
      <c r="DP259" s="16">
        <f>IF($X259="","",SUM(Tabla152[[#This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59" s="16">
        <f>IF($X259="","",SUM(Tabla152[[#This Row],[BLANDO]:[COLAPSADO]])/$X$10)</f>
        <v>0</v>
      </c>
      <c r="DR259" s="16">
        <f>IF($X259="","",SUM(Tabla152[[#This Row],[DESHIDRATADO LEVE]:[DESHIDRATADO INMADURO]])/$X$10)</f>
        <v>0</v>
      </c>
      <c r="DS259" s="18">
        <f t="shared" si="21"/>
        <v>0</v>
      </c>
      <c r="DT259" s="16">
        <f>IF($X259="","",SUM(Tabla152[[#This Row],[PRESENCIA DE LARVA]],Tabla152[[#This Row],[CHANCHITO BLANCO]])/$X$10)</f>
        <v>0</v>
      </c>
      <c r="DU259" s="18">
        <f>IF($X259="","",SUM(Tabla152[[#This Row],[ROJO GRADO 2 A MÁS]],Tabla152[[#This Row],[IMMADURO VERDE]],Tabla152[[#This Row],[DESORDEN POR MADURACIÓN]],Tabla152[[#This Row],[ARO PEDICELAR VERDE EXTREMO]])/$X$10)</f>
        <v>0</v>
      </c>
      <c r="DV259" s="16">
        <f>IF($X259="","",SUM(Tabla152[[#This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59" s="16">
        <f t="shared" si="22"/>
        <v>0</v>
      </c>
      <c r="DX259" s="16">
        <f>IF($X259="","",AJ259/$X$10)</f>
        <v>0</v>
      </c>
      <c r="DY259" s="16">
        <f>IF($X259="","",SUM(Tabla152[[#This Row],[PRESENCIA DE COROLA]],Tabla152[[#This Row],[PRESENCIA DE RESTO FLORAL VERDE]],Tabla152[[#This Row],[PRESENCIA DE PEDÚNCULO]])/$X$10)</f>
        <v>0</v>
      </c>
      <c r="DZ259" s="16">
        <f>IF($X259="","",SUM(Tabla152[[#This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60" spans="1:130" x14ac:dyDescent="0.3">
      <c r="A260" s="9">
        <f>IF(W260="","",IF(ROW()=10,1,IF(W260=W259,A259,MAX($A$9:A259)+1)))</f>
        <v>83</v>
      </c>
      <c r="B260" s="9">
        <f>WEEKNUM(Tabla152[[#This Row],[FECHA DE COSECHA]],21)</f>
        <v>36</v>
      </c>
      <c r="C260" s="9"/>
      <c r="D260" s="17">
        <v>46268</v>
      </c>
      <c r="E260" s="17">
        <v>46268</v>
      </c>
      <c r="F260" s="9">
        <v>1</v>
      </c>
      <c r="G260" s="9" t="s">
        <v>77</v>
      </c>
      <c r="H260" s="9" t="s">
        <v>144</v>
      </c>
      <c r="I260" s="9" t="s">
        <v>188</v>
      </c>
      <c r="J260" s="9" t="s">
        <v>135</v>
      </c>
      <c r="K260" s="9" t="s">
        <v>146</v>
      </c>
      <c r="L260" s="9" t="s">
        <v>131</v>
      </c>
      <c r="M260" s="9" t="s">
        <v>239</v>
      </c>
      <c r="N260" s="9" t="s">
        <v>136</v>
      </c>
      <c r="O260" s="9" t="s">
        <v>137</v>
      </c>
      <c r="P260" s="9" t="s">
        <v>243</v>
      </c>
      <c r="Q260" s="9"/>
      <c r="R260" s="9">
        <v>7</v>
      </c>
      <c r="S260" s="9">
        <v>78114711</v>
      </c>
      <c r="T260" t="s">
        <v>233</v>
      </c>
      <c r="U260" s="9" t="s">
        <v>147</v>
      </c>
      <c r="V260" s="9"/>
      <c r="W260" s="19" t="s">
        <v>228</v>
      </c>
      <c r="X260" s="9">
        <v>69</v>
      </c>
      <c r="Y260" s="9">
        <v>2</v>
      </c>
      <c r="Z260" s="9">
        <v>15</v>
      </c>
      <c r="AA260" s="9" t="str">
        <f>IF(Tabla152[[#This Row],[NOTA]]=15,"CUMPLE","NO CUMPLE")</f>
        <v>CUMPLE</v>
      </c>
      <c r="AB260" s="9" t="str">
        <f>IF(COUNTIF($A$10:A260,A260)=1,IF(COUNTIFS($A:$A,A260,$AA:$AA,"NO CUMPLE")&gt;0,"NO CUMPLE","CUMPLE"),"")</f>
        <v/>
      </c>
      <c r="AC260" s="9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18"/>
      <c r="BX260" s="18">
        <f>IF($X260="","",AE260/$X$10)</f>
        <v>0</v>
      </c>
      <c r="BY260" s="18">
        <f>IF($X260="","",AF260/$X$10)</f>
        <v>0</v>
      </c>
      <c r="BZ260" s="18">
        <f>IF($X260="","",AG260/$X$10)</f>
        <v>0</v>
      </c>
      <c r="CA260" s="18">
        <f>IF($X260="","",AH260/$X$10)</f>
        <v>0</v>
      </c>
      <c r="CB260" s="18">
        <f t="shared" si="23"/>
        <v>0</v>
      </c>
      <c r="CC260" s="18">
        <f>IF($X260="","",AJ260/$X$10)</f>
        <v>0</v>
      </c>
      <c r="CD260" s="18">
        <f>IF($X260="","",AK260/$X$10)</f>
        <v>0</v>
      </c>
      <c r="CE260" s="18">
        <f>IF($X260="","",AL260/$X$10)</f>
        <v>0</v>
      </c>
      <c r="CF260" s="18">
        <f>IF($X260="","",AM260/$X$10)</f>
        <v>0</v>
      </c>
      <c r="CG260" s="18">
        <f>IF($X260="","",AN260/$X$10)</f>
        <v>0</v>
      </c>
      <c r="CH260" s="18">
        <f>IF($X260="","",AO260/$X$10)</f>
        <v>0</v>
      </c>
      <c r="CI260" s="18">
        <f>IF($X260="","",AP260/$X$10)</f>
        <v>0</v>
      </c>
      <c r="CJ260" s="18">
        <f>IF($X260="","",AQ260/$X$10)</f>
        <v>0</v>
      </c>
      <c r="CK260" s="18">
        <f>IF($X260="","",AR260/$X$10)</f>
        <v>0</v>
      </c>
      <c r="CL260" s="18">
        <f>IF($X260="","",AS260/$X$10)</f>
        <v>0</v>
      </c>
      <c r="CM260" s="18">
        <f>IF($X260="","",AT260/$X$10)</f>
        <v>0</v>
      </c>
      <c r="CN260" s="18">
        <f>IF($X260="","",AU260/$X$10)</f>
        <v>0</v>
      </c>
      <c r="CO260" s="18">
        <f>IF($X260="","",AV260/$X$10)</f>
        <v>0</v>
      </c>
      <c r="CP260" s="18">
        <f>IF($X260="","",AW260/$X$10)</f>
        <v>0</v>
      </c>
      <c r="CQ260" s="18">
        <f>IF($X260="","",AX260/$X$10)</f>
        <v>0</v>
      </c>
      <c r="CR260" s="18">
        <f>IF($X260="","",AY260/$X$10)</f>
        <v>0</v>
      </c>
      <c r="CS260" s="18">
        <f>IF($X260="","",AZ260/$X$10)</f>
        <v>0</v>
      </c>
      <c r="CT260" s="18">
        <f>IF($X260="","",BA260/$X$10)</f>
        <v>0</v>
      </c>
      <c r="CU260" s="18">
        <f>IF($X260="","",BB260/$X$10)</f>
        <v>0</v>
      </c>
      <c r="CV260" s="18">
        <f>IF($X260="","",BC260/$X$10)</f>
        <v>0</v>
      </c>
      <c r="CW260" s="18">
        <f>IF($X260="","",BD260/$X$10)</f>
        <v>0</v>
      </c>
      <c r="CX260" s="18">
        <f>IF($X260="","",BE260/$X$10)</f>
        <v>0</v>
      </c>
      <c r="CY260" s="18">
        <f>IF($X260="","",BF260/$X$10)</f>
        <v>0</v>
      </c>
      <c r="CZ260" s="18">
        <f>IF($X260="","",BG260/$X$10)</f>
        <v>0</v>
      </c>
      <c r="DA260" s="18">
        <f>IF($X260="","",BH260/$X$10)</f>
        <v>0</v>
      </c>
      <c r="DB260" s="18">
        <f>IF($X260="","",BI260/$X$10)</f>
        <v>0</v>
      </c>
      <c r="DC260" s="18">
        <f>IF($X260="","",BJ260/$X$10)</f>
        <v>0</v>
      </c>
      <c r="DD260" s="18">
        <f>IF($X260="","",BK260/$X$10)</f>
        <v>0</v>
      </c>
      <c r="DE260" s="18">
        <f>IF($X260="","",BL260/$X$10)</f>
        <v>0</v>
      </c>
      <c r="DF260" s="18">
        <f>IF($X260="","",BM260/$X$10)</f>
        <v>0</v>
      </c>
      <c r="DG260" s="18">
        <f t="shared" si="24"/>
        <v>0</v>
      </c>
      <c r="DH260" s="18">
        <f>IF($X260="","",BO260/$X$10)</f>
        <v>0</v>
      </c>
      <c r="DI260" s="18">
        <f>IF($X260="","",BP260/$X$10)</f>
        <v>0</v>
      </c>
      <c r="DJ260" s="18">
        <f>IF($X260="","",BQ260/$X$10)</f>
        <v>0</v>
      </c>
      <c r="DK260" s="18">
        <f>IF($X260="","",BR260/$X$10)</f>
        <v>0</v>
      </c>
      <c r="DL260" s="18">
        <f>IF($X260="","",BS260/$X$10)</f>
        <v>0</v>
      </c>
      <c r="DM260" s="18">
        <f>IF($X260="","",BT260/$X$10)</f>
        <v>0</v>
      </c>
      <c r="DN260" s="18">
        <f t="shared" si="25"/>
        <v>0</v>
      </c>
      <c r="DO260" s="16">
        <f>IF($X260="","",SUM(Tabla152[[#This Row],[PODRIDO]],Tabla152[[#This Row],[HONGO]],Tabla152[[#This Row],[PICADO DE AVE CON PUDRICIÓN]],Tabla152[[#This Row],[FUMAGINA]])/$X$10)</f>
        <v>0</v>
      </c>
      <c r="DP260" s="16">
        <f>IF($X260="","",SUM(Tabla152[[#This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60" s="16">
        <f>IF($X260="","",SUM(Tabla152[[#This Row],[BLANDO]:[COLAPSADO]])/$X$10)</f>
        <v>0</v>
      </c>
      <c r="DR260" s="16">
        <f>IF($X260="","",SUM(Tabla152[[#This Row],[DESHIDRATADO LEVE]:[DESHIDRATADO INMADURO]])/$X$10)</f>
        <v>0</v>
      </c>
      <c r="DS260" s="18">
        <f t="shared" si="21"/>
        <v>0</v>
      </c>
      <c r="DT260" s="16">
        <f>IF($X260="","",SUM(Tabla152[[#This Row],[PRESENCIA DE LARVA]],Tabla152[[#This Row],[CHANCHITO BLANCO]])/$X$10)</f>
        <v>0</v>
      </c>
      <c r="DU260" s="18">
        <f>IF($X260="","",SUM(Tabla152[[#This Row],[ROJO GRADO 2 A MÁS]],Tabla152[[#This Row],[IMMADURO VERDE]],Tabla152[[#This Row],[DESORDEN POR MADURACIÓN]],Tabla152[[#This Row],[ARO PEDICELAR VERDE EXTREMO]])/$X$10)</f>
        <v>0</v>
      </c>
      <c r="DV260" s="16">
        <f>IF($X260="","",SUM(Tabla152[[#This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60" s="16">
        <f t="shared" si="22"/>
        <v>0</v>
      </c>
      <c r="DX260" s="16">
        <f>IF($X260="","",AJ260/$X$10)</f>
        <v>0</v>
      </c>
      <c r="DY260" s="16">
        <f>IF($X260="","",SUM(Tabla152[[#This Row],[PRESENCIA DE COROLA]],Tabla152[[#This Row],[PRESENCIA DE RESTO FLORAL VERDE]],Tabla152[[#This Row],[PRESENCIA DE PEDÚNCULO]])/$X$10)</f>
        <v>0</v>
      </c>
      <c r="DZ260" s="16">
        <f>IF($X260="","",SUM(Tabla152[[#This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61" spans="1:130" x14ac:dyDescent="0.3">
      <c r="A261" s="9">
        <f>IF(W261="","",IF(ROW()=10,1,IF(W261=W260,A260,MAX($A$9:A260)+1)))</f>
        <v>83</v>
      </c>
      <c r="B261" s="9">
        <f>WEEKNUM(Tabla152[[#This Row],[FECHA DE COSECHA]],21)</f>
        <v>36</v>
      </c>
      <c r="C261" s="9"/>
      <c r="D261" s="17">
        <v>46268</v>
      </c>
      <c r="E261" s="17">
        <v>46268</v>
      </c>
      <c r="F261" s="9">
        <v>1</v>
      </c>
      <c r="G261" s="9" t="s">
        <v>77</v>
      </c>
      <c r="H261" s="9" t="s">
        <v>144</v>
      </c>
      <c r="I261" s="9" t="s">
        <v>188</v>
      </c>
      <c r="J261" s="9" t="s">
        <v>135</v>
      </c>
      <c r="K261" s="9" t="s">
        <v>146</v>
      </c>
      <c r="L261" s="9" t="s">
        <v>131</v>
      </c>
      <c r="M261" s="9" t="s">
        <v>239</v>
      </c>
      <c r="N261" s="9" t="s">
        <v>136</v>
      </c>
      <c r="O261" s="9" t="s">
        <v>137</v>
      </c>
      <c r="P261" s="9" t="s">
        <v>243</v>
      </c>
      <c r="Q261" s="9"/>
      <c r="R261" s="9">
        <v>7</v>
      </c>
      <c r="S261" s="9">
        <v>78114711</v>
      </c>
      <c r="T261" t="s">
        <v>233</v>
      </c>
      <c r="U261" s="9" t="s">
        <v>147</v>
      </c>
      <c r="V261" s="9"/>
      <c r="W261" s="19" t="s">
        <v>228</v>
      </c>
      <c r="X261" s="9">
        <v>69</v>
      </c>
      <c r="Y261" s="9">
        <v>3</v>
      </c>
      <c r="Z261" s="9">
        <v>15</v>
      </c>
      <c r="AA261" s="9" t="str">
        <f>IF(Tabla152[[#This Row],[NOTA]]=15,"CUMPLE","NO CUMPLE")</f>
        <v>CUMPLE</v>
      </c>
      <c r="AB261" s="9" t="str">
        <f>IF(COUNTIF($A$10:A261,A261)=1,IF(COUNTIFS($A:$A,A261,$AA:$AA,"NO CUMPLE")&gt;0,"NO CUMPLE","CUMPLE"),"")</f>
        <v/>
      </c>
      <c r="AC261" s="9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18"/>
      <c r="BX261" s="18">
        <f>IF($X261="","",AE261/$X$10)</f>
        <v>0</v>
      </c>
      <c r="BY261" s="18">
        <f>IF($X261="","",AF261/$X$10)</f>
        <v>0</v>
      </c>
      <c r="BZ261" s="18">
        <f>IF($X261="","",AG261/$X$10)</f>
        <v>0</v>
      </c>
      <c r="CA261" s="18">
        <f>IF($X261="","",AH261/$X$10)</f>
        <v>0</v>
      </c>
      <c r="CB261" s="18">
        <f t="shared" si="23"/>
        <v>0</v>
      </c>
      <c r="CC261" s="18">
        <f>IF($X261="","",AJ261/$X$10)</f>
        <v>0</v>
      </c>
      <c r="CD261" s="18">
        <f>IF($X261="","",AK261/$X$10)</f>
        <v>0</v>
      </c>
      <c r="CE261" s="18">
        <f>IF($X261="","",AL261/$X$10)</f>
        <v>0</v>
      </c>
      <c r="CF261" s="18">
        <f>IF($X261="","",AM261/$X$10)</f>
        <v>0</v>
      </c>
      <c r="CG261" s="18">
        <f>IF($X261="","",AN261/$X$10)</f>
        <v>0</v>
      </c>
      <c r="CH261" s="18">
        <f>IF($X261="","",AO261/$X$10)</f>
        <v>0</v>
      </c>
      <c r="CI261" s="18">
        <f>IF($X261="","",AP261/$X$10)</f>
        <v>0</v>
      </c>
      <c r="CJ261" s="18">
        <f>IF($X261="","",AQ261/$X$10)</f>
        <v>0</v>
      </c>
      <c r="CK261" s="18">
        <f>IF($X261="","",AR261/$X$10)</f>
        <v>0</v>
      </c>
      <c r="CL261" s="18">
        <f>IF($X261="","",AS261/$X$10)</f>
        <v>0</v>
      </c>
      <c r="CM261" s="18">
        <f>IF($X261="","",AT261/$X$10)</f>
        <v>0</v>
      </c>
      <c r="CN261" s="18">
        <f>IF($X261="","",AU261/$X$10)</f>
        <v>0</v>
      </c>
      <c r="CO261" s="18">
        <f>IF($X261="","",AV261/$X$10)</f>
        <v>0</v>
      </c>
      <c r="CP261" s="18">
        <f>IF($X261="","",AW261/$X$10)</f>
        <v>0</v>
      </c>
      <c r="CQ261" s="18">
        <f>IF($X261="","",AX261/$X$10)</f>
        <v>0</v>
      </c>
      <c r="CR261" s="18">
        <f>IF($X261="","",AY261/$X$10)</f>
        <v>0</v>
      </c>
      <c r="CS261" s="18">
        <f>IF($X261="","",AZ261/$X$10)</f>
        <v>0</v>
      </c>
      <c r="CT261" s="18">
        <f>IF($X261="","",BA261/$X$10)</f>
        <v>0</v>
      </c>
      <c r="CU261" s="18">
        <f>IF($X261="","",BB261/$X$10)</f>
        <v>0</v>
      </c>
      <c r="CV261" s="18">
        <f>IF($X261="","",BC261/$X$10)</f>
        <v>0</v>
      </c>
      <c r="CW261" s="18">
        <f>IF($X261="","",BD261/$X$10)</f>
        <v>0</v>
      </c>
      <c r="CX261" s="18">
        <f>IF($X261="","",BE261/$X$10)</f>
        <v>0</v>
      </c>
      <c r="CY261" s="18">
        <f>IF($X261="","",BF261/$X$10)</f>
        <v>0</v>
      </c>
      <c r="CZ261" s="18">
        <f>IF($X261="","",BG261/$X$10)</f>
        <v>0</v>
      </c>
      <c r="DA261" s="18">
        <f>IF($X261="","",BH261/$X$10)</f>
        <v>0</v>
      </c>
      <c r="DB261" s="18">
        <f>IF($X261="","",BI261/$X$10)</f>
        <v>0</v>
      </c>
      <c r="DC261" s="18">
        <f>IF($X261="","",BJ261/$X$10)</f>
        <v>0</v>
      </c>
      <c r="DD261" s="18">
        <f>IF($X261="","",BK261/$X$10)</f>
        <v>0</v>
      </c>
      <c r="DE261" s="18">
        <f>IF($X261="","",BL261/$X$10)</f>
        <v>0</v>
      </c>
      <c r="DF261" s="18">
        <f>IF($X261="","",BM261/$X$10)</f>
        <v>0</v>
      </c>
      <c r="DG261" s="18">
        <f t="shared" si="24"/>
        <v>0</v>
      </c>
      <c r="DH261" s="18">
        <f>IF($X261="","",BO261/$X$10)</f>
        <v>0</v>
      </c>
      <c r="DI261" s="18">
        <f>IF($X261="","",BP261/$X$10)</f>
        <v>0</v>
      </c>
      <c r="DJ261" s="18">
        <f>IF($X261="","",BQ261/$X$10)</f>
        <v>0</v>
      </c>
      <c r="DK261" s="18">
        <f>IF($X261="","",BR261/$X$10)</f>
        <v>0</v>
      </c>
      <c r="DL261" s="18">
        <f>IF($X261="","",BS261/$X$10)</f>
        <v>0</v>
      </c>
      <c r="DM261" s="18">
        <f>IF($X261="","",BT261/$X$10)</f>
        <v>0</v>
      </c>
      <c r="DN261" s="18">
        <f t="shared" si="25"/>
        <v>0</v>
      </c>
      <c r="DO261" s="16">
        <f>IF($X261="","",SUM(Tabla152[[#This Row],[PODRIDO]],Tabla152[[#This Row],[HONGO]],Tabla152[[#This Row],[PICADO DE AVE CON PUDRICIÓN]],Tabla152[[#This Row],[FUMAGINA]])/$X$10)</f>
        <v>0</v>
      </c>
      <c r="DP261" s="16">
        <f>IF($X261="","",SUM(Tabla152[[#This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61" s="16">
        <f>IF($X261="","",SUM(Tabla152[[#This Row],[BLANDO]:[COLAPSADO]])/$X$10)</f>
        <v>0</v>
      </c>
      <c r="DR261" s="16">
        <f>IF($X261="","",SUM(Tabla152[[#This Row],[DESHIDRATADO LEVE]:[DESHIDRATADO INMADURO]])/$X$10)</f>
        <v>0</v>
      </c>
      <c r="DS261" s="18">
        <f t="shared" si="21"/>
        <v>0</v>
      </c>
      <c r="DT261" s="16">
        <f>IF($X261="","",SUM(Tabla152[[#This Row],[PRESENCIA DE LARVA]],Tabla152[[#This Row],[CHANCHITO BLANCO]])/$X$10)</f>
        <v>0</v>
      </c>
      <c r="DU261" s="18">
        <f>IF($X261="","",SUM(Tabla152[[#This Row],[ROJO GRADO 2 A MÁS]],Tabla152[[#This Row],[IMMADURO VERDE]],Tabla152[[#This Row],[DESORDEN POR MADURACIÓN]],Tabla152[[#This Row],[ARO PEDICELAR VERDE EXTREMO]])/$X$10)</f>
        <v>0</v>
      </c>
      <c r="DV261" s="16">
        <f>IF($X261="","",SUM(Tabla152[[#This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61" s="16">
        <f t="shared" si="22"/>
        <v>0</v>
      </c>
      <c r="DX261" s="16">
        <f>IF($X261="","",AJ261/$X$10)</f>
        <v>0</v>
      </c>
      <c r="DY261" s="16">
        <f>IF($X261="","",SUM(Tabla152[[#This Row],[PRESENCIA DE COROLA]],Tabla152[[#This Row],[PRESENCIA DE RESTO FLORAL VERDE]],Tabla152[[#This Row],[PRESENCIA DE PEDÚNCULO]])/$X$10)</f>
        <v>0</v>
      </c>
      <c r="DZ261" s="16">
        <f>IF($X261="","",SUM(Tabla152[[#This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62" spans="1:130" x14ac:dyDescent="0.3">
      <c r="A262" s="9">
        <f>IF(W262="","",IF(ROW()=10,1,IF(W262=W261,A261,MAX($A$9:A261)+1)))</f>
        <v>84</v>
      </c>
      <c r="B262" s="9">
        <f>WEEKNUM(Tabla152[[#This Row],[FECHA DE COSECHA]],21)</f>
        <v>36</v>
      </c>
      <c r="C262" s="9"/>
      <c r="D262" s="17">
        <v>46268</v>
      </c>
      <c r="E262" s="17">
        <v>46268</v>
      </c>
      <c r="F262" s="9">
        <v>1</v>
      </c>
      <c r="G262" s="9" t="s">
        <v>77</v>
      </c>
      <c r="H262" s="9" t="s">
        <v>144</v>
      </c>
      <c r="I262" s="9" t="s">
        <v>188</v>
      </c>
      <c r="J262" s="9" t="s">
        <v>135</v>
      </c>
      <c r="K262" s="9" t="s">
        <v>146</v>
      </c>
      <c r="L262" s="9" t="s">
        <v>131</v>
      </c>
      <c r="M262" s="9" t="s">
        <v>239</v>
      </c>
      <c r="N262" s="9" t="s">
        <v>136</v>
      </c>
      <c r="O262" s="9" t="s">
        <v>137</v>
      </c>
      <c r="P262" s="9" t="s">
        <v>243</v>
      </c>
      <c r="Q262" s="9"/>
      <c r="R262" s="9">
        <v>7</v>
      </c>
      <c r="S262" s="9">
        <v>78114711</v>
      </c>
      <c r="T262" t="s">
        <v>233</v>
      </c>
      <c r="U262" s="9" t="s">
        <v>147</v>
      </c>
      <c r="V262" s="9"/>
      <c r="W262" s="19" t="s">
        <v>229</v>
      </c>
      <c r="X262" s="9">
        <v>69</v>
      </c>
      <c r="Y262" s="9">
        <v>1</v>
      </c>
      <c r="Z262" s="9">
        <v>15</v>
      </c>
      <c r="AA262" s="9" t="str">
        <f>IF(Tabla152[[#This Row],[NOTA]]=15,"CUMPLE","NO CUMPLE")</f>
        <v>CUMPLE</v>
      </c>
      <c r="AB262" s="9" t="str">
        <f>IF(COUNTIF($A$10:A262,A262)=1,IF(COUNTIFS($A:$A,A262,$AA:$AA,"NO CUMPLE")&gt;0,"NO CUMPLE","CUMPLE"),"")</f>
        <v>CUMPLE</v>
      </c>
      <c r="AC262" s="9" t="s">
        <v>140</v>
      </c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18"/>
      <c r="BX262" s="18">
        <f>IF($X262="","",AE262/$X$10)</f>
        <v>0</v>
      </c>
      <c r="BY262" s="18">
        <f>IF($X262="","",AF262/$X$10)</f>
        <v>0</v>
      </c>
      <c r="BZ262" s="18">
        <f>IF($X262="","",AG262/$X$10)</f>
        <v>0</v>
      </c>
      <c r="CA262" s="18">
        <f>IF($X262="","",AH262/$X$10)</f>
        <v>0</v>
      </c>
      <c r="CB262" s="18">
        <f t="shared" si="23"/>
        <v>0</v>
      </c>
      <c r="CC262" s="18">
        <f>IF($X262="","",AJ262/$X$10)</f>
        <v>0</v>
      </c>
      <c r="CD262" s="18">
        <f>IF($X262="","",AK262/$X$10)</f>
        <v>0</v>
      </c>
      <c r="CE262" s="18">
        <f>IF($X262="","",AL262/$X$10)</f>
        <v>0</v>
      </c>
      <c r="CF262" s="18">
        <f>IF($X262="","",AM262/$X$10)</f>
        <v>0</v>
      </c>
      <c r="CG262" s="18">
        <f>IF($X262="","",AN262/$X$10)</f>
        <v>0</v>
      </c>
      <c r="CH262" s="18">
        <f>IF($X262="","",AO262/$X$10)</f>
        <v>0</v>
      </c>
      <c r="CI262" s="18">
        <f>IF($X262="","",AP262/$X$10)</f>
        <v>0</v>
      </c>
      <c r="CJ262" s="18">
        <f>IF($X262="","",AQ262/$X$10)</f>
        <v>0</v>
      </c>
      <c r="CK262" s="18">
        <f>IF($X262="","",AR262/$X$10)</f>
        <v>0</v>
      </c>
      <c r="CL262" s="18">
        <f>IF($X262="","",AS262/$X$10)</f>
        <v>0</v>
      </c>
      <c r="CM262" s="18">
        <f>IF($X262="","",AT262/$X$10)</f>
        <v>0</v>
      </c>
      <c r="CN262" s="18">
        <f>IF($X262="","",AU262/$X$10)</f>
        <v>0</v>
      </c>
      <c r="CO262" s="18">
        <f>IF($X262="","",AV262/$X$10)</f>
        <v>0</v>
      </c>
      <c r="CP262" s="18">
        <f>IF($X262="","",AW262/$X$10)</f>
        <v>0</v>
      </c>
      <c r="CQ262" s="18">
        <f>IF($X262="","",AX262/$X$10)</f>
        <v>0</v>
      </c>
      <c r="CR262" s="18">
        <f>IF($X262="","",AY262/$X$10)</f>
        <v>0</v>
      </c>
      <c r="CS262" s="18">
        <f>IF($X262="","",AZ262/$X$10)</f>
        <v>0</v>
      </c>
      <c r="CT262" s="18">
        <f>IF($X262="","",BA262/$X$10)</f>
        <v>0</v>
      </c>
      <c r="CU262" s="18">
        <f>IF($X262="","",BB262/$X$10)</f>
        <v>0</v>
      </c>
      <c r="CV262" s="18">
        <f>IF($X262="","",BC262/$X$10)</f>
        <v>0</v>
      </c>
      <c r="CW262" s="18">
        <f>IF($X262="","",BD262/$X$10)</f>
        <v>0</v>
      </c>
      <c r="CX262" s="18">
        <f>IF($X262="","",BE262/$X$10)</f>
        <v>0</v>
      </c>
      <c r="CY262" s="18">
        <f>IF($X262="","",BF262/$X$10)</f>
        <v>0</v>
      </c>
      <c r="CZ262" s="18">
        <f>IF($X262="","",BG262/$X$10)</f>
        <v>0</v>
      </c>
      <c r="DA262" s="18">
        <f>IF($X262="","",BH262/$X$10)</f>
        <v>0</v>
      </c>
      <c r="DB262" s="18">
        <f>IF($X262="","",BI262/$X$10)</f>
        <v>0</v>
      </c>
      <c r="DC262" s="18">
        <f>IF($X262="","",BJ262/$X$10)</f>
        <v>0</v>
      </c>
      <c r="DD262" s="18">
        <f>IF($X262="","",BK262/$X$10)</f>
        <v>0</v>
      </c>
      <c r="DE262" s="18">
        <f>IF($X262="","",BL262/$X$10)</f>
        <v>0</v>
      </c>
      <c r="DF262" s="18">
        <f>IF($X262="","",BM262/$X$10)</f>
        <v>0</v>
      </c>
      <c r="DG262" s="18">
        <f t="shared" si="24"/>
        <v>0</v>
      </c>
      <c r="DH262" s="18">
        <f>IF($X262="","",BO262/$X$10)</f>
        <v>0</v>
      </c>
      <c r="DI262" s="18">
        <f>IF($X262="","",BP262/$X$10)</f>
        <v>0</v>
      </c>
      <c r="DJ262" s="18">
        <f>IF($X262="","",BQ262/$X$10)</f>
        <v>0</v>
      </c>
      <c r="DK262" s="18">
        <f>IF($X262="","",BR262/$X$10)</f>
        <v>0</v>
      </c>
      <c r="DL262" s="18">
        <f>IF($X262="","",BS262/$X$10)</f>
        <v>0</v>
      </c>
      <c r="DM262" s="18">
        <f>IF($X262="","",BT262/$X$10)</f>
        <v>0</v>
      </c>
      <c r="DN262" s="18">
        <f t="shared" si="25"/>
        <v>0</v>
      </c>
      <c r="DO262" s="16">
        <f>IF($X262="","",SUM(Tabla152[[#This Row],[PODRIDO]],Tabla152[[#This Row],[HONGO]],Tabla152[[#This Row],[PICADO DE AVE CON PUDRICIÓN]],Tabla152[[#This Row],[FUMAGINA]])/$X$10)</f>
        <v>0</v>
      </c>
      <c r="DP262" s="16">
        <f>IF($X262="","",SUM(Tabla152[[#This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62" s="16">
        <f>IF($X262="","",SUM(Tabla152[[#This Row],[BLANDO]:[COLAPSADO]])/$X$10)</f>
        <v>0</v>
      </c>
      <c r="DR262" s="16">
        <f>IF($X262="","",SUM(Tabla152[[#This Row],[DESHIDRATADO LEVE]:[DESHIDRATADO INMADURO]])/$X$10)</f>
        <v>0</v>
      </c>
      <c r="DS262" s="18">
        <f t="shared" si="21"/>
        <v>0</v>
      </c>
      <c r="DT262" s="16">
        <f>IF($X262="","",SUM(Tabla152[[#This Row],[PRESENCIA DE LARVA]],Tabla152[[#This Row],[CHANCHITO BLANCO]])/$X$10)</f>
        <v>0</v>
      </c>
      <c r="DU262" s="18">
        <f>IF($X262="","",SUM(Tabla152[[#This Row],[ROJO GRADO 2 A MÁS]],Tabla152[[#This Row],[IMMADURO VERDE]],Tabla152[[#This Row],[DESORDEN POR MADURACIÓN]],Tabla152[[#This Row],[ARO PEDICELAR VERDE EXTREMO]])/$X$10)</f>
        <v>0</v>
      </c>
      <c r="DV262" s="16">
        <f>IF($X262="","",SUM(Tabla152[[#This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62" s="16">
        <f t="shared" si="22"/>
        <v>0</v>
      </c>
      <c r="DX262" s="16">
        <f>IF($X262="","",AJ262/$X$10)</f>
        <v>0</v>
      </c>
      <c r="DY262" s="16">
        <f>IF($X262="","",SUM(Tabla152[[#This Row],[PRESENCIA DE COROLA]],Tabla152[[#This Row],[PRESENCIA DE RESTO FLORAL VERDE]],Tabla152[[#This Row],[PRESENCIA DE PEDÚNCULO]])/$X$10)</f>
        <v>0</v>
      </c>
      <c r="DZ262" s="16">
        <f>IF($X262="","",SUM(Tabla152[[#This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63" spans="1:130" x14ac:dyDescent="0.3">
      <c r="A263" s="9">
        <f>IF(W263="","",IF(ROW()=10,1,IF(W263=W262,A262,MAX($A$9:A262)+1)))</f>
        <v>84</v>
      </c>
      <c r="B263" s="9">
        <f>WEEKNUM(Tabla152[[#This Row],[FECHA DE COSECHA]],21)</f>
        <v>36</v>
      </c>
      <c r="C263" s="9"/>
      <c r="D263" s="17">
        <v>46268</v>
      </c>
      <c r="E263" s="17">
        <v>46268</v>
      </c>
      <c r="F263" s="9">
        <v>1</v>
      </c>
      <c r="G263" s="9" t="s">
        <v>77</v>
      </c>
      <c r="H263" s="9" t="s">
        <v>144</v>
      </c>
      <c r="I263" s="9" t="s">
        <v>188</v>
      </c>
      <c r="J263" s="9" t="s">
        <v>135</v>
      </c>
      <c r="K263" s="9" t="s">
        <v>146</v>
      </c>
      <c r="L263" s="9" t="s">
        <v>131</v>
      </c>
      <c r="M263" s="9" t="s">
        <v>239</v>
      </c>
      <c r="N263" s="9" t="s">
        <v>136</v>
      </c>
      <c r="O263" s="9" t="s">
        <v>137</v>
      </c>
      <c r="P263" s="9" t="s">
        <v>243</v>
      </c>
      <c r="Q263" s="9"/>
      <c r="R263" s="9">
        <v>7</v>
      </c>
      <c r="S263" s="9">
        <v>78114711</v>
      </c>
      <c r="T263" t="s">
        <v>233</v>
      </c>
      <c r="U263" s="9" t="s">
        <v>147</v>
      </c>
      <c r="V263" s="9"/>
      <c r="W263" s="19" t="s">
        <v>229</v>
      </c>
      <c r="X263" s="9">
        <v>69</v>
      </c>
      <c r="Y263" s="9">
        <v>2</v>
      </c>
      <c r="Z263" s="9">
        <v>15</v>
      </c>
      <c r="AA263" s="9" t="str">
        <f>IF(Tabla152[[#This Row],[NOTA]]=15,"CUMPLE","NO CUMPLE")</f>
        <v>CUMPLE</v>
      </c>
      <c r="AB263" s="9" t="str">
        <f>IF(COUNTIF($A$10:A263,A263)=1,IF(COUNTIFS($A:$A,A263,$AA:$AA,"NO CUMPLE")&gt;0,"NO CUMPLE","CUMPLE"),"")</f>
        <v/>
      </c>
      <c r="AC263" s="9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18"/>
      <c r="BX263" s="18">
        <f>IF($X263="","",AE263/$X$10)</f>
        <v>0</v>
      </c>
      <c r="BY263" s="18">
        <f>IF($X263="","",AF263/$X$10)</f>
        <v>0</v>
      </c>
      <c r="BZ263" s="18">
        <f>IF($X263="","",AG263/$X$10)</f>
        <v>0</v>
      </c>
      <c r="CA263" s="18">
        <f>IF($X263="","",AH263/$X$10)</f>
        <v>0</v>
      </c>
      <c r="CB263" s="18">
        <f t="shared" si="23"/>
        <v>0</v>
      </c>
      <c r="CC263" s="18">
        <f>IF($X263="","",AJ263/$X$10)</f>
        <v>0</v>
      </c>
      <c r="CD263" s="18">
        <f>IF($X263="","",AK263/$X$10)</f>
        <v>0</v>
      </c>
      <c r="CE263" s="18">
        <f>IF($X263="","",AL263/$X$10)</f>
        <v>0</v>
      </c>
      <c r="CF263" s="18">
        <f>IF($X263="","",AM263/$X$10)</f>
        <v>0</v>
      </c>
      <c r="CG263" s="18">
        <f>IF($X263="","",AN263/$X$10)</f>
        <v>0</v>
      </c>
      <c r="CH263" s="18">
        <f>IF($X263="","",AO263/$X$10)</f>
        <v>0</v>
      </c>
      <c r="CI263" s="18">
        <f>IF($X263="","",AP263/$X$10)</f>
        <v>0</v>
      </c>
      <c r="CJ263" s="18">
        <f>IF($X263="","",AQ263/$X$10)</f>
        <v>0</v>
      </c>
      <c r="CK263" s="18">
        <f>IF($X263="","",AR263/$X$10)</f>
        <v>0</v>
      </c>
      <c r="CL263" s="18">
        <f>IF($X263="","",AS263/$X$10)</f>
        <v>0</v>
      </c>
      <c r="CM263" s="18">
        <f>IF($X263="","",AT263/$X$10)</f>
        <v>0</v>
      </c>
      <c r="CN263" s="18">
        <f>IF($X263="","",AU263/$X$10)</f>
        <v>0</v>
      </c>
      <c r="CO263" s="18">
        <f>IF($X263="","",AV263/$X$10)</f>
        <v>0</v>
      </c>
      <c r="CP263" s="18">
        <f>IF($X263="","",AW263/$X$10)</f>
        <v>0</v>
      </c>
      <c r="CQ263" s="18">
        <f>IF($X263="","",AX263/$X$10)</f>
        <v>0</v>
      </c>
      <c r="CR263" s="18">
        <f>IF($X263="","",AY263/$X$10)</f>
        <v>0</v>
      </c>
      <c r="CS263" s="18">
        <f>IF($X263="","",AZ263/$X$10)</f>
        <v>0</v>
      </c>
      <c r="CT263" s="18">
        <f>IF($X263="","",BA263/$X$10)</f>
        <v>0</v>
      </c>
      <c r="CU263" s="18">
        <f>IF($X263="","",BB263/$X$10)</f>
        <v>0</v>
      </c>
      <c r="CV263" s="18">
        <f>IF($X263="","",BC263/$X$10)</f>
        <v>0</v>
      </c>
      <c r="CW263" s="18">
        <f>IF($X263="","",BD263/$X$10)</f>
        <v>0</v>
      </c>
      <c r="CX263" s="18">
        <f>IF($X263="","",BE263/$X$10)</f>
        <v>0</v>
      </c>
      <c r="CY263" s="18">
        <f>IF($X263="","",BF263/$X$10)</f>
        <v>0</v>
      </c>
      <c r="CZ263" s="18">
        <f>IF($X263="","",BG263/$X$10)</f>
        <v>0</v>
      </c>
      <c r="DA263" s="18">
        <f>IF($X263="","",BH263/$X$10)</f>
        <v>0</v>
      </c>
      <c r="DB263" s="18">
        <f>IF($X263="","",BI263/$X$10)</f>
        <v>0</v>
      </c>
      <c r="DC263" s="18">
        <f>IF($X263="","",BJ263/$X$10)</f>
        <v>0</v>
      </c>
      <c r="DD263" s="18">
        <f>IF($X263="","",BK263/$X$10)</f>
        <v>0</v>
      </c>
      <c r="DE263" s="18">
        <f>IF($X263="","",BL263/$X$10)</f>
        <v>0</v>
      </c>
      <c r="DF263" s="18">
        <f>IF($X263="","",BM263/$X$10)</f>
        <v>0</v>
      </c>
      <c r="DG263" s="18">
        <f t="shared" si="24"/>
        <v>0</v>
      </c>
      <c r="DH263" s="18">
        <f>IF($X263="","",BO263/$X$10)</f>
        <v>0</v>
      </c>
      <c r="DI263" s="18">
        <f>IF($X263="","",BP263/$X$10)</f>
        <v>0</v>
      </c>
      <c r="DJ263" s="18">
        <f>IF($X263="","",BQ263/$X$10)</f>
        <v>0</v>
      </c>
      <c r="DK263" s="18">
        <f>IF($X263="","",BR263/$X$10)</f>
        <v>0</v>
      </c>
      <c r="DL263" s="18">
        <f>IF($X263="","",BS263/$X$10)</f>
        <v>0</v>
      </c>
      <c r="DM263" s="18">
        <f>IF($X263="","",BT263/$X$10)</f>
        <v>0</v>
      </c>
      <c r="DN263" s="18">
        <f t="shared" si="25"/>
        <v>0</v>
      </c>
      <c r="DO263" s="16">
        <f>IF($X263="","",SUM(Tabla152[[#This Row],[PODRIDO]],Tabla152[[#This Row],[HONGO]],Tabla152[[#This Row],[PICADO DE AVE CON PUDRICIÓN]],Tabla152[[#This Row],[FUMAGINA]])/$X$10)</f>
        <v>0</v>
      </c>
      <c r="DP263" s="16">
        <f>IF($X263="","",SUM(Tabla152[[#This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63" s="16">
        <f>IF($X263="","",SUM(Tabla152[[#This Row],[BLANDO]:[COLAPSADO]])/$X$10)</f>
        <v>0</v>
      </c>
      <c r="DR263" s="16">
        <f>IF($X263="","",SUM(Tabla152[[#This Row],[DESHIDRATADO LEVE]:[DESHIDRATADO INMADURO]])/$X$10)</f>
        <v>0</v>
      </c>
      <c r="DS263" s="18">
        <f t="shared" si="21"/>
        <v>0</v>
      </c>
      <c r="DT263" s="16">
        <f>IF($X263="","",SUM(Tabla152[[#This Row],[PRESENCIA DE LARVA]],Tabla152[[#This Row],[CHANCHITO BLANCO]])/$X$10)</f>
        <v>0</v>
      </c>
      <c r="DU263" s="18">
        <f>IF($X263="","",SUM(Tabla152[[#This Row],[ROJO GRADO 2 A MÁS]],Tabla152[[#This Row],[IMMADURO VERDE]],Tabla152[[#This Row],[DESORDEN POR MADURACIÓN]],Tabla152[[#This Row],[ARO PEDICELAR VERDE EXTREMO]])/$X$10)</f>
        <v>0</v>
      </c>
      <c r="DV263" s="16">
        <f>IF($X263="","",SUM(Tabla152[[#This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63" s="16">
        <f t="shared" si="22"/>
        <v>0</v>
      </c>
      <c r="DX263" s="16">
        <f>IF($X263="","",AJ263/$X$10)</f>
        <v>0</v>
      </c>
      <c r="DY263" s="16">
        <f>IF($X263="","",SUM(Tabla152[[#This Row],[PRESENCIA DE COROLA]],Tabla152[[#This Row],[PRESENCIA DE RESTO FLORAL VERDE]],Tabla152[[#This Row],[PRESENCIA DE PEDÚNCULO]])/$X$10)</f>
        <v>0</v>
      </c>
      <c r="DZ263" s="16">
        <f>IF($X263="","",SUM(Tabla152[[#This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64" spans="1:130" x14ac:dyDescent="0.3">
      <c r="A264" s="9">
        <f>IF(W264="","",IF(ROW()=10,1,IF(W264=W263,A263,MAX($A$9:A263)+1)))</f>
        <v>84</v>
      </c>
      <c r="B264" s="9">
        <f>WEEKNUM(Tabla152[[#This Row],[FECHA DE COSECHA]],21)</f>
        <v>36</v>
      </c>
      <c r="C264" s="9"/>
      <c r="D264" s="17">
        <v>46268</v>
      </c>
      <c r="E264" s="17">
        <v>46268</v>
      </c>
      <c r="F264" s="9">
        <v>1</v>
      </c>
      <c r="G264" s="9" t="s">
        <v>77</v>
      </c>
      <c r="H264" s="9" t="s">
        <v>144</v>
      </c>
      <c r="I264" s="9" t="s">
        <v>188</v>
      </c>
      <c r="J264" s="9" t="s">
        <v>135</v>
      </c>
      <c r="K264" s="9" t="s">
        <v>146</v>
      </c>
      <c r="L264" s="9" t="s">
        <v>131</v>
      </c>
      <c r="M264" s="9" t="s">
        <v>239</v>
      </c>
      <c r="N264" s="9" t="s">
        <v>136</v>
      </c>
      <c r="O264" s="9" t="s">
        <v>137</v>
      </c>
      <c r="P264" s="9" t="s">
        <v>243</v>
      </c>
      <c r="Q264" s="9"/>
      <c r="R264" s="9">
        <v>7</v>
      </c>
      <c r="S264" s="9">
        <v>78114711</v>
      </c>
      <c r="T264" t="s">
        <v>233</v>
      </c>
      <c r="U264" s="9" t="s">
        <v>147</v>
      </c>
      <c r="V264" s="9"/>
      <c r="W264" s="19" t="s">
        <v>229</v>
      </c>
      <c r="X264" s="9">
        <v>69</v>
      </c>
      <c r="Y264" s="9">
        <v>3</v>
      </c>
      <c r="Z264" s="9">
        <v>15</v>
      </c>
      <c r="AA264" s="9" t="str">
        <f>IF(Tabla152[[#This Row],[NOTA]]=15,"CUMPLE","NO CUMPLE")</f>
        <v>CUMPLE</v>
      </c>
      <c r="AB264" s="9" t="str">
        <f>IF(COUNTIF($A$10:A264,A264)=1,IF(COUNTIFS($A:$A,A264,$AA:$AA,"NO CUMPLE")&gt;0,"NO CUMPLE","CUMPLE"),"")</f>
        <v/>
      </c>
      <c r="AC264" s="9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18"/>
      <c r="BX264" s="18">
        <f>IF($X264="","",AE264/$X$10)</f>
        <v>0</v>
      </c>
      <c r="BY264" s="18">
        <f>IF($X264="","",AF264/$X$10)</f>
        <v>0</v>
      </c>
      <c r="BZ264" s="18">
        <f>IF($X264="","",AG264/$X$10)</f>
        <v>0</v>
      </c>
      <c r="CA264" s="18">
        <f>IF($X264="","",AH264/$X$10)</f>
        <v>0</v>
      </c>
      <c r="CB264" s="18">
        <f t="shared" si="23"/>
        <v>0</v>
      </c>
      <c r="CC264" s="18">
        <f>IF($X264="","",AJ264/$X$10)</f>
        <v>0</v>
      </c>
      <c r="CD264" s="18">
        <f>IF($X264="","",AK264/$X$10)</f>
        <v>0</v>
      </c>
      <c r="CE264" s="18">
        <f>IF($X264="","",AL264/$X$10)</f>
        <v>0</v>
      </c>
      <c r="CF264" s="18">
        <f>IF($X264="","",AM264/$X$10)</f>
        <v>0</v>
      </c>
      <c r="CG264" s="18">
        <f>IF($X264="","",AN264/$X$10)</f>
        <v>0</v>
      </c>
      <c r="CH264" s="18">
        <f>IF($X264="","",AO264/$X$10)</f>
        <v>0</v>
      </c>
      <c r="CI264" s="18">
        <f>IF($X264="","",AP264/$X$10)</f>
        <v>0</v>
      </c>
      <c r="CJ264" s="18">
        <f>IF($X264="","",AQ264/$X$10)</f>
        <v>0</v>
      </c>
      <c r="CK264" s="18">
        <f>IF($X264="","",AR264/$X$10)</f>
        <v>0</v>
      </c>
      <c r="CL264" s="18">
        <f>IF($X264="","",AS264/$X$10)</f>
        <v>0</v>
      </c>
      <c r="CM264" s="18">
        <f>IF($X264="","",AT264/$X$10)</f>
        <v>0</v>
      </c>
      <c r="CN264" s="18">
        <f>IF($X264="","",AU264/$X$10)</f>
        <v>0</v>
      </c>
      <c r="CO264" s="18">
        <f>IF($X264="","",AV264/$X$10)</f>
        <v>0</v>
      </c>
      <c r="CP264" s="18">
        <f>IF($X264="","",AW264/$X$10)</f>
        <v>0</v>
      </c>
      <c r="CQ264" s="18">
        <f>IF($X264="","",AX264/$X$10)</f>
        <v>0</v>
      </c>
      <c r="CR264" s="18">
        <f>IF($X264="","",AY264/$X$10)</f>
        <v>0</v>
      </c>
      <c r="CS264" s="18">
        <f>IF($X264="","",AZ264/$X$10)</f>
        <v>0</v>
      </c>
      <c r="CT264" s="18">
        <f>IF($X264="","",BA264/$X$10)</f>
        <v>0</v>
      </c>
      <c r="CU264" s="18">
        <f>IF($X264="","",BB264/$X$10)</f>
        <v>0</v>
      </c>
      <c r="CV264" s="18">
        <f>IF($X264="","",BC264/$X$10)</f>
        <v>0</v>
      </c>
      <c r="CW264" s="18">
        <f>IF($X264="","",BD264/$X$10)</f>
        <v>0</v>
      </c>
      <c r="CX264" s="18">
        <f>IF($X264="","",BE264/$X$10)</f>
        <v>0</v>
      </c>
      <c r="CY264" s="18">
        <f>IF($X264="","",BF264/$X$10)</f>
        <v>0</v>
      </c>
      <c r="CZ264" s="18">
        <f>IF($X264="","",BG264/$X$10)</f>
        <v>0</v>
      </c>
      <c r="DA264" s="18">
        <f>IF($X264="","",BH264/$X$10)</f>
        <v>0</v>
      </c>
      <c r="DB264" s="18">
        <f>IF($X264="","",BI264/$X$10)</f>
        <v>0</v>
      </c>
      <c r="DC264" s="18">
        <f>IF($X264="","",BJ264/$X$10)</f>
        <v>0</v>
      </c>
      <c r="DD264" s="18">
        <f>IF($X264="","",BK264/$X$10)</f>
        <v>0</v>
      </c>
      <c r="DE264" s="18">
        <f>IF($X264="","",BL264/$X$10)</f>
        <v>0</v>
      </c>
      <c r="DF264" s="18">
        <f>IF($X264="","",BM264/$X$10)</f>
        <v>0</v>
      </c>
      <c r="DG264" s="18">
        <f t="shared" si="24"/>
        <v>0</v>
      </c>
      <c r="DH264" s="18">
        <f>IF($X264="","",BO264/$X$10)</f>
        <v>0</v>
      </c>
      <c r="DI264" s="18">
        <f>IF($X264="","",BP264/$X$10)</f>
        <v>0</v>
      </c>
      <c r="DJ264" s="18">
        <f>IF($X264="","",BQ264/$X$10)</f>
        <v>0</v>
      </c>
      <c r="DK264" s="18">
        <f>IF($X264="","",BR264/$X$10)</f>
        <v>0</v>
      </c>
      <c r="DL264" s="18">
        <f>IF($X264="","",BS264/$X$10)</f>
        <v>0</v>
      </c>
      <c r="DM264" s="18">
        <f>IF($X264="","",BT264/$X$10)</f>
        <v>0</v>
      </c>
      <c r="DN264" s="18">
        <f t="shared" si="25"/>
        <v>0</v>
      </c>
      <c r="DO264" s="16">
        <f>IF($X264="","",SUM(Tabla152[[#This Row],[PODRIDO]],Tabla152[[#This Row],[HONGO]],Tabla152[[#This Row],[PICADO DE AVE CON PUDRICIÓN]],Tabla152[[#This Row],[FUMAGINA]])/$X$10)</f>
        <v>0</v>
      </c>
      <c r="DP264" s="16">
        <f>IF($X264="","",SUM(Tabla152[[#This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64" s="16">
        <f>IF($X264="","",SUM(Tabla152[[#This Row],[BLANDO]:[COLAPSADO]])/$X$10)</f>
        <v>0</v>
      </c>
      <c r="DR264" s="16">
        <f>IF($X264="","",SUM(Tabla152[[#This Row],[DESHIDRATADO LEVE]:[DESHIDRATADO INMADURO]])/$X$10)</f>
        <v>0</v>
      </c>
      <c r="DS264" s="18">
        <f t="shared" si="21"/>
        <v>0</v>
      </c>
      <c r="DT264" s="16">
        <f>IF($X264="","",SUM(Tabla152[[#This Row],[PRESENCIA DE LARVA]],Tabla152[[#This Row],[CHANCHITO BLANCO]])/$X$10)</f>
        <v>0</v>
      </c>
      <c r="DU264" s="18">
        <f>IF($X264="","",SUM(Tabla152[[#This Row],[ROJO GRADO 2 A MÁS]],Tabla152[[#This Row],[IMMADURO VERDE]],Tabla152[[#This Row],[DESORDEN POR MADURACIÓN]],Tabla152[[#This Row],[ARO PEDICELAR VERDE EXTREMO]])/$X$10)</f>
        <v>0</v>
      </c>
      <c r="DV264" s="16">
        <f>IF($X264="","",SUM(Tabla152[[#This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64" s="16">
        <f t="shared" si="22"/>
        <v>0</v>
      </c>
      <c r="DX264" s="16">
        <f>IF($X264="","",AJ264/$X$10)</f>
        <v>0</v>
      </c>
      <c r="DY264" s="16">
        <f>IF($X264="","",SUM(Tabla152[[#This Row],[PRESENCIA DE COROLA]],Tabla152[[#This Row],[PRESENCIA DE RESTO FLORAL VERDE]],Tabla152[[#This Row],[PRESENCIA DE PEDÚNCULO]])/$X$10)</f>
        <v>0</v>
      </c>
      <c r="DZ264" s="16">
        <f>IF($X264="","",SUM(Tabla152[[#This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65" spans="1:130" x14ac:dyDescent="0.3">
      <c r="A265" s="9">
        <f>IF(W265="","",IF(ROW()=10,1,IF(W265=W264,A264,MAX($A$9:A264)+1)))</f>
        <v>85</v>
      </c>
      <c r="B265" s="9">
        <f>WEEKNUM(Tabla152[[#This Row],[FECHA DE COSECHA]],21)</f>
        <v>36</v>
      </c>
      <c r="C265" s="9"/>
      <c r="D265" s="17">
        <v>46268</v>
      </c>
      <c r="E265" s="17">
        <v>46268</v>
      </c>
      <c r="F265" s="9">
        <v>1</v>
      </c>
      <c r="G265" s="9" t="s">
        <v>77</v>
      </c>
      <c r="H265" s="9" t="s">
        <v>144</v>
      </c>
      <c r="I265" s="9" t="s">
        <v>188</v>
      </c>
      <c r="J265" s="9" t="s">
        <v>135</v>
      </c>
      <c r="K265" s="9" t="s">
        <v>146</v>
      </c>
      <c r="L265" s="9" t="s">
        <v>131</v>
      </c>
      <c r="M265" s="9" t="s">
        <v>239</v>
      </c>
      <c r="N265" s="9" t="s">
        <v>136</v>
      </c>
      <c r="O265" s="9" t="s">
        <v>137</v>
      </c>
      <c r="P265" s="9" t="s">
        <v>243</v>
      </c>
      <c r="Q265" s="9"/>
      <c r="R265" s="9">
        <v>7</v>
      </c>
      <c r="S265" s="9">
        <v>78114711</v>
      </c>
      <c r="T265" t="s">
        <v>233</v>
      </c>
      <c r="U265" s="9" t="s">
        <v>147</v>
      </c>
      <c r="V265" s="9"/>
      <c r="W265" s="19" t="s">
        <v>230</v>
      </c>
      <c r="X265" s="9">
        <v>69</v>
      </c>
      <c r="Y265" s="9">
        <v>1</v>
      </c>
      <c r="Z265" s="9">
        <v>15</v>
      </c>
      <c r="AA265" s="9" t="str">
        <f>IF(Tabla152[[#This Row],[NOTA]]=15,"CUMPLE","NO CUMPLE")</f>
        <v>CUMPLE</v>
      </c>
      <c r="AB265" s="9" t="str">
        <f>IF(COUNTIF($A$10:A265,A265)=1,IF(COUNTIFS($A:$A,A265,$AA:$AA,"NO CUMPLE")&gt;0,"NO CUMPLE","CUMPLE"),"")</f>
        <v>CUMPLE</v>
      </c>
      <c r="AC265" s="9" t="s">
        <v>140</v>
      </c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18"/>
      <c r="BX265" s="18">
        <f>IF($X265="","",AE265/$X$10)</f>
        <v>0</v>
      </c>
      <c r="BY265" s="18">
        <f>IF($X265="","",AF265/$X$10)</f>
        <v>0</v>
      </c>
      <c r="BZ265" s="18">
        <f>IF($X265="","",AG265/$X$10)</f>
        <v>0</v>
      </c>
      <c r="CA265" s="18">
        <f>IF($X265="","",AH265/$X$10)</f>
        <v>0</v>
      </c>
      <c r="CB265" s="18">
        <f t="shared" si="23"/>
        <v>0</v>
      </c>
      <c r="CC265" s="18">
        <f>IF($X265="","",AJ265/$X$10)</f>
        <v>0</v>
      </c>
      <c r="CD265" s="18">
        <f>IF($X265="","",AK265/$X$10)</f>
        <v>0</v>
      </c>
      <c r="CE265" s="18">
        <f>IF($X265="","",AL265/$X$10)</f>
        <v>0</v>
      </c>
      <c r="CF265" s="18">
        <f>IF($X265="","",AM265/$X$10)</f>
        <v>0</v>
      </c>
      <c r="CG265" s="18">
        <f>IF($X265="","",AN265/$X$10)</f>
        <v>0</v>
      </c>
      <c r="CH265" s="18">
        <f>IF($X265="","",AO265/$X$10)</f>
        <v>0</v>
      </c>
      <c r="CI265" s="18">
        <f>IF($X265="","",AP265/$X$10)</f>
        <v>0</v>
      </c>
      <c r="CJ265" s="18">
        <f>IF($X265="","",AQ265/$X$10)</f>
        <v>0</v>
      </c>
      <c r="CK265" s="18">
        <f>IF($X265="","",AR265/$X$10)</f>
        <v>0</v>
      </c>
      <c r="CL265" s="18">
        <f>IF($X265="","",AS265/$X$10)</f>
        <v>0</v>
      </c>
      <c r="CM265" s="18">
        <f>IF($X265="","",AT265/$X$10)</f>
        <v>0</v>
      </c>
      <c r="CN265" s="18">
        <f>IF($X265="","",AU265/$X$10)</f>
        <v>0</v>
      </c>
      <c r="CO265" s="18">
        <f>IF($X265="","",AV265/$X$10)</f>
        <v>0</v>
      </c>
      <c r="CP265" s="18">
        <f>IF($X265="","",AW265/$X$10)</f>
        <v>0</v>
      </c>
      <c r="CQ265" s="18">
        <f>IF($X265="","",AX265/$X$10)</f>
        <v>0</v>
      </c>
      <c r="CR265" s="18">
        <f>IF($X265="","",AY265/$X$10)</f>
        <v>0</v>
      </c>
      <c r="CS265" s="18">
        <f>IF($X265="","",AZ265/$X$10)</f>
        <v>0</v>
      </c>
      <c r="CT265" s="18">
        <f>IF($X265="","",BA265/$X$10)</f>
        <v>0</v>
      </c>
      <c r="CU265" s="18">
        <f>IF($X265="","",BB265/$X$10)</f>
        <v>0</v>
      </c>
      <c r="CV265" s="18">
        <f>IF($X265="","",BC265/$X$10)</f>
        <v>0</v>
      </c>
      <c r="CW265" s="18">
        <f>IF($X265="","",BD265/$X$10)</f>
        <v>0</v>
      </c>
      <c r="CX265" s="18">
        <f>IF($X265="","",BE265/$X$10)</f>
        <v>0</v>
      </c>
      <c r="CY265" s="18">
        <f>IF($X265="","",BF265/$X$10)</f>
        <v>0</v>
      </c>
      <c r="CZ265" s="18">
        <f>IF($X265="","",BG265/$X$10)</f>
        <v>0</v>
      </c>
      <c r="DA265" s="18">
        <f>IF($X265="","",BH265/$X$10)</f>
        <v>0</v>
      </c>
      <c r="DB265" s="18">
        <f>IF($X265="","",BI265/$X$10)</f>
        <v>0</v>
      </c>
      <c r="DC265" s="18">
        <f>IF($X265="","",BJ265/$X$10)</f>
        <v>0</v>
      </c>
      <c r="DD265" s="18">
        <f>IF($X265="","",BK265/$X$10)</f>
        <v>0</v>
      </c>
      <c r="DE265" s="18">
        <f>IF($X265="","",BL265/$X$10)</f>
        <v>0</v>
      </c>
      <c r="DF265" s="18">
        <f>IF($X265="","",BM265/$X$10)</f>
        <v>0</v>
      </c>
      <c r="DG265" s="18">
        <f t="shared" si="24"/>
        <v>0</v>
      </c>
      <c r="DH265" s="18">
        <f>IF($X265="","",BO265/$X$10)</f>
        <v>0</v>
      </c>
      <c r="DI265" s="18">
        <f>IF($X265="","",BP265/$X$10)</f>
        <v>0</v>
      </c>
      <c r="DJ265" s="18">
        <f>IF($X265="","",BQ265/$X$10)</f>
        <v>0</v>
      </c>
      <c r="DK265" s="18">
        <f>IF($X265="","",BR265/$X$10)</f>
        <v>0</v>
      </c>
      <c r="DL265" s="18">
        <f>IF($X265="","",BS265/$X$10)</f>
        <v>0</v>
      </c>
      <c r="DM265" s="18">
        <f>IF($X265="","",BT265/$X$10)</f>
        <v>0</v>
      </c>
      <c r="DN265" s="18">
        <f t="shared" ref="DN265:DN270" si="26">IF($X265="","",BU265/$X$10)</f>
        <v>0</v>
      </c>
      <c r="DO265" s="16">
        <f>IF($X265="","",SUM(Tabla152[[#This Row],[PODRIDO]],Tabla152[[#This Row],[HONGO]],Tabla152[[#This Row],[PICADO DE AVE CON PUDRICIÓN]],Tabla152[[#This Row],[FUMAGINA]])/$X$10)</f>
        <v>0</v>
      </c>
      <c r="DP265" s="16">
        <f>IF($X265="","",SUM(Tabla152[[#This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65" s="16">
        <f>IF($X265="","",SUM(Tabla152[[#This Row],[BLANDO]:[COLAPSADO]])/$X$10)</f>
        <v>0</v>
      </c>
      <c r="DR265" s="16">
        <f>IF($X265="","",SUM(Tabla152[[#This Row],[DESHIDRATADO LEVE]:[DESHIDRATADO INMADURO]])/$X$10)</f>
        <v>0</v>
      </c>
      <c r="DS265" s="18">
        <f t="shared" si="21"/>
        <v>0</v>
      </c>
      <c r="DT265" s="16">
        <f>IF($X265="","",SUM(Tabla152[[#This Row],[PRESENCIA DE LARVA]],Tabla152[[#This Row],[CHANCHITO BLANCO]])/$X$10)</f>
        <v>0</v>
      </c>
      <c r="DU265" s="18">
        <f>IF($X265="","",SUM(Tabla152[[#This Row],[ROJO GRADO 2 A MÁS]],Tabla152[[#This Row],[IMMADURO VERDE]],Tabla152[[#This Row],[DESORDEN POR MADURACIÓN]],Tabla152[[#This Row],[ARO PEDICELAR VERDE EXTREMO]])/$X$10)</f>
        <v>0</v>
      </c>
      <c r="DV265" s="16">
        <f>IF($X265="","",SUM(Tabla152[[#This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65" s="16">
        <f t="shared" si="22"/>
        <v>0</v>
      </c>
      <c r="DX265" s="16">
        <f>IF($X265="","",AJ265/$X$10)</f>
        <v>0</v>
      </c>
      <c r="DY265" s="16">
        <f>IF($X265="","",SUM(Tabla152[[#This Row],[PRESENCIA DE COROLA]],Tabla152[[#This Row],[PRESENCIA DE RESTO FLORAL VERDE]],Tabla152[[#This Row],[PRESENCIA DE PEDÚNCULO]])/$X$10)</f>
        <v>0</v>
      </c>
      <c r="DZ265" s="16">
        <f>IF($X265="","",SUM(Tabla152[[#This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66" spans="1:130" x14ac:dyDescent="0.3">
      <c r="A266" s="9">
        <f>IF(W266="","",IF(ROW()=10,1,IF(W266=W265,A265,MAX($A$9:A265)+1)))</f>
        <v>85</v>
      </c>
      <c r="B266" s="9">
        <f>WEEKNUM(Tabla152[[#This Row],[FECHA DE COSECHA]],21)</f>
        <v>36</v>
      </c>
      <c r="C266" s="9"/>
      <c r="D266" s="17">
        <v>46268</v>
      </c>
      <c r="E266" s="17">
        <v>46268</v>
      </c>
      <c r="F266" s="9">
        <v>1</v>
      </c>
      <c r="G266" s="9" t="s">
        <v>77</v>
      </c>
      <c r="H266" s="9" t="s">
        <v>144</v>
      </c>
      <c r="I266" s="9" t="s">
        <v>188</v>
      </c>
      <c r="J266" s="9" t="s">
        <v>135</v>
      </c>
      <c r="K266" s="9" t="s">
        <v>146</v>
      </c>
      <c r="L266" s="9" t="s">
        <v>131</v>
      </c>
      <c r="M266" s="9" t="s">
        <v>239</v>
      </c>
      <c r="N266" s="9" t="s">
        <v>136</v>
      </c>
      <c r="O266" s="9" t="s">
        <v>137</v>
      </c>
      <c r="P266" s="9" t="s">
        <v>243</v>
      </c>
      <c r="Q266" s="9"/>
      <c r="R266" s="9">
        <v>7</v>
      </c>
      <c r="S266" s="9">
        <v>78114711</v>
      </c>
      <c r="T266" t="s">
        <v>233</v>
      </c>
      <c r="U266" s="9" t="s">
        <v>147</v>
      </c>
      <c r="V266" s="9"/>
      <c r="W266" s="19" t="s">
        <v>230</v>
      </c>
      <c r="X266" s="9">
        <v>69</v>
      </c>
      <c r="Y266" s="9">
        <v>2</v>
      </c>
      <c r="Z266" s="9">
        <v>15</v>
      </c>
      <c r="AA266" s="9" t="str">
        <f>IF(Tabla152[[#This Row],[NOTA]]=15,"CUMPLE","NO CUMPLE")</f>
        <v>CUMPLE</v>
      </c>
      <c r="AB266" s="9" t="str">
        <f>IF(COUNTIF($A$10:A266,A266)=1,IF(COUNTIFS($A:$A,A266,$AA:$AA,"NO CUMPLE")&gt;0,"NO CUMPLE","CUMPLE"),"")</f>
        <v/>
      </c>
      <c r="AC266" s="9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18"/>
      <c r="BX266" s="18">
        <f>IF($X266="","",AE266/$X$10)</f>
        <v>0</v>
      </c>
      <c r="BY266" s="18">
        <f>IF($X266="","",AF266/$X$10)</f>
        <v>0</v>
      </c>
      <c r="BZ266" s="18">
        <f>IF($X266="","",AG266/$X$10)</f>
        <v>0</v>
      </c>
      <c r="CA266" s="18">
        <f>IF($X266="","",AH266/$X$10)</f>
        <v>0</v>
      </c>
      <c r="CB266" s="18">
        <f t="shared" si="23"/>
        <v>0</v>
      </c>
      <c r="CC266" s="18">
        <f>IF($X266="","",AJ266/$X$10)</f>
        <v>0</v>
      </c>
      <c r="CD266" s="18">
        <f>IF($X266="","",AK266/$X$10)</f>
        <v>0</v>
      </c>
      <c r="CE266" s="18">
        <f>IF($X266="","",AL266/$X$10)</f>
        <v>0</v>
      </c>
      <c r="CF266" s="18">
        <f>IF($X266="","",AM266/$X$10)</f>
        <v>0</v>
      </c>
      <c r="CG266" s="18">
        <f>IF($X266="","",AN266/$X$10)</f>
        <v>0</v>
      </c>
      <c r="CH266" s="18">
        <f>IF($X266="","",AO266/$X$10)</f>
        <v>0</v>
      </c>
      <c r="CI266" s="18">
        <f>IF($X266="","",AP266/$X$10)</f>
        <v>0</v>
      </c>
      <c r="CJ266" s="18">
        <f>IF($X266="","",AQ266/$X$10)</f>
        <v>0</v>
      </c>
      <c r="CK266" s="18">
        <f>IF($X266="","",AR266/$X$10)</f>
        <v>0</v>
      </c>
      <c r="CL266" s="18">
        <f>IF($X266="","",AS266/$X$10)</f>
        <v>0</v>
      </c>
      <c r="CM266" s="18">
        <f>IF($X266="","",AT266/$X$10)</f>
        <v>0</v>
      </c>
      <c r="CN266" s="18">
        <f>IF($X266="","",AU266/$X$10)</f>
        <v>0</v>
      </c>
      <c r="CO266" s="18">
        <f>IF($X266="","",AV266/$X$10)</f>
        <v>0</v>
      </c>
      <c r="CP266" s="18">
        <f>IF($X266="","",AW266/$X$10)</f>
        <v>0</v>
      </c>
      <c r="CQ266" s="18">
        <f>IF($X266="","",AX266/$X$10)</f>
        <v>0</v>
      </c>
      <c r="CR266" s="18">
        <f>IF($X266="","",AY266/$X$10)</f>
        <v>0</v>
      </c>
      <c r="CS266" s="18">
        <f>IF($X266="","",AZ266/$X$10)</f>
        <v>0</v>
      </c>
      <c r="CT266" s="18">
        <f>IF($X266="","",BA266/$X$10)</f>
        <v>0</v>
      </c>
      <c r="CU266" s="18">
        <f>IF($X266="","",BB266/$X$10)</f>
        <v>0</v>
      </c>
      <c r="CV266" s="18">
        <f>IF($X266="","",BC266/$X$10)</f>
        <v>0</v>
      </c>
      <c r="CW266" s="18">
        <f>IF($X266="","",BD266/$X$10)</f>
        <v>0</v>
      </c>
      <c r="CX266" s="18">
        <f>IF($X266="","",BE266/$X$10)</f>
        <v>0</v>
      </c>
      <c r="CY266" s="18">
        <f>IF($X266="","",BF266/$X$10)</f>
        <v>0</v>
      </c>
      <c r="CZ266" s="18">
        <f>IF($X266="","",BG266/$X$10)</f>
        <v>0</v>
      </c>
      <c r="DA266" s="18">
        <f>IF($X266="","",BH266/$X$10)</f>
        <v>0</v>
      </c>
      <c r="DB266" s="18">
        <f>IF($X266="","",BI266/$X$10)</f>
        <v>0</v>
      </c>
      <c r="DC266" s="18">
        <f>IF($X266="","",BJ266/$X$10)</f>
        <v>0</v>
      </c>
      <c r="DD266" s="18">
        <f>IF($X266="","",BK266/$X$10)</f>
        <v>0</v>
      </c>
      <c r="DE266" s="18">
        <f>IF($X266="","",BL266/$X$10)</f>
        <v>0</v>
      </c>
      <c r="DF266" s="18">
        <f>IF($X266="","",BM266/$X$10)</f>
        <v>0</v>
      </c>
      <c r="DG266" s="18">
        <f t="shared" si="24"/>
        <v>0</v>
      </c>
      <c r="DH266" s="18">
        <f>IF($X266="","",BO266/$X$10)</f>
        <v>0</v>
      </c>
      <c r="DI266" s="18">
        <f>IF($X266="","",BP266/$X$10)</f>
        <v>0</v>
      </c>
      <c r="DJ266" s="18">
        <f>IF($X266="","",BQ266/$X$10)</f>
        <v>0</v>
      </c>
      <c r="DK266" s="18">
        <f>IF($X266="","",BR266/$X$10)</f>
        <v>0</v>
      </c>
      <c r="DL266" s="18">
        <f>IF($X266="","",BS266/$X$10)</f>
        <v>0</v>
      </c>
      <c r="DM266" s="18">
        <f>IF($X266="","",BT266/$X$10)</f>
        <v>0</v>
      </c>
      <c r="DN266" s="18">
        <f t="shared" si="26"/>
        <v>0</v>
      </c>
      <c r="DO266" s="16">
        <f>IF($X266="","",SUM(Tabla152[[#This Row],[PODRIDO]],Tabla152[[#This Row],[HONGO]],Tabla152[[#This Row],[PICADO DE AVE CON PUDRICIÓN]],Tabla152[[#This Row],[FUMAGINA]])/$X$10)</f>
        <v>0</v>
      </c>
      <c r="DP266" s="16">
        <f>IF($X266="","",SUM(Tabla152[[#This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66" s="16">
        <f>IF($X266="","",SUM(Tabla152[[#This Row],[BLANDO]:[COLAPSADO]])/$X$10)</f>
        <v>0</v>
      </c>
      <c r="DR266" s="16">
        <f>IF($X266="","",SUM(Tabla152[[#This Row],[DESHIDRATADO LEVE]:[DESHIDRATADO INMADURO]])/$X$10)</f>
        <v>0</v>
      </c>
      <c r="DS266" s="18">
        <f t="shared" ref="DS266:DS270" si="27">IF($X266="","",BC266/$X$10)</f>
        <v>0</v>
      </c>
      <c r="DT266" s="16">
        <f>IF($X266="","",SUM(Tabla152[[#This Row],[PRESENCIA DE LARVA]],Tabla152[[#This Row],[CHANCHITO BLANCO]])/$X$10)</f>
        <v>0</v>
      </c>
      <c r="DU266" s="18">
        <f>IF($X266="","",SUM(Tabla152[[#This Row],[ROJO GRADO 2 A MÁS]],Tabla152[[#This Row],[IMMADURO VERDE]],Tabla152[[#This Row],[DESORDEN POR MADURACIÓN]],Tabla152[[#This Row],[ARO PEDICELAR VERDE EXTREMO]])/$X$10)</f>
        <v>0</v>
      </c>
      <c r="DV266" s="16">
        <f>IF($X266="","",SUM(Tabla152[[#This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66" s="16">
        <f t="shared" ref="DW266:DW270" si="28">IF($X266="","",BU266/$X$10)</f>
        <v>0</v>
      </c>
      <c r="DX266" s="16">
        <f>IF($X266="","",AJ266/$X$10)</f>
        <v>0</v>
      </c>
      <c r="DY266" s="16">
        <f>IF($X266="","",SUM(Tabla152[[#This Row],[PRESENCIA DE COROLA]],Tabla152[[#This Row],[PRESENCIA DE RESTO FLORAL VERDE]],Tabla152[[#This Row],[PRESENCIA DE PEDÚNCULO]])/$X$10)</f>
        <v>0</v>
      </c>
      <c r="DZ266" s="16">
        <f>IF($X266="","",SUM(Tabla152[[#This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67" spans="1:130" x14ac:dyDescent="0.3">
      <c r="A267" s="9">
        <f>IF(W267="","",IF(ROW()=10,1,IF(W267=W266,A266,MAX($A$9:A266)+1)))</f>
        <v>85</v>
      </c>
      <c r="B267" s="9">
        <f>WEEKNUM(Tabla152[[#This Row],[FECHA DE COSECHA]],21)</f>
        <v>36</v>
      </c>
      <c r="C267" s="9"/>
      <c r="D267" s="17">
        <v>46268</v>
      </c>
      <c r="E267" s="17">
        <v>46268</v>
      </c>
      <c r="F267" s="9">
        <v>1</v>
      </c>
      <c r="G267" s="9" t="s">
        <v>77</v>
      </c>
      <c r="H267" s="9" t="s">
        <v>144</v>
      </c>
      <c r="I267" s="9" t="s">
        <v>188</v>
      </c>
      <c r="J267" s="9" t="s">
        <v>135</v>
      </c>
      <c r="K267" s="9" t="s">
        <v>146</v>
      </c>
      <c r="L267" s="9" t="s">
        <v>131</v>
      </c>
      <c r="M267" s="9" t="s">
        <v>239</v>
      </c>
      <c r="N267" s="9" t="s">
        <v>136</v>
      </c>
      <c r="O267" s="9" t="s">
        <v>137</v>
      </c>
      <c r="P267" s="9" t="s">
        <v>243</v>
      </c>
      <c r="Q267" s="9"/>
      <c r="R267" s="9">
        <v>7</v>
      </c>
      <c r="S267" s="9">
        <v>78114711</v>
      </c>
      <c r="T267" t="s">
        <v>233</v>
      </c>
      <c r="U267" s="9" t="s">
        <v>147</v>
      </c>
      <c r="V267" s="9"/>
      <c r="W267" s="19" t="s">
        <v>230</v>
      </c>
      <c r="X267" s="9">
        <v>69</v>
      </c>
      <c r="Y267" s="9">
        <v>3</v>
      </c>
      <c r="Z267" s="9">
        <v>15</v>
      </c>
      <c r="AA267" s="9" t="str">
        <f>IF(Tabla152[[#This Row],[NOTA]]=15,"CUMPLE","NO CUMPLE")</f>
        <v>CUMPLE</v>
      </c>
      <c r="AB267" s="9" t="str">
        <f>IF(COUNTIF($A$10:A267,A267)=1,IF(COUNTIFS($A:$A,A267,$AA:$AA,"NO CUMPLE")&gt;0,"NO CUMPLE","CUMPLE"),"")</f>
        <v/>
      </c>
      <c r="AC267" s="9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18"/>
      <c r="BX267" s="18">
        <f>IF($X267="","",AE267/$X$10)</f>
        <v>0</v>
      </c>
      <c r="BY267" s="18">
        <f>IF($X267="","",AF267/$X$10)</f>
        <v>0</v>
      </c>
      <c r="BZ267" s="18">
        <f>IF($X267="","",AG267/$X$10)</f>
        <v>0</v>
      </c>
      <c r="CA267" s="18">
        <f>IF($X267="","",AH267/$X$10)</f>
        <v>0</v>
      </c>
      <c r="CB267" s="18">
        <f t="shared" ref="CB267:CB270" si="29">IF($X267="","",AI267/$X$10)</f>
        <v>0</v>
      </c>
      <c r="CC267" s="18">
        <f>IF($X267="","",AJ267/$X$10)</f>
        <v>0</v>
      </c>
      <c r="CD267" s="18">
        <f>IF($X267="","",AK267/$X$10)</f>
        <v>0</v>
      </c>
      <c r="CE267" s="18">
        <f>IF($X267="","",AL267/$X$10)</f>
        <v>0</v>
      </c>
      <c r="CF267" s="18">
        <f>IF($X267="","",AM267/$X$10)</f>
        <v>0</v>
      </c>
      <c r="CG267" s="18">
        <f>IF($X267="","",AN267/$X$10)</f>
        <v>0</v>
      </c>
      <c r="CH267" s="18">
        <f>IF($X267="","",AO267/$X$10)</f>
        <v>0</v>
      </c>
      <c r="CI267" s="18">
        <f>IF($X267="","",AP267/$X$10)</f>
        <v>0</v>
      </c>
      <c r="CJ267" s="18">
        <f>IF($X267="","",AQ267/$X$10)</f>
        <v>0</v>
      </c>
      <c r="CK267" s="18">
        <f>IF($X267="","",AR267/$X$10)</f>
        <v>0</v>
      </c>
      <c r="CL267" s="18">
        <f>IF($X267="","",AS267/$X$10)</f>
        <v>0</v>
      </c>
      <c r="CM267" s="18">
        <f>IF($X267="","",AT267/$X$10)</f>
        <v>0</v>
      </c>
      <c r="CN267" s="18">
        <f>IF($X267="","",AU267/$X$10)</f>
        <v>0</v>
      </c>
      <c r="CO267" s="18">
        <f>IF($X267="","",AV267/$X$10)</f>
        <v>0</v>
      </c>
      <c r="CP267" s="18">
        <f>IF($X267="","",AW267/$X$10)</f>
        <v>0</v>
      </c>
      <c r="CQ267" s="18">
        <f>IF($X267="","",AX267/$X$10)</f>
        <v>0</v>
      </c>
      <c r="CR267" s="18">
        <f>IF($X267="","",AY267/$X$10)</f>
        <v>0</v>
      </c>
      <c r="CS267" s="18">
        <f>IF($X267="","",AZ267/$X$10)</f>
        <v>0</v>
      </c>
      <c r="CT267" s="18">
        <f>IF($X267="","",BA267/$X$10)</f>
        <v>0</v>
      </c>
      <c r="CU267" s="18">
        <f>IF($X267="","",BB267/$X$10)</f>
        <v>0</v>
      </c>
      <c r="CV267" s="18">
        <f>IF($X267="","",BC267/$X$10)</f>
        <v>0</v>
      </c>
      <c r="CW267" s="18">
        <f>IF($X267="","",BD267/$X$10)</f>
        <v>0</v>
      </c>
      <c r="CX267" s="18">
        <f>IF($X267="","",BE267/$X$10)</f>
        <v>0</v>
      </c>
      <c r="CY267" s="18">
        <f>IF($X267="","",BF267/$X$10)</f>
        <v>0</v>
      </c>
      <c r="CZ267" s="18">
        <f>IF($X267="","",BG267/$X$10)</f>
        <v>0</v>
      </c>
      <c r="DA267" s="18">
        <f>IF($X267="","",BH267/$X$10)</f>
        <v>0</v>
      </c>
      <c r="DB267" s="18">
        <f>IF($X267="","",BI267/$X$10)</f>
        <v>0</v>
      </c>
      <c r="DC267" s="18">
        <f>IF($X267="","",BJ267/$X$10)</f>
        <v>0</v>
      </c>
      <c r="DD267" s="18">
        <f>IF($X267="","",BK267/$X$10)</f>
        <v>0</v>
      </c>
      <c r="DE267" s="18">
        <f>IF($X267="","",BL267/$X$10)</f>
        <v>0</v>
      </c>
      <c r="DF267" s="18">
        <f>IF($X267="","",BM267/$X$10)</f>
        <v>0</v>
      </c>
      <c r="DG267" s="18">
        <f t="shared" ref="DG267:DG270" si="30">IF($X267="","",BN267/$X$10)</f>
        <v>0</v>
      </c>
      <c r="DH267" s="18">
        <f>IF($X267="","",BO267/$X$10)</f>
        <v>0</v>
      </c>
      <c r="DI267" s="18">
        <f>IF($X267="","",BP267/$X$10)</f>
        <v>0</v>
      </c>
      <c r="DJ267" s="18">
        <f>IF($X267="","",BQ267/$X$10)</f>
        <v>0</v>
      </c>
      <c r="DK267" s="18">
        <f>IF($X267="","",BR267/$X$10)</f>
        <v>0</v>
      </c>
      <c r="DL267" s="18">
        <f>IF($X267="","",BS267/$X$10)</f>
        <v>0</v>
      </c>
      <c r="DM267" s="18">
        <f>IF($X267="","",BT267/$X$10)</f>
        <v>0</v>
      </c>
      <c r="DN267" s="18">
        <f t="shared" si="26"/>
        <v>0</v>
      </c>
      <c r="DO267" s="16">
        <f>IF($X267="","",SUM(Tabla152[[#This Row],[PODRIDO]],Tabla152[[#This Row],[HONGO]],Tabla152[[#This Row],[PICADO DE AVE CON PUDRICIÓN]],Tabla152[[#This Row],[FUMAGINA]])/$X$10)</f>
        <v>0</v>
      </c>
      <c r="DP267" s="16">
        <f>IF($X267="","",SUM(Tabla152[[#This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67" s="16">
        <f>IF($X267="","",SUM(Tabla152[[#This Row],[BLANDO]:[COLAPSADO]])/$X$10)</f>
        <v>0</v>
      </c>
      <c r="DR267" s="16">
        <f>IF($X267="","",SUM(Tabla152[[#This Row],[DESHIDRATADO LEVE]:[DESHIDRATADO INMADURO]])/$X$10)</f>
        <v>0</v>
      </c>
      <c r="DS267" s="18">
        <f t="shared" si="27"/>
        <v>0</v>
      </c>
      <c r="DT267" s="16">
        <f>IF($X267="","",SUM(Tabla152[[#This Row],[PRESENCIA DE LARVA]],Tabla152[[#This Row],[CHANCHITO BLANCO]])/$X$10)</f>
        <v>0</v>
      </c>
      <c r="DU267" s="18">
        <f>IF($X267="","",SUM(Tabla152[[#This Row],[ROJO GRADO 2 A MÁS]],Tabla152[[#This Row],[IMMADURO VERDE]],Tabla152[[#This Row],[DESORDEN POR MADURACIÓN]],Tabla152[[#This Row],[ARO PEDICELAR VERDE EXTREMO]])/$X$10)</f>
        <v>0</v>
      </c>
      <c r="DV267" s="16">
        <f>IF($X267="","",SUM(Tabla152[[#This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67" s="16">
        <f t="shared" si="28"/>
        <v>0</v>
      </c>
      <c r="DX267" s="16">
        <f>IF($X267="","",AJ267/$X$10)</f>
        <v>0</v>
      </c>
      <c r="DY267" s="16">
        <f>IF($X267="","",SUM(Tabla152[[#This Row],[PRESENCIA DE COROLA]],Tabla152[[#This Row],[PRESENCIA DE RESTO FLORAL VERDE]],Tabla152[[#This Row],[PRESENCIA DE PEDÚNCULO]])/$X$10)</f>
        <v>0</v>
      </c>
      <c r="DZ267" s="16">
        <f>IF($X267="","",SUM(Tabla152[[#This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68" spans="1:130" x14ac:dyDescent="0.3">
      <c r="A268" s="9">
        <f>IF(W268="","",IF(ROW()=10,1,IF(W268=W267,A267,MAX($A$9:A267)+1)))</f>
        <v>86</v>
      </c>
      <c r="B268" s="9">
        <f>WEEKNUM(Tabla152[[#This Row],[FECHA DE COSECHA]],21)</f>
        <v>36</v>
      </c>
      <c r="C268" s="9"/>
      <c r="D268" s="17">
        <v>46268</v>
      </c>
      <c r="E268" s="17">
        <v>46268</v>
      </c>
      <c r="F268" s="9">
        <v>1</v>
      </c>
      <c r="G268" s="9" t="s">
        <v>77</v>
      </c>
      <c r="H268" s="9" t="s">
        <v>144</v>
      </c>
      <c r="I268" s="9" t="s">
        <v>188</v>
      </c>
      <c r="J268" s="9" t="s">
        <v>135</v>
      </c>
      <c r="K268" s="9" t="s">
        <v>146</v>
      </c>
      <c r="L268" s="9" t="s">
        <v>131</v>
      </c>
      <c r="M268" s="9" t="s">
        <v>239</v>
      </c>
      <c r="N268" s="9" t="s">
        <v>136</v>
      </c>
      <c r="O268" s="9" t="s">
        <v>137</v>
      </c>
      <c r="P268" s="9" t="s">
        <v>243</v>
      </c>
      <c r="Q268" s="9"/>
      <c r="R268" s="9">
        <v>7</v>
      </c>
      <c r="S268" s="9">
        <v>78114711</v>
      </c>
      <c r="T268" t="s">
        <v>233</v>
      </c>
      <c r="U268" s="9" t="s">
        <v>147</v>
      </c>
      <c r="V268" s="9"/>
      <c r="W268" s="19" t="s">
        <v>231</v>
      </c>
      <c r="X268" s="9">
        <v>69</v>
      </c>
      <c r="Y268" s="9">
        <v>1</v>
      </c>
      <c r="Z268" s="9">
        <v>15</v>
      </c>
      <c r="AA268" s="9" t="str">
        <f>IF(Tabla152[[#This Row],[NOTA]]=15,"CUMPLE","NO CUMPLE")</f>
        <v>CUMPLE</v>
      </c>
      <c r="AB268" s="9" t="str">
        <f>IF(COUNTIF($A$10:A268,A268)=1,IF(COUNTIFS($A:$A,A268,$AA:$AA,"NO CUMPLE")&gt;0,"NO CUMPLE","CUMPLE"),"")</f>
        <v>NO CUMPLE</v>
      </c>
      <c r="AC268" s="9" t="s">
        <v>140</v>
      </c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18"/>
      <c r="BX268" s="18">
        <f>IF($X268="","",AE268/$X$10)</f>
        <v>0</v>
      </c>
      <c r="BY268" s="18">
        <f>IF($X268="","",AF268/$X$10)</f>
        <v>0</v>
      </c>
      <c r="BZ268" s="18">
        <f>IF($X268="","",AG268/$X$10)</f>
        <v>0</v>
      </c>
      <c r="CA268" s="18">
        <f>IF($X268="","",AH268/$X$10)</f>
        <v>0</v>
      </c>
      <c r="CB268" s="18">
        <f t="shared" si="29"/>
        <v>0</v>
      </c>
      <c r="CC268" s="18">
        <f>IF($X268="","",AJ268/$X$10)</f>
        <v>0</v>
      </c>
      <c r="CD268" s="18">
        <f>IF($X268="","",AK268/$X$10)</f>
        <v>0</v>
      </c>
      <c r="CE268" s="18">
        <f>IF($X268="","",AL268/$X$10)</f>
        <v>0</v>
      </c>
      <c r="CF268" s="18">
        <f>IF($X268="","",AM268/$X$10)</f>
        <v>0</v>
      </c>
      <c r="CG268" s="18">
        <f>IF($X268="","",AN268/$X$10)</f>
        <v>0</v>
      </c>
      <c r="CH268" s="18">
        <f>IF($X268="","",AO268/$X$10)</f>
        <v>0</v>
      </c>
      <c r="CI268" s="18">
        <f>IF($X268="","",AP268/$X$10)</f>
        <v>0</v>
      </c>
      <c r="CJ268" s="18">
        <f>IF($X268="","",AQ268/$X$10)</f>
        <v>0</v>
      </c>
      <c r="CK268" s="18">
        <f>IF($X268="","",AR268/$X$10)</f>
        <v>0</v>
      </c>
      <c r="CL268" s="18">
        <f>IF($X268="","",AS268/$X$10)</f>
        <v>0</v>
      </c>
      <c r="CM268" s="18">
        <f>IF($X268="","",AT268/$X$10)</f>
        <v>0</v>
      </c>
      <c r="CN268" s="18">
        <f>IF($X268="","",AU268/$X$10)</f>
        <v>0</v>
      </c>
      <c r="CO268" s="18">
        <f>IF($X268="","",AV268/$X$10)</f>
        <v>0</v>
      </c>
      <c r="CP268" s="18">
        <f>IF($X268="","",AW268/$X$10)</f>
        <v>0</v>
      </c>
      <c r="CQ268" s="18">
        <f>IF($X268="","",AX268/$X$10)</f>
        <v>0</v>
      </c>
      <c r="CR268" s="18">
        <f>IF($X268="","",AY268/$X$10)</f>
        <v>0</v>
      </c>
      <c r="CS268" s="18">
        <f>IF($X268="","",AZ268/$X$10)</f>
        <v>0</v>
      </c>
      <c r="CT268" s="18">
        <f>IF($X268="","",BA268/$X$10)</f>
        <v>0</v>
      </c>
      <c r="CU268" s="18">
        <f>IF($X268="","",BB268/$X$10)</f>
        <v>0</v>
      </c>
      <c r="CV268" s="18">
        <f>IF($X268="","",BC268/$X$10)</f>
        <v>0</v>
      </c>
      <c r="CW268" s="18">
        <f>IF($X268="","",BD268/$X$10)</f>
        <v>0</v>
      </c>
      <c r="CX268" s="18">
        <f>IF($X268="","",BE268/$X$10)</f>
        <v>0</v>
      </c>
      <c r="CY268" s="18">
        <f>IF($X268="","",BF268/$X$10)</f>
        <v>0</v>
      </c>
      <c r="CZ268" s="18">
        <f>IF($X268="","",BG268/$X$10)</f>
        <v>0</v>
      </c>
      <c r="DA268" s="18">
        <f>IF($X268="","",BH268/$X$10)</f>
        <v>0</v>
      </c>
      <c r="DB268" s="18">
        <f>IF($X268="","",BI268/$X$10)</f>
        <v>0</v>
      </c>
      <c r="DC268" s="18">
        <f>IF($X268="","",BJ268/$X$10)</f>
        <v>0</v>
      </c>
      <c r="DD268" s="18">
        <f>IF($X268="","",BK268/$X$10)</f>
        <v>0</v>
      </c>
      <c r="DE268" s="18">
        <f>IF($X268="","",BL268/$X$10)</f>
        <v>0</v>
      </c>
      <c r="DF268" s="18">
        <f>IF($X268="","",BM268/$X$10)</f>
        <v>0</v>
      </c>
      <c r="DG268" s="18">
        <f t="shared" si="30"/>
        <v>0</v>
      </c>
      <c r="DH268" s="18">
        <f>IF($X268="","",BO268/$X$10)</f>
        <v>0</v>
      </c>
      <c r="DI268" s="18">
        <f>IF($X268="","",BP268/$X$10)</f>
        <v>0</v>
      </c>
      <c r="DJ268" s="18">
        <f>IF($X268="","",BQ268/$X$10)</f>
        <v>0</v>
      </c>
      <c r="DK268" s="18">
        <f>IF($X268="","",BR268/$X$10)</f>
        <v>0</v>
      </c>
      <c r="DL268" s="18">
        <f>IF($X268="","",BS268/$X$10)</f>
        <v>0</v>
      </c>
      <c r="DM268" s="18">
        <f>IF($X268="","",BT268/$X$10)</f>
        <v>0</v>
      </c>
      <c r="DN268" s="18">
        <f t="shared" si="26"/>
        <v>0</v>
      </c>
      <c r="DO268" s="16">
        <f>IF($X268="","",SUM(Tabla152[[#This Row],[PODRIDO]],Tabla152[[#This Row],[HONGO]],Tabla152[[#This Row],[PICADO DE AVE CON PUDRICIÓN]],Tabla152[[#This Row],[FUMAGINA]])/$X$10)</f>
        <v>0</v>
      </c>
      <c r="DP268" s="16">
        <f>IF($X268="","",SUM(Tabla152[[#This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68" s="16">
        <f>IF($X268="","",SUM(Tabla152[[#This Row],[BLANDO]:[COLAPSADO]])/$X$10)</f>
        <v>0</v>
      </c>
      <c r="DR268" s="16">
        <f>IF($X268="","",SUM(Tabla152[[#This Row],[DESHIDRATADO LEVE]:[DESHIDRATADO INMADURO]])/$X$10)</f>
        <v>0</v>
      </c>
      <c r="DS268" s="18">
        <f t="shared" si="27"/>
        <v>0</v>
      </c>
      <c r="DT268" s="16">
        <f>IF($X268="","",SUM(Tabla152[[#This Row],[PRESENCIA DE LARVA]],Tabla152[[#This Row],[CHANCHITO BLANCO]])/$X$10)</f>
        <v>0</v>
      </c>
      <c r="DU268" s="18">
        <f>IF($X268="","",SUM(Tabla152[[#This Row],[ROJO GRADO 2 A MÁS]],Tabla152[[#This Row],[IMMADURO VERDE]],Tabla152[[#This Row],[DESORDEN POR MADURACIÓN]],Tabla152[[#This Row],[ARO PEDICELAR VERDE EXTREMO]])/$X$10)</f>
        <v>0</v>
      </c>
      <c r="DV268" s="16">
        <f>IF($X268="","",SUM(Tabla152[[#This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68" s="16">
        <f t="shared" si="28"/>
        <v>0</v>
      </c>
      <c r="DX268" s="16">
        <f>IF($X268="","",AJ268/$X$10)</f>
        <v>0</v>
      </c>
      <c r="DY268" s="16">
        <f>IF($X268="","",SUM(Tabla152[[#This Row],[PRESENCIA DE COROLA]],Tabla152[[#This Row],[PRESENCIA DE RESTO FLORAL VERDE]],Tabla152[[#This Row],[PRESENCIA DE PEDÚNCULO]])/$X$10)</f>
        <v>0</v>
      </c>
      <c r="DZ268" s="16">
        <f>IF($X268="","",SUM(Tabla152[[#This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69" spans="1:130" x14ac:dyDescent="0.3">
      <c r="A269" s="9">
        <f>IF(W269="","",IF(ROW()=10,1,IF(W269=W268,A268,MAX($A$9:A268)+1)))</f>
        <v>86</v>
      </c>
      <c r="B269" s="9">
        <f>WEEKNUM(Tabla152[[#This Row],[FECHA DE COSECHA]],21)</f>
        <v>36</v>
      </c>
      <c r="C269" s="9"/>
      <c r="D269" s="17">
        <v>46268</v>
      </c>
      <c r="E269" s="17">
        <v>46268</v>
      </c>
      <c r="F269" s="9">
        <v>1</v>
      </c>
      <c r="G269" s="9" t="s">
        <v>77</v>
      </c>
      <c r="H269" s="9" t="s">
        <v>144</v>
      </c>
      <c r="I269" s="9" t="s">
        <v>188</v>
      </c>
      <c r="J269" s="9" t="s">
        <v>135</v>
      </c>
      <c r="K269" s="9" t="s">
        <v>146</v>
      </c>
      <c r="L269" s="9" t="s">
        <v>131</v>
      </c>
      <c r="M269" s="9" t="s">
        <v>239</v>
      </c>
      <c r="N269" s="9" t="s">
        <v>136</v>
      </c>
      <c r="O269" s="9" t="s">
        <v>137</v>
      </c>
      <c r="P269" s="9" t="s">
        <v>243</v>
      </c>
      <c r="Q269" s="9"/>
      <c r="R269" s="9">
        <v>7</v>
      </c>
      <c r="S269" s="9">
        <v>78114711</v>
      </c>
      <c r="T269" t="s">
        <v>233</v>
      </c>
      <c r="U269" s="9" t="s">
        <v>147</v>
      </c>
      <c r="V269" s="9"/>
      <c r="W269" s="19" t="s">
        <v>231</v>
      </c>
      <c r="X269" s="9">
        <v>69</v>
      </c>
      <c r="Y269" s="9">
        <v>2</v>
      </c>
      <c r="Z269" s="9">
        <v>15</v>
      </c>
      <c r="AA269" s="9" t="str">
        <f>IF(Tabla152[[#This Row],[NOTA]]=15,"CUMPLE","NO CUMPLE")</f>
        <v>CUMPLE</v>
      </c>
      <c r="AB269" s="9" t="str">
        <f>IF(COUNTIF($A$10:A269,A269)=1,IF(COUNTIFS($A:$A,A269,$AA:$AA,"NO CUMPLE")&gt;0,"NO CUMPLE","CUMPLE"),"")</f>
        <v/>
      </c>
      <c r="AC269" s="9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18"/>
      <c r="BX269" s="18">
        <f>IF($X269="","",AE269/$X$10)</f>
        <v>0</v>
      </c>
      <c r="BY269" s="18">
        <f>IF($X269="","",AF269/$X$10)</f>
        <v>0</v>
      </c>
      <c r="BZ269" s="18">
        <f>IF($X269="","",AG269/$X$10)</f>
        <v>0</v>
      </c>
      <c r="CA269" s="18">
        <f>IF($X269="","",AH269/$X$10)</f>
        <v>0</v>
      </c>
      <c r="CB269" s="18">
        <f t="shared" si="29"/>
        <v>0</v>
      </c>
      <c r="CC269" s="18">
        <f>IF($X269="","",AJ269/$X$10)</f>
        <v>0</v>
      </c>
      <c r="CD269" s="18">
        <f>IF($X269="","",AK269/$X$10)</f>
        <v>0</v>
      </c>
      <c r="CE269" s="18">
        <f>IF($X269="","",AL269/$X$10)</f>
        <v>0</v>
      </c>
      <c r="CF269" s="18">
        <f>IF($X269="","",AM269/$X$10)</f>
        <v>0</v>
      </c>
      <c r="CG269" s="18">
        <f>IF($X269="","",AN269/$X$10)</f>
        <v>0</v>
      </c>
      <c r="CH269" s="18">
        <f>IF($X269="","",AO269/$X$10)</f>
        <v>0</v>
      </c>
      <c r="CI269" s="18">
        <f>IF($X269="","",AP269/$X$10)</f>
        <v>0</v>
      </c>
      <c r="CJ269" s="18">
        <f>IF($X269="","",AQ269/$X$10)</f>
        <v>0</v>
      </c>
      <c r="CK269" s="18">
        <f>IF($X269="","",AR269/$X$10)</f>
        <v>0</v>
      </c>
      <c r="CL269" s="18">
        <f>IF($X269="","",AS269/$X$10)</f>
        <v>0</v>
      </c>
      <c r="CM269" s="18">
        <f>IF($X269="","",AT269/$X$10)</f>
        <v>0</v>
      </c>
      <c r="CN269" s="18">
        <f>IF($X269="","",AU269/$X$10)</f>
        <v>0</v>
      </c>
      <c r="CO269" s="18">
        <f>IF($X269="","",AV269/$X$10)</f>
        <v>0</v>
      </c>
      <c r="CP269" s="18">
        <f>IF($X269="","",AW269/$X$10)</f>
        <v>0</v>
      </c>
      <c r="CQ269" s="18">
        <f>IF($X269="","",AX269/$X$10)</f>
        <v>0</v>
      </c>
      <c r="CR269" s="18">
        <f>IF($X269="","",AY269/$X$10)</f>
        <v>0</v>
      </c>
      <c r="CS269" s="18">
        <f>IF($X269="","",AZ269/$X$10)</f>
        <v>0</v>
      </c>
      <c r="CT269" s="18">
        <f>IF($X269="","",BA269/$X$10)</f>
        <v>0</v>
      </c>
      <c r="CU269" s="18">
        <f>IF($X269="","",BB269/$X$10)</f>
        <v>0</v>
      </c>
      <c r="CV269" s="18">
        <f>IF($X269="","",BC269/$X$10)</f>
        <v>0</v>
      </c>
      <c r="CW269" s="18">
        <f>IF($X269="","",BD269/$X$10)</f>
        <v>0</v>
      </c>
      <c r="CX269" s="18">
        <f>IF($X269="","",BE269/$X$10)</f>
        <v>0</v>
      </c>
      <c r="CY269" s="18">
        <f>IF($X269="","",BF269/$X$10)</f>
        <v>0</v>
      </c>
      <c r="CZ269" s="18">
        <f>IF($X269="","",BG269/$X$10)</f>
        <v>0</v>
      </c>
      <c r="DA269" s="18">
        <f>IF($X269="","",BH269/$X$10)</f>
        <v>0</v>
      </c>
      <c r="DB269" s="18">
        <f>IF($X269="","",BI269/$X$10)</f>
        <v>0</v>
      </c>
      <c r="DC269" s="18">
        <f>IF($X269="","",BJ269/$X$10)</f>
        <v>0</v>
      </c>
      <c r="DD269" s="18">
        <f>IF($X269="","",BK269/$X$10)</f>
        <v>0</v>
      </c>
      <c r="DE269" s="18">
        <f>IF($X269="","",BL269/$X$10)</f>
        <v>0</v>
      </c>
      <c r="DF269" s="18">
        <f>IF($X269="","",BM269/$X$10)</f>
        <v>0</v>
      </c>
      <c r="DG269" s="18">
        <f t="shared" si="30"/>
        <v>0</v>
      </c>
      <c r="DH269" s="18">
        <f>IF($X269="","",BO269/$X$10)</f>
        <v>0</v>
      </c>
      <c r="DI269" s="18">
        <f>IF($X269="","",BP269/$X$10)</f>
        <v>0</v>
      </c>
      <c r="DJ269" s="18">
        <f>IF($X269="","",BQ269/$X$10)</f>
        <v>0</v>
      </c>
      <c r="DK269" s="18">
        <f>IF($X269="","",BR269/$X$10)</f>
        <v>0</v>
      </c>
      <c r="DL269" s="18">
        <f>IF($X269="","",BS269/$X$10)</f>
        <v>0</v>
      </c>
      <c r="DM269" s="18">
        <f>IF($X269="","",BT269/$X$10)</f>
        <v>0</v>
      </c>
      <c r="DN269" s="18">
        <f t="shared" si="26"/>
        <v>0</v>
      </c>
      <c r="DO269" s="16">
        <f>IF($X269="","",SUM(Tabla152[[#This Row],[PODRIDO]],Tabla152[[#This Row],[HONGO]],Tabla152[[#This Row],[PICADO DE AVE CON PUDRICIÓN]],Tabla152[[#This Row],[FUMAGINA]])/$X$10)</f>
        <v>0</v>
      </c>
      <c r="DP269" s="16">
        <f>IF($X269="","",SUM(Tabla152[[#This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69" s="16">
        <f>IF($X269="","",SUM(Tabla152[[#This Row],[BLANDO]:[COLAPSADO]])/$X$10)</f>
        <v>0</v>
      </c>
      <c r="DR269" s="16">
        <f>IF($X269="","",SUM(Tabla152[[#This Row],[DESHIDRATADO LEVE]:[DESHIDRATADO INMADURO]])/$X$10)</f>
        <v>0</v>
      </c>
      <c r="DS269" s="18">
        <f t="shared" si="27"/>
        <v>0</v>
      </c>
      <c r="DT269" s="16">
        <f>IF($X269="","",SUM(Tabla152[[#This Row],[PRESENCIA DE LARVA]],Tabla152[[#This Row],[CHANCHITO BLANCO]])/$X$10)</f>
        <v>0</v>
      </c>
      <c r="DU269" s="18">
        <f>IF($X269="","",SUM(Tabla152[[#This Row],[ROJO GRADO 2 A MÁS]],Tabla152[[#This Row],[IMMADURO VERDE]],Tabla152[[#This Row],[DESORDEN POR MADURACIÓN]],Tabla152[[#This Row],[ARO PEDICELAR VERDE EXTREMO]])/$X$10)</f>
        <v>0</v>
      </c>
      <c r="DV269" s="16">
        <f>IF($X269="","",SUM(Tabla152[[#This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69" s="16">
        <f t="shared" si="28"/>
        <v>0</v>
      </c>
      <c r="DX269" s="16">
        <f>IF($X269="","",AJ269/$X$10)</f>
        <v>0</v>
      </c>
      <c r="DY269" s="16">
        <f>IF($X269="","",SUM(Tabla152[[#This Row],[PRESENCIA DE COROLA]],Tabla152[[#This Row],[PRESENCIA DE RESTO FLORAL VERDE]],Tabla152[[#This Row],[PRESENCIA DE PEDÚNCULO]])/$X$10)</f>
        <v>0</v>
      </c>
      <c r="DZ269" s="16">
        <f>IF($X269="","",SUM(Tabla152[[#This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0</v>
      </c>
    </row>
    <row r="270" spans="1:130" x14ac:dyDescent="0.3">
      <c r="A270" s="9">
        <f>IF(W270="","",IF(ROW()=10,1,IF(W270=W269,A269,MAX($A$9:A269)+1)))</f>
        <v>86</v>
      </c>
      <c r="B270" s="9">
        <f>WEEKNUM(Tabla152[[#This Row],[FECHA DE COSECHA]],21)</f>
        <v>36</v>
      </c>
      <c r="C270" s="9"/>
      <c r="D270" s="17">
        <v>46268</v>
      </c>
      <c r="E270" s="17">
        <v>46268</v>
      </c>
      <c r="F270" s="9">
        <v>1</v>
      </c>
      <c r="G270" s="9" t="s">
        <v>77</v>
      </c>
      <c r="H270" s="9" t="s">
        <v>144</v>
      </c>
      <c r="I270" s="9" t="s">
        <v>188</v>
      </c>
      <c r="J270" s="9" t="s">
        <v>135</v>
      </c>
      <c r="K270" s="9" t="s">
        <v>146</v>
      </c>
      <c r="L270" s="9" t="s">
        <v>131</v>
      </c>
      <c r="M270" s="9" t="s">
        <v>239</v>
      </c>
      <c r="N270" s="9" t="s">
        <v>136</v>
      </c>
      <c r="O270" s="9" t="s">
        <v>137</v>
      </c>
      <c r="P270" s="9" t="s">
        <v>243</v>
      </c>
      <c r="Q270" s="9"/>
      <c r="R270" s="9">
        <v>7</v>
      </c>
      <c r="S270" s="9">
        <v>78114711</v>
      </c>
      <c r="T270" t="s">
        <v>233</v>
      </c>
      <c r="U270" s="9" t="s">
        <v>147</v>
      </c>
      <c r="V270" s="9"/>
      <c r="W270" s="19" t="s">
        <v>231</v>
      </c>
      <c r="X270" s="9">
        <v>69</v>
      </c>
      <c r="Y270" s="9">
        <v>3</v>
      </c>
      <c r="Z270" s="9">
        <v>5</v>
      </c>
      <c r="AA270" s="9" t="str">
        <f>IF(Tabla152[[#This Row],[NOTA]]=15,"CUMPLE","NO CUMPLE")</f>
        <v>NO CUMPLE</v>
      </c>
      <c r="AB270" s="9" t="str">
        <f>IF(COUNTIF($A$10:A270,A270)=1,IF(COUNTIFS($A:$A,A270,$AA:$AA,"NO CUMPLE")&gt;0,"NO CUMPLE","CUMPLE"),"")</f>
        <v/>
      </c>
      <c r="AC270" s="9"/>
      <c r="AD270" s="8">
        <v>2</v>
      </c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18"/>
      <c r="BX270" s="18">
        <f>IF($X270="","",AE270/$X$10)</f>
        <v>0</v>
      </c>
      <c r="BY270" s="18">
        <f>IF($X270="","",AF270/$X$10)</f>
        <v>0</v>
      </c>
      <c r="BZ270" s="18">
        <f>IF($X270="","",AG270/$X$10)</f>
        <v>0</v>
      </c>
      <c r="CA270" s="18">
        <f>IF($X270="","",AH270/$X$10)</f>
        <v>0</v>
      </c>
      <c r="CB270" s="18">
        <f t="shared" si="29"/>
        <v>0</v>
      </c>
      <c r="CC270" s="18">
        <f>IF($X270="","",AJ270/$X$10)</f>
        <v>0</v>
      </c>
      <c r="CD270" s="18">
        <f>IF($X270="","",AK270/$X$10)</f>
        <v>0</v>
      </c>
      <c r="CE270" s="18">
        <f>IF($X270="","",AL270/$X$10)</f>
        <v>0</v>
      </c>
      <c r="CF270" s="18">
        <f>IF($X270="","",AM270/$X$10)</f>
        <v>0</v>
      </c>
      <c r="CG270" s="18">
        <f>IF($X270="","",AN270/$X$10)</f>
        <v>0</v>
      </c>
      <c r="CH270" s="18">
        <f>IF($X270="","",AO270/$X$10)</f>
        <v>0</v>
      </c>
      <c r="CI270" s="18">
        <f>IF($X270="","",AP270/$X$10)</f>
        <v>0</v>
      </c>
      <c r="CJ270" s="18">
        <f>IF($X270="","",AQ270/$X$10)</f>
        <v>0</v>
      </c>
      <c r="CK270" s="18">
        <f>IF($X270="","",AR270/$X$10)</f>
        <v>0</v>
      </c>
      <c r="CL270" s="18">
        <f>IF($X270="","",AS270/$X$10)</f>
        <v>0</v>
      </c>
      <c r="CM270" s="18">
        <f>IF($X270="","",AT270/$X$10)</f>
        <v>0</v>
      </c>
      <c r="CN270" s="18">
        <f>IF($X270="","",AU270/$X$10)</f>
        <v>0</v>
      </c>
      <c r="CO270" s="18">
        <f>IF($X270="","",AV270/$X$10)</f>
        <v>0</v>
      </c>
      <c r="CP270" s="18">
        <f>IF($X270="","",AW270/$X$10)</f>
        <v>0</v>
      </c>
      <c r="CQ270" s="18">
        <f>IF($X270="","",AX270/$X$10)</f>
        <v>0</v>
      </c>
      <c r="CR270" s="18">
        <f>IF($X270="","",AY270/$X$10)</f>
        <v>0</v>
      </c>
      <c r="CS270" s="18">
        <f>IF($X270="","",AZ270/$X$10)</f>
        <v>0</v>
      </c>
      <c r="CT270" s="18">
        <f>IF($X270="","",BA270/$X$10)</f>
        <v>0</v>
      </c>
      <c r="CU270" s="18">
        <f>IF($X270="","",BB270/$X$10)</f>
        <v>0</v>
      </c>
      <c r="CV270" s="18">
        <f>IF($X270="","",BC270/$X$10)</f>
        <v>0</v>
      </c>
      <c r="CW270" s="18">
        <f>IF($X270="","",BD270/$X$10)</f>
        <v>0</v>
      </c>
      <c r="CX270" s="18">
        <f>IF($X270="","",BE270/$X$10)</f>
        <v>0</v>
      </c>
      <c r="CY270" s="18">
        <f>IF($X270="","",BF270/$X$10)</f>
        <v>0</v>
      </c>
      <c r="CZ270" s="18">
        <f>IF($X270="","",BG270/$X$10)</f>
        <v>0</v>
      </c>
      <c r="DA270" s="18">
        <f>IF($X270="","",BH270/$X$10)</f>
        <v>0</v>
      </c>
      <c r="DB270" s="18">
        <f>IF($X270="","",BI270/$X$10)</f>
        <v>0</v>
      </c>
      <c r="DC270" s="18">
        <f>IF($X270="","",BJ270/$X$10)</f>
        <v>0</v>
      </c>
      <c r="DD270" s="18">
        <f>IF($X270="","",BK270/$X$10)</f>
        <v>0</v>
      </c>
      <c r="DE270" s="18">
        <f>IF($X270="","",BL270/$X$10)</f>
        <v>0</v>
      </c>
      <c r="DF270" s="18">
        <f>IF($X270="","",BM270/$X$10)</f>
        <v>0</v>
      </c>
      <c r="DG270" s="18">
        <f t="shared" si="30"/>
        <v>0</v>
      </c>
      <c r="DH270" s="18">
        <f>IF($X270="","",BO270/$X$10)</f>
        <v>0</v>
      </c>
      <c r="DI270" s="18">
        <f>IF($X270="","",BP270/$X$10)</f>
        <v>0</v>
      </c>
      <c r="DJ270" s="18">
        <f>IF($X270="","",BQ270/$X$10)</f>
        <v>0</v>
      </c>
      <c r="DK270" s="18">
        <f>IF($X270="","",BR270/$X$10)</f>
        <v>0</v>
      </c>
      <c r="DL270" s="18">
        <f>IF($X270="","",BS270/$X$10)</f>
        <v>0</v>
      </c>
      <c r="DM270" s="18">
        <f>IF($X270="","",BT270/$X$10)</f>
        <v>0</v>
      </c>
      <c r="DN270" s="18">
        <f t="shared" si="26"/>
        <v>0</v>
      </c>
      <c r="DO270" s="16">
        <f>IF($X270="","",SUM(Tabla152[[#This Row],[PODRIDO]],Tabla152[[#This Row],[HONGO]],Tabla152[[#This Row],[PICADO DE AVE CON PUDRICIÓN]],Tabla152[[#This Row],[FUMAGINA]])/$X$10)</f>
        <v>0</v>
      </c>
      <c r="DP270" s="16">
        <f>IF($X270="","",SUM(Tabla152[[#This Row],[DESGARRO LEVE MOJADO]],Tabla152[[#This Row],[PULPA EXPUESTA]],Tabla152[[#This Row],[PARTIDOS/RAJADOS]],Tabla152[[#This Row],[INSERCIÓN DE PEDÚNCULO EXTREMO]],Tabla152[[#This Row],[EXUDADOS]],Tabla152[[#This Row],[APLASTADOS]],Tabla152[[#This Row],[DESGARRO GRADO 2 A MÁS]],Tabla152[[#This Row],[COLAPSADO]])/$X$10)</f>
        <v>0</v>
      </c>
      <c r="DQ270" s="16">
        <f>IF($X270="","",SUM(Tabla152[[#This Row],[BLANDO]:[COLAPSADO]])/$X$10)</f>
        <v>0</v>
      </c>
      <c r="DR270" s="16">
        <f>IF($X270="","",SUM(Tabla152[[#This Row],[DESHIDRATADO LEVE]:[DESHIDRATADO INMADURO]])/$X$10)</f>
        <v>0</v>
      </c>
      <c r="DS270" s="18">
        <f t="shared" si="27"/>
        <v>0</v>
      </c>
      <c r="DT270" s="16">
        <f>IF($X270="","",SUM(Tabla152[[#This Row],[PRESENCIA DE LARVA]],Tabla152[[#This Row],[CHANCHITO BLANCO]])/$X$10)</f>
        <v>0</v>
      </c>
      <c r="DU270" s="18">
        <f>IF($X270="","",SUM(Tabla152[[#This Row],[ROJO GRADO 2 A MÁS]],Tabla152[[#This Row],[IMMADURO VERDE]],Tabla152[[#This Row],[DESORDEN POR MADURACIÓN]],Tabla152[[#This Row],[ARO PEDICELAR VERDE EXTREMO]])/$X$10)</f>
        <v>0</v>
      </c>
      <c r="DV270" s="16">
        <f>IF($X270="","",SUM(Tabla152[[#This Row],[VESTIGIOS (%)]],Tabla152[[#This Row],[EXCRETA DE AVES (%)]],Tabla152[[#This Row],[PICADO DE INSECTOS (%)]],Tabla152[[#This Row],[POLVO EXTREMO (%)]],Tabla152[[#This Row],[DAÑO DE TRIPS EXTREMO (%)]],Tabla152[[#This Row],[DAÑO MECÁNICO (%)]],Tabla152[[#This Row],[MANCHA EXTRAÑAS (%)]])/$X$10)</f>
        <v>0</v>
      </c>
      <c r="DW270" s="16">
        <f t="shared" si="28"/>
        <v>0</v>
      </c>
      <c r="DX270" s="16">
        <f>IF($X270="","",AJ270/$X$10)</f>
        <v>0</v>
      </c>
      <c r="DY270" s="16">
        <f>IF($X270="","",SUM(Tabla152[[#This Row],[PRESENCIA DE COROLA]],Tabla152[[#This Row],[PRESENCIA DE RESTO FLORAL VERDE]],Tabla152[[#This Row],[PRESENCIA DE PEDÚNCULO]])/$X$10)</f>
        <v>0</v>
      </c>
      <c r="DZ270" s="16">
        <f>IF($X270="","",SUM(Tabla152[[#This Row],[DESGARRO LEVE SECO]],Tabla152[[#This Row],[POCA PRESENCIA DE BLOOM]],Tabla152[[#This Row],[SIN BLOOM]],Tabla152[[#This Row],[ARO PEDICELAR VERDE LEVE]],Tabla152[[#This Row],[INSERCIÓN DE PEDÚNCULO LEVE]],Tabla152[[#This Row],[DAÑO DE TRIPS LEVE]],Tabla152[[#This Row],[POLVO LEVE]],Tabla152[[#This Row],[DEFORME]],Tabla152[[#This Row],[CERA DE ABEJA]])/$X$10)</f>
        <v>3.1746031746031744E-2</v>
      </c>
    </row>
  </sheetData>
  <mergeCells count="17">
    <mergeCell ref="DT8:DW8"/>
    <mergeCell ref="DX8:DZ8"/>
    <mergeCell ref="DX7:DZ7"/>
    <mergeCell ref="B1:DZ1"/>
    <mergeCell ref="DA8:DN8"/>
    <mergeCell ref="AD7:AP7"/>
    <mergeCell ref="AQ7:BU7"/>
    <mergeCell ref="AE8:AP8"/>
    <mergeCell ref="AQ8:BG8"/>
    <mergeCell ref="BH8:BU8"/>
    <mergeCell ref="CJ8:CZ8"/>
    <mergeCell ref="BW7:CI7"/>
    <mergeCell ref="CJ7:DN7"/>
    <mergeCell ref="BX8:CI8"/>
    <mergeCell ref="I8:P8"/>
    <mergeCell ref="DO7:DW7"/>
    <mergeCell ref="DO8:DS8"/>
  </mergeCells>
  <phoneticPr fontId="9" type="noConversion"/>
  <conditionalFormatting sqref="AA10:AA270">
    <cfRule type="containsText" dxfId="1" priority="7" operator="containsText" text="NO CUMPLE">
      <formula>NOT(ISERROR(SEARCH("NO CUMPLE",AA10)))</formula>
    </cfRule>
    <cfRule type="containsText" dxfId="0" priority="8" operator="containsText" text="CUMPLE">
      <formula>NOT(ISERROR(SEARCH("CUMPLE",AA10)))</formula>
    </cfRule>
  </conditionalFormatting>
  <conditionalFormatting sqref="DW10:DW27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{1734694E-7212-4A96-B4D3-53BA05FC15A7}</x14:id>
        </ext>
      </extLst>
    </cfRule>
  </conditionalFormatting>
  <conditionalFormatting sqref="DT10:DT27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{D5B7CEBB-A6DF-4577-A120-5CF6E3BC2689}</x14:id>
        </ext>
      </extLst>
    </cfRule>
  </conditionalFormatting>
  <conditionalFormatting sqref="DU10:DV10 DV10:DV27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{E09DC136-83B2-412E-996D-682CFDF874D8}</x14:id>
        </ext>
      </extLst>
    </cfRule>
  </conditionalFormatting>
  <conditionalFormatting sqref="DX10:DX27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{A98720FC-830C-48CA-92D3-B43D6C44D6C3}</x14:id>
        </ext>
      </extLst>
    </cfRule>
  </conditionalFormatting>
  <conditionalFormatting sqref="DO11:DX270 DY10:DZ270 DO10:DR10 DO10:DO270 DQ10:DQ27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{FB19DF3C-5B07-4A05-A157-D9E7970490DF}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34694E-7212-4A96-B4D3-53BA05FC15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DW10:DW270</xm:sqref>
        </x14:conditionalFormatting>
        <x14:conditionalFormatting xmlns:xm="http://schemas.microsoft.com/office/excel/2006/main">
          <x14:cfRule type="dataBar" id="{D5B7CEBB-A6DF-4577-A120-5CF6E3BC26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DT10:DT270</xm:sqref>
        </x14:conditionalFormatting>
        <x14:conditionalFormatting xmlns:xm="http://schemas.microsoft.com/office/excel/2006/main">
          <x14:cfRule type="dataBar" id="{E09DC136-83B2-412E-996D-682CFDF874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DU10:DV10 DV10:DV270</xm:sqref>
        </x14:conditionalFormatting>
        <x14:conditionalFormatting xmlns:xm="http://schemas.microsoft.com/office/excel/2006/main">
          <x14:cfRule type="dataBar" id="{A98720FC-830C-48CA-92D3-B43D6C44D6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DX10:DX270</xm:sqref>
        </x14:conditionalFormatting>
        <x14:conditionalFormatting xmlns:xm="http://schemas.microsoft.com/office/excel/2006/main">
          <x14:cfRule type="dataBar" id="{FB19DF3C-5B07-4A05-A157-D9E7970490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DO11:DX270 DY10:DZ270 DO10:DR10 DO10:DO270 DQ10:DQ270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C759-28C1-47FB-B440-7A324B814E58}">
  <dimension ref="D2:AR47"/>
  <sheetViews>
    <sheetView showGridLines="0" topLeftCell="F1" workbookViewId="0">
      <selection activeCell="I4" sqref="I4:I16"/>
    </sheetView>
  </sheetViews>
  <sheetFormatPr baseColWidth="10" defaultRowHeight="14.4" x14ac:dyDescent="0.3"/>
  <cols>
    <col min="4" max="5" width="37.21875" customWidth="1"/>
    <col min="6" max="6" width="37.21875" style="53" customWidth="1"/>
    <col min="7" max="7" width="37.21875" style="44" customWidth="1"/>
    <col min="8" max="8" width="27" style="35" customWidth="1"/>
    <col min="9" max="9" width="30.44140625" bestFit="1" customWidth="1"/>
    <col min="10" max="10" width="24.44140625" customWidth="1"/>
    <col min="11" max="11" width="24" customWidth="1"/>
  </cols>
  <sheetData>
    <row r="2" spans="4:44" x14ac:dyDescent="0.3">
      <c r="I2" s="68" t="s">
        <v>366</v>
      </c>
      <c r="J2" s="68"/>
      <c r="K2" s="68"/>
    </row>
    <row r="3" spans="4:44" x14ac:dyDescent="0.3">
      <c r="E3" s="62" t="s">
        <v>250</v>
      </c>
      <c r="F3" s="83" t="s">
        <v>264</v>
      </c>
      <c r="G3" s="83" t="s">
        <v>251</v>
      </c>
      <c r="H3" s="63" t="s">
        <v>252</v>
      </c>
      <c r="I3" s="67" t="s">
        <v>135</v>
      </c>
      <c r="J3" s="67" t="s">
        <v>365</v>
      </c>
      <c r="K3" s="67" t="s">
        <v>364</v>
      </c>
    </row>
    <row r="4" spans="4:44" x14ac:dyDescent="0.3">
      <c r="E4" s="80" t="s">
        <v>76</v>
      </c>
      <c r="F4" s="29" t="s">
        <v>257</v>
      </c>
      <c r="G4" s="45" t="s">
        <v>261</v>
      </c>
      <c r="H4" s="64" t="s">
        <v>14</v>
      </c>
      <c r="I4" s="87">
        <v>0.03</v>
      </c>
      <c r="J4" s="85">
        <v>0.02</v>
      </c>
      <c r="K4" s="85">
        <v>0</v>
      </c>
    </row>
    <row r="5" spans="4:44" x14ac:dyDescent="0.3">
      <c r="E5" s="81"/>
      <c r="F5" s="29"/>
      <c r="G5" s="84" t="s">
        <v>123</v>
      </c>
      <c r="H5" s="64" t="s">
        <v>10</v>
      </c>
      <c r="I5" s="89"/>
      <c r="J5" s="69">
        <v>0.04</v>
      </c>
      <c r="K5" s="88">
        <v>0.01</v>
      </c>
    </row>
    <row r="6" spans="4:44" ht="28.8" x14ac:dyDescent="0.3">
      <c r="D6" s="44"/>
      <c r="E6" s="81"/>
      <c r="F6" s="29"/>
      <c r="G6" s="84"/>
      <c r="H6" s="64" t="s">
        <v>11</v>
      </c>
      <c r="I6" s="89"/>
      <c r="J6" s="70"/>
      <c r="K6" s="86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</row>
    <row r="7" spans="4:44" x14ac:dyDescent="0.3">
      <c r="D7" s="44"/>
      <c r="E7" s="81"/>
      <c r="F7" s="29"/>
      <c r="G7" s="84"/>
      <c r="H7" s="64" t="s">
        <v>12</v>
      </c>
      <c r="I7" s="89"/>
      <c r="J7" s="71"/>
      <c r="K7" s="86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</row>
    <row r="8" spans="4:44" x14ac:dyDescent="0.3">
      <c r="E8" s="81"/>
      <c r="F8" s="29"/>
      <c r="G8" s="52" t="s">
        <v>260</v>
      </c>
      <c r="H8" s="64" t="s">
        <v>13</v>
      </c>
      <c r="I8" s="89"/>
      <c r="J8" s="69">
        <v>0.03</v>
      </c>
      <c r="K8" s="88">
        <v>0.02</v>
      </c>
    </row>
    <row r="9" spans="4:44" x14ac:dyDescent="0.3">
      <c r="E9" s="81"/>
      <c r="F9" s="29"/>
      <c r="G9" s="50"/>
      <c r="H9" s="64" t="s">
        <v>49</v>
      </c>
      <c r="I9" s="89"/>
      <c r="J9" s="70"/>
      <c r="K9" s="86"/>
    </row>
    <row r="10" spans="4:44" x14ac:dyDescent="0.3">
      <c r="E10" s="81"/>
      <c r="F10" s="29"/>
      <c r="G10" s="50"/>
      <c r="H10" s="64" t="s">
        <v>15</v>
      </c>
      <c r="I10" s="89"/>
      <c r="J10" s="70"/>
      <c r="K10" s="86"/>
    </row>
    <row r="11" spans="4:44" x14ac:dyDescent="0.3">
      <c r="E11" s="81"/>
      <c r="F11" s="29"/>
      <c r="G11" s="50"/>
      <c r="H11" s="64" t="s">
        <v>16</v>
      </c>
      <c r="I11" s="89"/>
      <c r="J11" s="70"/>
      <c r="K11" s="86"/>
    </row>
    <row r="12" spans="4:44" ht="28.8" x14ac:dyDescent="0.3">
      <c r="E12" s="81"/>
      <c r="F12" s="29"/>
      <c r="G12" s="50"/>
      <c r="H12" s="64" t="s">
        <v>17</v>
      </c>
      <c r="I12" s="89"/>
      <c r="J12" s="70"/>
      <c r="K12" s="86"/>
    </row>
    <row r="13" spans="4:44" x14ac:dyDescent="0.3">
      <c r="E13" s="81"/>
      <c r="F13" s="29"/>
      <c r="G13" s="50"/>
      <c r="H13" s="64" t="s">
        <v>18</v>
      </c>
      <c r="I13" s="89"/>
      <c r="J13" s="70"/>
      <c r="K13" s="86"/>
    </row>
    <row r="14" spans="4:44" x14ac:dyDescent="0.3">
      <c r="E14" s="81"/>
      <c r="F14" s="29"/>
      <c r="G14" s="50"/>
      <c r="H14" s="64" t="s">
        <v>19</v>
      </c>
      <c r="I14" s="89"/>
      <c r="J14" s="70"/>
      <c r="K14" s="86"/>
    </row>
    <row r="15" spans="4:44" x14ac:dyDescent="0.3">
      <c r="E15" s="81"/>
      <c r="F15" s="29"/>
      <c r="G15" s="50"/>
      <c r="H15" s="64" t="s">
        <v>20</v>
      </c>
      <c r="I15" s="89"/>
      <c r="J15" s="70"/>
      <c r="K15" s="86"/>
    </row>
    <row r="16" spans="4:44" x14ac:dyDescent="0.3">
      <c r="E16" s="82"/>
      <c r="F16" s="37" t="s">
        <v>256</v>
      </c>
      <c r="G16" s="51"/>
      <c r="H16" s="64" t="s">
        <v>9</v>
      </c>
      <c r="I16" s="90"/>
      <c r="J16" s="71"/>
      <c r="K16" s="86"/>
    </row>
    <row r="17" spans="5:11" x14ac:dyDescent="0.3">
      <c r="E17" s="46" t="s">
        <v>74</v>
      </c>
      <c r="F17" s="46" t="s">
        <v>256</v>
      </c>
      <c r="G17" s="54" t="s">
        <v>262</v>
      </c>
      <c r="H17" s="65" t="s">
        <v>35</v>
      </c>
      <c r="I17" s="91">
        <v>0</v>
      </c>
      <c r="J17" s="92"/>
      <c r="K17" s="93"/>
    </row>
    <row r="18" spans="5:11" x14ac:dyDescent="0.3">
      <c r="E18" s="47"/>
      <c r="F18" s="47"/>
      <c r="G18" s="55"/>
      <c r="H18" s="65" t="s">
        <v>36</v>
      </c>
      <c r="I18" s="94"/>
      <c r="J18" s="95"/>
      <c r="K18" s="96"/>
    </row>
    <row r="19" spans="5:11" x14ac:dyDescent="0.3">
      <c r="E19" s="47"/>
      <c r="F19" s="47"/>
      <c r="G19" s="55"/>
      <c r="H19" s="65" t="s">
        <v>37</v>
      </c>
      <c r="I19" s="94"/>
      <c r="J19" s="95"/>
      <c r="K19" s="96"/>
    </row>
    <row r="20" spans="5:11" ht="28.8" x14ac:dyDescent="0.3">
      <c r="E20" s="47"/>
      <c r="F20" s="47"/>
      <c r="G20" s="56"/>
      <c r="H20" s="65" t="s">
        <v>34</v>
      </c>
      <c r="I20" s="94"/>
      <c r="J20" s="95"/>
      <c r="K20" s="96"/>
    </row>
    <row r="21" spans="5:11" x14ac:dyDescent="0.3">
      <c r="E21" s="47"/>
      <c r="F21" s="47"/>
      <c r="G21" s="57" t="s">
        <v>263</v>
      </c>
      <c r="H21" s="65" t="s">
        <v>24</v>
      </c>
      <c r="I21" s="94"/>
      <c r="J21" s="95"/>
      <c r="K21" s="96"/>
    </row>
    <row r="22" spans="5:11" x14ac:dyDescent="0.3">
      <c r="E22" s="47"/>
      <c r="F22" s="47"/>
      <c r="G22" s="57"/>
      <c r="H22" s="65" t="s">
        <v>25</v>
      </c>
      <c r="I22" s="94"/>
      <c r="J22" s="95"/>
      <c r="K22" s="96"/>
    </row>
    <row r="23" spans="5:11" x14ac:dyDescent="0.3">
      <c r="E23" s="47"/>
      <c r="F23" s="47"/>
      <c r="G23" s="57"/>
      <c r="H23" s="65" t="s">
        <v>26</v>
      </c>
      <c r="I23" s="94"/>
      <c r="J23" s="95"/>
      <c r="K23" s="96"/>
    </row>
    <row r="24" spans="5:11" ht="28.8" x14ac:dyDescent="0.3">
      <c r="E24" s="47"/>
      <c r="F24" s="47"/>
      <c r="G24" s="57"/>
      <c r="H24" s="65" t="s">
        <v>27</v>
      </c>
      <c r="I24" s="94"/>
      <c r="J24" s="95"/>
      <c r="K24" s="96"/>
    </row>
    <row r="25" spans="5:11" x14ac:dyDescent="0.3">
      <c r="E25" s="47"/>
      <c r="F25" s="47"/>
      <c r="G25" s="57"/>
      <c r="H25" s="65" t="s">
        <v>28</v>
      </c>
      <c r="I25" s="94"/>
      <c r="J25" s="95"/>
      <c r="K25" s="96"/>
    </row>
    <row r="26" spans="5:11" x14ac:dyDescent="0.3">
      <c r="E26" s="47"/>
      <c r="F26" s="47"/>
      <c r="G26" s="57"/>
      <c r="H26" s="65" t="s">
        <v>29</v>
      </c>
      <c r="I26" s="94"/>
      <c r="J26" s="95"/>
      <c r="K26" s="96"/>
    </row>
    <row r="27" spans="5:11" x14ac:dyDescent="0.3">
      <c r="E27" s="47"/>
      <c r="F27" s="47"/>
      <c r="G27" s="57"/>
      <c r="H27" s="65" t="s">
        <v>30</v>
      </c>
      <c r="I27" s="94"/>
      <c r="J27" s="95"/>
      <c r="K27" s="96"/>
    </row>
    <row r="28" spans="5:11" x14ac:dyDescent="0.3">
      <c r="E28" s="47"/>
      <c r="F28" s="47"/>
      <c r="G28" s="57" t="s">
        <v>31</v>
      </c>
      <c r="H28" s="65" t="s">
        <v>31</v>
      </c>
      <c r="I28" s="94"/>
      <c r="J28" s="95"/>
      <c r="K28" s="96"/>
    </row>
    <row r="29" spans="5:11" x14ac:dyDescent="0.3">
      <c r="E29" s="47"/>
      <c r="F29" s="47"/>
      <c r="G29" s="57"/>
      <c r="H29" s="65" t="s">
        <v>32</v>
      </c>
      <c r="I29" s="94"/>
      <c r="J29" s="95"/>
      <c r="K29" s="96"/>
    </row>
    <row r="30" spans="5:11" x14ac:dyDescent="0.3">
      <c r="E30" s="47"/>
      <c r="F30" s="47"/>
      <c r="G30" s="57" t="s">
        <v>122</v>
      </c>
      <c r="H30" s="65" t="s">
        <v>21</v>
      </c>
      <c r="I30" s="94"/>
      <c r="J30" s="95"/>
      <c r="K30" s="96"/>
    </row>
    <row r="31" spans="5:11" x14ac:dyDescent="0.3">
      <c r="E31" s="47"/>
      <c r="F31" s="47"/>
      <c r="G31" s="57"/>
      <c r="H31" s="65" t="s">
        <v>22</v>
      </c>
      <c r="I31" s="94"/>
      <c r="J31" s="95"/>
      <c r="K31" s="96"/>
    </row>
    <row r="32" spans="5:11" x14ac:dyDescent="0.3">
      <c r="E32" s="47"/>
      <c r="F32" s="47"/>
      <c r="G32" s="57"/>
      <c r="H32" s="65" t="s">
        <v>23</v>
      </c>
      <c r="I32" s="94"/>
      <c r="J32" s="95"/>
      <c r="K32" s="96"/>
    </row>
    <row r="33" spans="5:11" x14ac:dyDescent="0.3">
      <c r="E33" s="47"/>
      <c r="F33" s="48"/>
      <c r="G33" s="49" t="s">
        <v>253</v>
      </c>
      <c r="H33" s="65" t="s">
        <v>33</v>
      </c>
      <c r="I33" s="94"/>
      <c r="J33" s="95"/>
      <c r="K33" s="96"/>
    </row>
    <row r="34" spans="5:11" x14ac:dyDescent="0.3">
      <c r="E34" s="47"/>
      <c r="F34" s="26" t="s">
        <v>257</v>
      </c>
      <c r="G34" s="58" t="s">
        <v>125</v>
      </c>
      <c r="H34" s="66" t="s">
        <v>38</v>
      </c>
      <c r="I34" s="94"/>
      <c r="J34" s="95"/>
      <c r="K34" s="96"/>
    </row>
    <row r="35" spans="5:11" x14ac:dyDescent="0.3">
      <c r="E35" s="47"/>
      <c r="F35" s="26"/>
      <c r="G35" s="59"/>
      <c r="H35" s="66" t="s">
        <v>40</v>
      </c>
      <c r="I35" s="94"/>
      <c r="J35" s="95"/>
      <c r="K35" s="96"/>
    </row>
    <row r="36" spans="5:11" x14ac:dyDescent="0.3">
      <c r="E36" s="47"/>
      <c r="F36" s="26"/>
      <c r="G36" s="58" t="s">
        <v>259</v>
      </c>
      <c r="H36" s="66" t="s">
        <v>43</v>
      </c>
      <c r="I36" s="94"/>
      <c r="J36" s="95"/>
      <c r="K36" s="96"/>
    </row>
    <row r="37" spans="5:11" x14ac:dyDescent="0.3">
      <c r="E37" s="47"/>
      <c r="F37" s="26"/>
      <c r="G37" s="60"/>
      <c r="H37" s="66" t="s">
        <v>141</v>
      </c>
      <c r="I37" s="94"/>
      <c r="J37" s="95"/>
      <c r="K37" s="96"/>
    </row>
    <row r="38" spans="5:11" ht="28.8" x14ac:dyDescent="0.3">
      <c r="E38" s="47"/>
      <c r="F38" s="26"/>
      <c r="G38" s="60"/>
      <c r="H38" s="66" t="s">
        <v>44</v>
      </c>
      <c r="I38" s="94"/>
      <c r="J38" s="95"/>
      <c r="K38" s="96"/>
    </row>
    <row r="39" spans="5:11" ht="28.8" x14ac:dyDescent="0.3">
      <c r="E39" s="47"/>
      <c r="F39" s="26"/>
      <c r="G39" s="59"/>
      <c r="H39" s="66" t="s">
        <v>46</v>
      </c>
      <c r="I39" s="94"/>
      <c r="J39" s="95"/>
      <c r="K39" s="96"/>
    </row>
    <row r="40" spans="5:11" x14ac:dyDescent="0.3">
      <c r="E40" s="47"/>
      <c r="F40" s="26"/>
      <c r="G40" s="58" t="s">
        <v>255</v>
      </c>
      <c r="H40" s="66" t="s">
        <v>39</v>
      </c>
      <c r="I40" s="94"/>
      <c r="J40" s="95"/>
      <c r="K40" s="96"/>
    </row>
    <row r="41" spans="5:11" x14ac:dyDescent="0.3">
      <c r="E41" s="47"/>
      <c r="F41" s="26"/>
      <c r="G41" s="60"/>
      <c r="H41" s="66" t="s">
        <v>41</v>
      </c>
      <c r="I41" s="94"/>
      <c r="J41" s="95"/>
      <c r="K41" s="96"/>
    </row>
    <row r="42" spans="5:11" x14ac:dyDescent="0.3">
      <c r="E42" s="47"/>
      <c r="F42" s="26"/>
      <c r="G42" s="60"/>
      <c r="H42" s="66" t="s">
        <v>42</v>
      </c>
      <c r="I42" s="94"/>
      <c r="J42" s="95"/>
      <c r="K42" s="96"/>
    </row>
    <row r="43" spans="5:11" x14ac:dyDescent="0.3">
      <c r="E43" s="47"/>
      <c r="F43" s="26"/>
      <c r="G43" s="60"/>
      <c r="H43" s="66" t="s">
        <v>45</v>
      </c>
      <c r="I43" s="94"/>
      <c r="J43" s="95"/>
      <c r="K43" s="96"/>
    </row>
    <row r="44" spans="5:11" x14ac:dyDescent="0.3">
      <c r="E44" s="47"/>
      <c r="F44" s="26"/>
      <c r="G44" s="60"/>
      <c r="H44" s="66" t="s">
        <v>47</v>
      </c>
      <c r="I44" s="94"/>
      <c r="J44" s="95"/>
      <c r="K44" s="96"/>
    </row>
    <row r="45" spans="5:11" x14ac:dyDescent="0.3">
      <c r="E45" s="47"/>
      <c r="F45" s="26"/>
      <c r="G45" s="60"/>
      <c r="H45" s="66" t="s">
        <v>48</v>
      </c>
      <c r="I45" s="94"/>
      <c r="J45" s="95"/>
      <c r="K45" s="96"/>
    </row>
    <row r="46" spans="5:11" x14ac:dyDescent="0.3">
      <c r="E46" s="47"/>
      <c r="F46" s="26"/>
      <c r="G46" s="59"/>
      <c r="H46" s="66" t="s">
        <v>246</v>
      </c>
      <c r="I46" s="94"/>
      <c r="J46" s="95"/>
      <c r="K46" s="96"/>
    </row>
    <row r="47" spans="5:11" x14ac:dyDescent="0.3">
      <c r="E47" s="48"/>
      <c r="F47" s="26"/>
      <c r="G47" s="61" t="s">
        <v>254</v>
      </c>
      <c r="H47" s="66" t="s">
        <v>245</v>
      </c>
      <c r="I47" s="97"/>
      <c r="J47" s="98"/>
      <c r="K47" s="99"/>
    </row>
  </sheetData>
  <mergeCells count="21">
    <mergeCell ref="I2:K2"/>
    <mergeCell ref="I17:K47"/>
    <mergeCell ref="I4:I16"/>
    <mergeCell ref="J5:J7"/>
    <mergeCell ref="J8:J16"/>
    <mergeCell ref="K5:K7"/>
    <mergeCell ref="K8:K16"/>
    <mergeCell ref="F17:F33"/>
    <mergeCell ref="E17:E47"/>
    <mergeCell ref="F4:F15"/>
    <mergeCell ref="E4:E16"/>
    <mergeCell ref="G40:G46"/>
    <mergeCell ref="G5:G7"/>
    <mergeCell ref="G8:G16"/>
    <mergeCell ref="G17:G20"/>
    <mergeCell ref="G21:G27"/>
    <mergeCell ref="G28:G29"/>
    <mergeCell ref="G30:G32"/>
    <mergeCell ref="G34:G35"/>
    <mergeCell ref="G36:G39"/>
    <mergeCell ref="F34:F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B54A-AEEE-4A4C-9F3D-EB395D2A4F09}">
  <dimension ref="A2:D5"/>
  <sheetViews>
    <sheetView workbookViewId="0">
      <selection activeCell="B6" sqref="B6"/>
    </sheetView>
  </sheetViews>
  <sheetFormatPr baseColWidth="10" defaultColWidth="11.5546875" defaultRowHeight="14.4" x14ac:dyDescent="0.3"/>
  <cols>
    <col min="1" max="1" width="21.5546875" style="10" customWidth="1"/>
    <col min="2" max="2" width="27.77734375" style="10" customWidth="1"/>
    <col min="3" max="3" width="45.5546875" style="10" customWidth="1"/>
    <col min="4" max="4" width="73.21875" style="10" customWidth="1"/>
    <col min="5" max="16384" width="11.5546875" style="10"/>
  </cols>
  <sheetData>
    <row r="2" spans="1:4" ht="24" customHeight="1" x14ac:dyDescent="0.3">
      <c r="A2" s="32" t="s">
        <v>54</v>
      </c>
      <c r="B2" s="33"/>
      <c r="C2" s="33"/>
      <c r="D2" s="34"/>
    </row>
    <row r="3" spans="1:4" x14ac:dyDescent="0.3">
      <c r="A3" s="11"/>
      <c r="B3" s="11"/>
      <c r="C3" s="11"/>
      <c r="D3" s="11"/>
    </row>
    <row r="4" spans="1:4" ht="28.95" customHeight="1" x14ac:dyDescent="0.3">
      <c r="A4" s="12" t="s">
        <v>55</v>
      </c>
      <c r="B4" s="13" t="s">
        <v>56</v>
      </c>
      <c r="C4" s="13" t="s">
        <v>57</v>
      </c>
      <c r="D4" s="13" t="s">
        <v>58</v>
      </c>
    </row>
    <row r="5" spans="1:4" ht="55.95" customHeight="1" x14ac:dyDescent="0.3">
      <c r="A5" s="14" t="s">
        <v>53</v>
      </c>
      <c r="B5" s="14" t="s">
        <v>61</v>
      </c>
      <c r="C5" s="14" t="s">
        <v>60</v>
      </c>
      <c r="D5" s="15" t="s">
        <v>59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 Maestra</vt:lpstr>
      <vt:lpstr>Base de Datos</vt:lpstr>
      <vt:lpstr>Defectos</vt:lpstr>
      <vt:lpstr>Control de 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Betsy Verónica  Crisanto Valdiviezo</dc:creator>
  <cp:lastModifiedBy>Betsy Verónica  Crisanto Valdiviezo</cp:lastModifiedBy>
  <dcterms:created xsi:type="dcterms:W3CDTF">2026-07-31T11:58:56Z</dcterms:created>
  <dcterms:modified xsi:type="dcterms:W3CDTF">2026-09-05T22:24:23Z</dcterms:modified>
</cp:coreProperties>
</file>